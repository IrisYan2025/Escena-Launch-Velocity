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ofinam-my.sharepoint.com/personal/iris_yan_sanofi_com/Documents/_Sarclisa/Report/Weekly/10.2.26/"/>
    </mc:Choice>
  </mc:AlternateContent>
  <xr:revisionPtr revIDLastSave="6" documentId="8_{E0FE420C-20EA-498B-9CAB-E413AD494A6E}" xr6:coauthVersionLast="47" xr6:coauthVersionMax="47" xr10:uidLastSave="{CC69FD03-6B0E-44DD-9441-6639D2B19F69}"/>
  <bookViews>
    <workbookView xWindow="312" yWindow="408" windowWidth="22428" windowHeight="13032" xr2:uid="{7E9FEE4F-E39C-442A-BC44-619BD6F2188F}"/>
  </bookViews>
  <sheets>
    <sheet name="Top 300 Accounts" sheetId="1" r:id="rId1"/>
  </sheets>
  <definedNames>
    <definedName name="_xlnm._FilterDatabase" localSheetId="0" hidden="1">'Top 300 Accounts'!$B$5:$DW$305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R305" i="1" l="1"/>
  <c r="DQ305" i="1"/>
  <c r="DP305" i="1"/>
  <c r="DO305" i="1"/>
  <c r="DN305" i="1"/>
  <c r="DM305" i="1"/>
  <c r="DL305" i="1"/>
  <c r="DK305" i="1"/>
  <c r="DJ305" i="1"/>
  <c r="DI305" i="1"/>
  <c r="DH305" i="1"/>
  <c r="DG305" i="1"/>
  <c r="DF305" i="1"/>
  <c r="DE305" i="1"/>
  <c r="DD305" i="1"/>
  <c r="DC305" i="1"/>
  <c r="DB305" i="1"/>
  <c r="DA305" i="1"/>
  <c r="CZ305" i="1"/>
  <c r="CY305" i="1"/>
  <c r="CX305" i="1"/>
  <c r="CW305" i="1"/>
  <c r="CV305" i="1"/>
  <c r="CU305" i="1"/>
  <c r="DR304" i="1"/>
  <c r="DQ304" i="1"/>
  <c r="DP304" i="1"/>
  <c r="DO304" i="1"/>
  <c r="DN304" i="1"/>
  <c r="DM304" i="1"/>
  <c r="DL304" i="1"/>
  <c r="DK304" i="1"/>
  <c r="DJ304" i="1"/>
  <c r="DI304" i="1"/>
  <c r="DH304" i="1"/>
  <c r="DG304" i="1"/>
  <c r="DF304" i="1"/>
  <c r="DE304" i="1"/>
  <c r="DD304" i="1"/>
  <c r="DC304" i="1"/>
  <c r="DB304" i="1"/>
  <c r="DA304" i="1"/>
  <c r="CZ304" i="1"/>
  <c r="CY304" i="1"/>
  <c r="CX304" i="1"/>
  <c r="CW304" i="1"/>
  <c r="CV304" i="1"/>
  <c r="CU304" i="1"/>
  <c r="DR303" i="1"/>
  <c r="DQ303" i="1"/>
  <c r="DP303" i="1"/>
  <c r="DO303" i="1"/>
  <c r="DN303" i="1"/>
  <c r="DM303" i="1"/>
  <c r="DL303" i="1"/>
  <c r="DK303" i="1"/>
  <c r="DJ303" i="1"/>
  <c r="DI303" i="1"/>
  <c r="DH303" i="1"/>
  <c r="DG303" i="1"/>
  <c r="DF303" i="1"/>
  <c r="DE303" i="1"/>
  <c r="DD303" i="1"/>
  <c r="DC303" i="1"/>
  <c r="DB303" i="1"/>
  <c r="DA303" i="1"/>
  <c r="CZ303" i="1"/>
  <c r="CY303" i="1"/>
  <c r="CX303" i="1"/>
  <c r="CW303" i="1"/>
  <c r="CV303" i="1"/>
  <c r="CU303" i="1"/>
  <c r="DR302" i="1"/>
  <c r="DQ302" i="1"/>
  <c r="DP302" i="1"/>
  <c r="DO302" i="1"/>
  <c r="DN302" i="1"/>
  <c r="DM302" i="1"/>
  <c r="DL302" i="1"/>
  <c r="DK302" i="1"/>
  <c r="DJ302" i="1"/>
  <c r="DI302" i="1"/>
  <c r="DH302" i="1"/>
  <c r="DG302" i="1"/>
  <c r="DF302" i="1"/>
  <c r="DE302" i="1"/>
  <c r="DD302" i="1"/>
  <c r="DC302" i="1"/>
  <c r="DB302" i="1"/>
  <c r="DA302" i="1"/>
  <c r="CZ302" i="1"/>
  <c r="CY302" i="1"/>
  <c r="CX302" i="1"/>
  <c r="CW302" i="1"/>
  <c r="CV302" i="1"/>
  <c r="CU302" i="1"/>
  <c r="DR301" i="1"/>
  <c r="DQ301" i="1"/>
  <c r="DP301" i="1"/>
  <c r="DO301" i="1"/>
  <c r="DN301" i="1"/>
  <c r="DM301" i="1"/>
  <c r="DL301" i="1"/>
  <c r="DK301" i="1"/>
  <c r="DJ301" i="1"/>
  <c r="DI301" i="1"/>
  <c r="DH301" i="1"/>
  <c r="DG301" i="1"/>
  <c r="DF301" i="1"/>
  <c r="DE301" i="1"/>
  <c r="DD301" i="1"/>
  <c r="DC301" i="1"/>
  <c r="DB301" i="1"/>
  <c r="DA301" i="1"/>
  <c r="CZ301" i="1"/>
  <c r="CY301" i="1"/>
  <c r="CX301" i="1"/>
  <c r="CW301" i="1"/>
  <c r="CV301" i="1"/>
  <c r="CU301" i="1"/>
  <c r="DR300" i="1"/>
  <c r="DQ300" i="1"/>
  <c r="DP300" i="1"/>
  <c r="DO300" i="1"/>
  <c r="DN300" i="1"/>
  <c r="DM300" i="1"/>
  <c r="DL300" i="1"/>
  <c r="DK300" i="1"/>
  <c r="DJ300" i="1"/>
  <c r="DI300" i="1"/>
  <c r="DH300" i="1"/>
  <c r="DG300" i="1"/>
  <c r="DF300" i="1"/>
  <c r="DE300" i="1"/>
  <c r="DD300" i="1"/>
  <c r="DC300" i="1"/>
  <c r="DB300" i="1"/>
  <c r="DA300" i="1"/>
  <c r="CZ300" i="1"/>
  <c r="CY300" i="1"/>
  <c r="CX300" i="1"/>
  <c r="CW300" i="1"/>
  <c r="CV300" i="1"/>
  <c r="CU300" i="1"/>
  <c r="DR299" i="1"/>
  <c r="DQ299" i="1"/>
  <c r="DP299" i="1"/>
  <c r="DO299" i="1"/>
  <c r="DN299" i="1"/>
  <c r="DM299" i="1"/>
  <c r="DL299" i="1"/>
  <c r="DK299" i="1"/>
  <c r="DJ299" i="1"/>
  <c r="DI299" i="1"/>
  <c r="DH299" i="1"/>
  <c r="DG299" i="1"/>
  <c r="DF299" i="1"/>
  <c r="DE299" i="1"/>
  <c r="DD299" i="1"/>
  <c r="DC299" i="1"/>
  <c r="DB299" i="1"/>
  <c r="DA299" i="1"/>
  <c r="CZ299" i="1"/>
  <c r="CY299" i="1"/>
  <c r="CX299" i="1"/>
  <c r="CW299" i="1"/>
  <c r="CV299" i="1"/>
  <c r="CU299" i="1"/>
  <c r="DR298" i="1"/>
  <c r="DQ298" i="1"/>
  <c r="DP298" i="1"/>
  <c r="DO298" i="1"/>
  <c r="DN298" i="1"/>
  <c r="DM298" i="1"/>
  <c r="DL298" i="1"/>
  <c r="DK298" i="1"/>
  <c r="DJ298" i="1"/>
  <c r="DI298" i="1"/>
  <c r="DH298" i="1"/>
  <c r="DG298" i="1"/>
  <c r="DF298" i="1"/>
  <c r="DE298" i="1"/>
  <c r="DD298" i="1"/>
  <c r="DC298" i="1"/>
  <c r="DB298" i="1"/>
  <c r="DA298" i="1"/>
  <c r="CZ298" i="1"/>
  <c r="CY298" i="1"/>
  <c r="CX298" i="1"/>
  <c r="CW298" i="1"/>
  <c r="CV298" i="1"/>
  <c r="CU298" i="1"/>
  <c r="DR297" i="1"/>
  <c r="DQ297" i="1"/>
  <c r="DP297" i="1"/>
  <c r="DO297" i="1"/>
  <c r="DN297" i="1"/>
  <c r="DM297" i="1"/>
  <c r="DL297" i="1"/>
  <c r="DK297" i="1"/>
  <c r="DJ297" i="1"/>
  <c r="DI297" i="1"/>
  <c r="DH297" i="1"/>
  <c r="DG297" i="1"/>
  <c r="DF297" i="1"/>
  <c r="DE297" i="1"/>
  <c r="DD297" i="1"/>
  <c r="DC297" i="1"/>
  <c r="DB297" i="1"/>
  <c r="DA297" i="1"/>
  <c r="CZ297" i="1"/>
  <c r="CY297" i="1"/>
  <c r="CX297" i="1"/>
  <c r="CW297" i="1"/>
  <c r="CV297" i="1"/>
  <c r="CU297" i="1"/>
  <c r="DR296" i="1"/>
  <c r="DQ296" i="1"/>
  <c r="DP296" i="1"/>
  <c r="DO296" i="1"/>
  <c r="DN296" i="1"/>
  <c r="DM296" i="1"/>
  <c r="DL296" i="1"/>
  <c r="DK296" i="1"/>
  <c r="DJ296" i="1"/>
  <c r="DI296" i="1"/>
  <c r="DH296" i="1"/>
  <c r="DG296" i="1"/>
  <c r="DF296" i="1"/>
  <c r="DE296" i="1"/>
  <c r="DD296" i="1"/>
  <c r="DC296" i="1"/>
  <c r="DB296" i="1"/>
  <c r="DA296" i="1"/>
  <c r="CZ296" i="1"/>
  <c r="CY296" i="1"/>
  <c r="CX296" i="1"/>
  <c r="CW296" i="1"/>
  <c r="CV296" i="1"/>
  <c r="CU296" i="1"/>
  <c r="DR295" i="1"/>
  <c r="DQ295" i="1"/>
  <c r="DP295" i="1"/>
  <c r="DO295" i="1"/>
  <c r="DN295" i="1"/>
  <c r="DM295" i="1"/>
  <c r="DL295" i="1"/>
  <c r="DK295" i="1"/>
  <c r="DJ295" i="1"/>
  <c r="DI295" i="1"/>
  <c r="DH295" i="1"/>
  <c r="DG295" i="1"/>
  <c r="DF295" i="1"/>
  <c r="DE295" i="1"/>
  <c r="DD295" i="1"/>
  <c r="DC295" i="1"/>
  <c r="DB295" i="1"/>
  <c r="DA295" i="1"/>
  <c r="CZ295" i="1"/>
  <c r="CY295" i="1"/>
  <c r="CX295" i="1"/>
  <c r="CW295" i="1"/>
  <c r="CV295" i="1"/>
  <c r="CU295" i="1"/>
  <c r="DR294" i="1"/>
  <c r="DQ294" i="1"/>
  <c r="DP294" i="1"/>
  <c r="DO294" i="1"/>
  <c r="DN294" i="1"/>
  <c r="DM294" i="1"/>
  <c r="DL294" i="1"/>
  <c r="DK294" i="1"/>
  <c r="DJ294" i="1"/>
  <c r="DI294" i="1"/>
  <c r="DH294" i="1"/>
  <c r="DG294" i="1"/>
  <c r="DF294" i="1"/>
  <c r="DE294" i="1"/>
  <c r="DD294" i="1"/>
  <c r="DC294" i="1"/>
  <c r="DB294" i="1"/>
  <c r="DA294" i="1"/>
  <c r="CZ294" i="1"/>
  <c r="CY294" i="1"/>
  <c r="CX294" i="1"/>
  <c r="CW294" i="1"/>
  <c r="CV294" i="1"/>
  <c r="CU294" i="1"/>
  <c r="DR293" i="1"/>
  <c r="DQ293" i="1"/>
  <c r="DP293" i="1"/>
  <c r="DO293" i="1"/>
  <c r="DN293" i="1"/>
  <c r="DM293" i="1"/>
  <c r="DL293" i="1"/>
  <c r="DK293" i="1"/>
  <c r="DJ293" i="1"/>
  <c r="DI293" i="1"/>
  <c r="DH293" i="1"/>
  <c r="DG293" i="1"/>
  <c r="DF293" i="1"/>
  <c r="DE293" i="1"/>
  <c r="DD293" i="1"/>
  <c r="DC293" i="1"/>
  <c r="DB293" i="1"/>
  <c r="DA293" i="1"/>
  <c r="CZ293" i="1"/>
  <c r="CY293" i="1"/>
  <c r="CX293" i="1"/>
  <c r="CW293" i="1"/>
  <c r="CV293" i="1"/>
  <c r="CU293" i="1"/>
  <c r="DR292" i="1"/>
  <c r="DQ292" i="1"/>
  <c r="DP292" i="1"/>
  <c r="DO292" i="1"/>
  <c r="DN292" i="1"/>
  <c r="DM292" i="1"/>
  <c r="DL292" i="1"/>
  <c r="DK292" i="1"/>
  <c r="DJ292" i="1"/>
  <c r="DI292" i="1"/>
  <c r="DH292" i="1"/>
  <c r="DG292" i="1"/>
  <c r="DF292" i="1"/>
  <c r="DE292" i="1"/>
  <c r="DD292" i="1"/>
  <c r="DC292" i="1"/>
  <c r="DB292" i="1"/>
  <c r="DA292" i="1"/>
  <c r="CZ292" i="1"/>
  <c r="CY292" i="1"/>
  <c r="CX292" i="1"/>
  <c r="CW292" i="1"/>
  <c r="CV292" i="1"/>
  <c r="CU292" i="1"/>
  <c r="DR291" i="1"/>
  <c r="DQ291" i="1"/>
  <c r="DP291" i="1"/>
  <c r="DO291" i="1"/>
  <c r="DN291" i="1"/>
  <c r="DM291" i="1"/>
  <c r="DL291" i="1"/>
  <c r="DK291" i="1"/>
  <c r="DJ291" i="1"/>
  <c r="DI291" i="1"/>
  <c r="DH291" i="1"/>
  <c r="DG291" i="1"/>
  <c r="DF291" i="1"/>
  <c r="DE291" i="1"/>
  <c r="DD291" i="1"/>
  <c r="DC291" i="1"/>
  <c r="DB291" i="1"/>
  <c r="DA291" i="1"/>
  <c r="CZ291" i="1"/>
  <c r="CY291" i="1"/>
  <c r="CX291" i="1"/>
  <c r="CW291" i="1"/>
  <c r="CV291" i="1"/>
  <c r="CU291" i="1"/>
  <c r="DR290" i="1"/>
  <c r="DQ290" i="1"/>
  <c r="DP290" i="1"/>
  <c r="DO290" i="1"/>
  <c r="DN290" i="1"/>
  <c r="DM290" i="1"/>
  <c r="DL290" i="1"/>
  <c r="DK290" i="1"/>
  <c r="DJ290" i="1"/>
  <c r="DI290" i="1"/>
  <c r="DH290" i="1"/>
  <c r="DG290" i="1"/>
  <c r="DF290" i="1"/>
  <c r="DE290" i="1"/>
  <c r="DD290" i="1"/>
  <c r="DC290" i="1"/>
  <c r="DB290" i="1"/>
  <c r="DA290" i="1"/>
  <c r="CZ290" i="1"/>
  <c r="CY290" i="1"/>
  <c r="CX290" i="1"/>
  <c r="CW290" i="1"/>
  <c r="CV290" i="1"/>
  <c r="CU290" i="1"/>
  <c r="DR289" i="1"/>
  <c r="DQ289" i="1"/>
  <c r="DP289" i="1"/>
  <c r="DO289" i="1"/>
  <c r="DN289" i="1"/>
  <c r="DM289" i="1"/>
  <c r="DL289" i="1"/>
  <c r="DK289" i="1"/>
  <c r="DJ289" i="1"/>
  <c r="DI289" i="1"/>
  <c r="DH289" i="1"/>
  <c r="DG289" i="1"/>
  <c r="DF289" i="1"/>
  <c r="DE289" i="1"/>
  <c r="DD289" i="1"/>
  <c r="DC289" i="1"/>
  <c r="DB289" i="1"/>
  <c r="DA289" i="1"/>
  <c r="CZ289" i="1"/>
  <c r="CY289" i="1"/>
  <c r="CX289" i="1"/>
  <c r="CW289" i="1"/>
  <c r="CV289" i="1"/>
  <c r="CU289" i="1"/>
  <c r="DR288" i="1"/>
  <c r="DQ288" i="1"/>
  <c r="DP288" i="1"/>
  <c r="DO288" i="1"/>
  <c r="DN288" i="1"/>
  <c r="DM288" i="1"/>
  <c r="DL288" i="1"/>
  <c r="DK288" i="1"/>
  <c r="DJ288" i="1"/>
  <c r="DI288" i="1"/>
  <c r="DH288" i="1"/>
  <c r="DG288" i="1"/>
  <c r="DF288" i="1"/>
  <c r="DE288" i="1"/>
  <c r="DD288" i="1"/>
  <c r="DC288" i="1"/>
  <c r="DB288" i="1"/>
  <c r="DA288" i="1"/>
  <c r="CZ288" i="1"/>
  <c r="CY288" i="1"/>
  <c r="CX288" i="1"/>
  <c r="CW288" i="1"/>
  <c r="CV288" i="1"/>
  <c r="CU288" i="1"/>
  <c r="DR287" i="1"/>
  <c r="DQ287" i="1"/>
  <c r="DP287" i="1"/>
  <c r="DO287" i="1"/>
  <c r="DN287" i="1"/>
  <c r="DM287" i="1"/>
  <c r="DL287" i="1"/>
  <c r="DK287" i="1"/>
  <c r="DJ287" i="1"/>
  <c r="DI287" i="1"/>
  <c r="DH287" i="1"/>
  <c r="DG287" i="1"/>
  <c r="DF287" i="1"/>
  <c r="DE287" i="1"/>
  <c r="DD287" i="1"/>
  <c r="DC287" i="1"/>
  <c r="DB287" i="1"/>
  <c r="DA287" i="1"/>
  <c r="CZ287" i="1"/>
  <c r="CY287" i="1"/>
  <c r="CX287" i="1"/>
  <c r="CW287" i="1"/>
  <c r="CV287" i="1"/>
  <c r="CU287" i="1"/>
  <c r="DR286" i="1"/>
  <c r="DQ286" i="1"/>
  <c r="DP286" i="1"/>
  <c r="DO286" i="1"/>
  <c r="DN286" i="1"/>
  <c r="DM286" i="1"/>
  <c r="DL286" i="1"/>
  <c r="DK286" i="1"/>
  <c r="DJ286" i="1"/>
  <c r="DI286" i="1"/>
  <c r="DH286" i="1"/>
  <c r="DG286" i="1"/>
  <c r="DF286" i="1"/>
  <c r="DE286" i="1"/>
  <c r="DD286" i="1"/>
  <c r="DC286" i="1"/>
  <c r="DB286" i="1"/>
  <c r="DA286" i="1"/>
  <c r="CZ286" i="1"/>
  <c r="CY286" i="1"/>
  <c r="CX286" i="1"/>
  <c r="CW286" i="1"/>
  <c r="CV286" i="1"/>
  <c r="CU286" i="1"/>
  <c r="DR285" i="1"/>
  <c r="DQ285" i="1"/>
  <c r="DP285" i="1"/>
  <c r="DO285" i="1"/>
  <c r="DN285" i="1"/>
  <c r="DM285" i="1"/>
  <c r="DL285" i="1"/>
  <c r="DK285" i="1"/>
  <c r="DJ285" i="1"/>
  <c r="DI285" i="1"/>
  <c r="DH285" i="1"/>
  <c r="DG285" i="1"/>
  <c r="DF285" i="1"/>
  <c r="DE285" i="1"/>
  <c r="DD285" i="1"/>
  <c r="DC285" i="1"/>
  <c r="DB285" i="1"/>
  <c r="DA285" i="1"/>
  <c r="CZ285" i="1"/>
  <c r="CY285" i="1"/>
  <c r="CX285" i="1"/>
  <c r="CW285" i="1"/>
  <c r="CV285" i="1"/>
  <c r="CU285" i="1"/>
  <c r="DR284" i="1"/>
  <c r="DQ284" i="1"/>
  <c r="DP284" i="1"/>
  <c r="DO284" i="1"/>
  <c r="DN284" i="1"/>
  <c r="DM284" i="1"/>
  <c r="DL284" i="1"/>
  <c r="DK284" i="1"/>
  <c r="DJ284" i="1"/>
  <c r="DI284" i="1"/>
  <c r="DH284" i="1"/>
  <c r="DG284" i="1"/>
  <c r="DF284" i="1"/>
  <c r="DE284" i="1"/>
  <c r="DD284" i="1"/>
  <c r="DC284" i="1"/>
  <c r="DB284" i="1"/>
  <c r="DA284" i="1"/>
  <c r="CZ284" i="1"/>
  <c r="CY284" i="1"/>
  <c r="CX284" i="1"/>
  <c r="CW284" i="1"/>
  <c r="CV284" i="1"/>
  <c r="CU284" i="1"/>
  <c r="DR283" i="1"/>
  <c r="DQ283" i="1"/>
  <c r="DP283" i="1"/>
  <c r="DO283" i="1"/>
  <c r="DN283" i="1"/>
  <c r="DM283" i="1"/>
  <c r="DL283" i="1"/>
  <c r="DK283" i="1"/>
  <c r="DJ283" i="1"/>
  <c r="DI283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DR282" i="1"/>
  <c r="DQ282" i="1"/>
  <c r="DP282" i="1"/>
  <c r="DO282" i="1"/>
  <c r="DN282" i="1"/>
  <c r="DM282" i="1"/>
  <c r="DL282" i="1"/>
  <c r="DK282" i="1"/>
  <c r="DJ282" i="1"/>
  <c r="DI282" i="1"/>
  <c r="DH282" i="1"/>
  <c r="DG282" i="1"/>
  <c r="DF282" i="1"/>
  <c r="DE282" i="1"/>
  <c r="DD282" i="1"/>
  <c r="DC282" i="1"/>
  <c r="DB282" i="1"/>
  <c r="DA282" i="1"/>
  <c r="CZ282" i="1"/>
  <c r="CY282" i="1"/>
  <c r="CX282" i="1"/>
  <c r="CW282" i="1"/>
  <c r="CV282" i="1"/>
  <c r="CU282" i="1"/>
  <c r="DR281" i="1"/>
  <c r="DQ281" i="1"/>
  <c r="DP281" i="1"/>
  <c r="DO281" i="1"/>
  <c r="DN281" i="1"/>
  <c r="DM281" i="1"/>
  <c r="DL281" i="1"/>
  <c r="DK281" i="1"/>
  <c r="DJ281" i="1"/>
  <c r="DI281" i="1"/>
  <c r="DH281" i="1"/>
  <c r="DG281" i="1"/>
  <c r="DF281" i="1"/>
  <c r="DE281" i="1"/>
  <c r="DD281" i="1"/>
  <c r="DC281" i="1"/>
  <c r="DB281" i="1"/>
  <c r="DA281" i="1"/>
  <c r="CZ281" i="1"/>
  <c r="CY281" i="1"/>
  <c r="CX281" i="1"/>
  <c r="CW281" i="1"/>
  <c r="CV281" i="1"/>
  <c r="CU281" i="1"/>
  <c r="DR280" i="1"/>
  <c r="DQ280" i="1"/>
  <c r="DP280" i="1"/>
  <c r="DO280" i="1"/>
  <c r="DN280" i="1"/>
  <c r="DM280" i="1"/>
  <c r="DL280" i="1"/>
  <c r="DK280" i="1"/>
  <c r="DJ280" i="1"/>
  <c r="DI280" i="1"/>
  <c r="DH280" i="1"/>
  <c r="DG280" i="1"/>
  <c r="DF280" i="1"/>
  <c r="DE280" i="1"/>
  <c r="DD280" i="1"/>
  <c r="DC280" i="1"/>
  <c r="DB280" i="1"/>
  <c r="DA280" i="1"/>
  <c r="CZ280" i="1"/>
  <c r="CY280" i="1"/>
  <c r="CX280" i="1"/>
  <c r="CW280" i="1"/>
  <c r="CV280" i="1"/>
  <c r="CU280" i="1"/>
  <c r="DR279" i="1"/>
  <c r="DQ279" i="1"/>
  <c r="DP279" i="1"/>
  <c r="DO279" i="1"/>
  <c r="DN279" i="1"/>
  <c r="DM279" i="1"/>
  <c r="DL279" i="1"/>
  <c r="DK279" i="1"/>
  <c r="DJ279" i="1"/>
  <c r="DI279" i="1"/>
  <c r="DH279" i="1"/>
  <c r="DG279" i="1"/>
  <c r="DF279" i="1"/>
  <c r="DE279" i="1"/>
  <c r="DD279" i="1"/>
  <c r="DC279" i="1"/>
  <c r="DB279" i="1"/>
  <c r="DA279" i="1"/>
  <c r="CZ279" i="1"/>
  <c r="CY279" i="1"/>
  <c r="CX279" i="1"/>
  <c r="CW279" i="1"/>
  <c r="CV279" i="1"/>
  <c r="CU279" i="1"/>
  <c r="DR278" i="1"/>
  <c r="DQ278" i="1"/>
  <c r="DP278" i="1"/>
  <c r="DO278" i="1"/>
  <c r="DN278" i="1"/>
  <c r="DM278" i="1"/>
  <c r="DL278" i="1"/>
  <c r="DK278" i="1"/>
  <c r="DJ278" i="1"/>
  <c r="DI278" i="1"/>
  <c r="DH278" i="1"/>
  <c r="DG278" i="1"/>
  <c r="DF278" i="1"/>
  <c r="DE278" i="1"/>
  <c r="DD278" i="1"/>
  <c r="DC278" i="1"/>
  <c r="DB278" i="1"/>
  <c r="DA278" i="1"/>
  <c r="CZ278" i="1"/>
  <c r="CY278" i="1"/>
  <c r="CX278" i="1"/>
  <c r="CW278" i="1"/>
  <c r="CV278" i="1"/>
  <c r="CU278" i="1"/>
  <c r="DR277" i="1"/>
  <c r="DQ277" i="1"/>
  <c r="DP277" i="1"/>
  <c r="DO277" i="1"/>
  <c r="DN277" i="1"/>
  <c r="DM277" i="1"/>
  <c r="DL277" i="1"/>
  <c r="DK277" i="1"/>
  <c r="DJ277" i="1"/>
  <c r="DI277" i="1"/>
  <c r="DH277" i="1"/>
  <c r="DG277" i="1"/>
  <c r="DF277" i="1"/>
  <c r="DE277" i="1"/>
  <c r="DD277" i="1"/>
  <c r="DC277" i="1"/>
  <c r="DB277" i="1"/>
  <c r="DA277" i="1"/>
  <c r="CZ277" i="1"/>
  <c r="CY277" i="1"/>
  <c r="CX277" i="1"/>
  <c r="CW277" i="1"/>
  <c r="CV277" i="1"/>
  <c r="CU277" i="1"/>
  <c r="DR276" i="1"/>
  <c r="DQ276" i="1"/>
  <c r="DP276" i="1"/>
  <c r="DO276" i="1"/>
  <c r="DN276" i="1"/>
  <c r="DM276" i="1"/>
  <c r="DL276" i="1"/>
  <c r="DK276" i="1"/>
  <c r="DJ276" i="1"/>
  <c r="DI276" i="1"/>
  <c r="DH276" i="1"/>
  <c r="DG276" i="1"/>
  <c r="DF276" i="1"/>
  <c r="DE276" i="1"/>
  <c r="DD276" i="1"/>
  <c r="DC276" i="1"/>
  <c r="DB276" i="1"/>
  <c r="DA276" i="1"/>
  <c r="CZ276" i="1"/>
  <c r="CY276" i="1"/>
  <c r="CX276" i="1"/>
  <c r="CW276" i="1"/>
  <c r="CV276" i="1"/>
  <c r="CU276" i="1"/>
  <c r="DR275" i="1"/>
  <c r="DQ275" i="1"/>
  <c r="DP275" i="1"/>
  <c r="DO275" i="1"/>
  <c r="DN275" i="1"/>
  <c r="DM275" i="1"/>
  <c r="DL275" i="1"/>
  <c r="DK275" i="1"/>
  <c r="DJ275" i="1"/>
  <c r="DI275" i="1"/>
  <c r="DH275" i="1"/>
  <c r="DG275" i="1"/>
  <c r="DF275" i="1"/>
  <c r="DE275" i="1"/>
  <c r="DD275" i="1"/>
  <c r="DC275" i="1"/>
  <c r="DB275" i="1"/>
  <c r="DA275" i="1"/>
  <c r="CZ275" i="1"/>
  <c r="CY275" i="1"/>
  <c r="CX275" i="1"/>
  <c r="CW275" i="1"/>
  <c r="CV275" i="1"/>
  <c r="CU275" i="1"/>
  <c r="DR274" i="1"/>
  <c r="DQ274" i="1"/>
  <c r="DP274" i="1"/>
  <c r="DO274" i="1"/>
  <c r="DN274" i="1"/>
  <c r="DM274" i="1"/>
  <c r="DL274" i="1"/>
  <c r="DK274" i="1"/>
  <c r="DJ274" i="1"/>
  <c r="DI274" i="1"/>
  <c r="DH274" i="1"/>
  <c r="DG274" i="1"/>
  <c r="DF274" i="1"/>
  <c r="DE274" i="1"/>
  <c r="DD274" i="1"/>
  <c r="DC274" i="1"/>
  <c r="DB274" i="1"/>
  <c r="DA274" i="1"/>
  <c r="CZ274" i="1"/>
  <c r="CY274" i="1"/>
  <c r="CX274" i="1"/>
  <c r="CW274" i="1"/>
  <c r="CV274" i="1"/>
  <c r="CU274" i="1"/>
  <c r="DR273" i="1"/>
  <c r="DQ273" i="1"/>
  <c r="DP273" i="1"/>
  <c r="DO273" i="1"/>
  <c r="DN273" i="1"/>
  <c r="DM273" i="1"/>
  <c r="DL273" i="1"/>
  <c r="DK273" i="1"/>
  <c r="DJ273" i="1"/>
  <c r="DI273" i="1"/>
  <c r="DH273" i="1"/>
  <c r="DG273" i="1"/>
  <c r="DF273" i="1"/>
  <c r="DE273" i="1"/>
  <c r="DD273" i="1"/>
  <c r="DC273" i="1"/>
  <c r="DB273" i="1"/>
  <c r="DA273" i="1"/>
  <c r="CZ273" i="1"/>
  <c r="CY273" i="1"/>
  <c r="CX273" i="1"/>
  <c r="CW273" i="1"/>
  <c r="CV273" i="1"/>
  <c r="CU273" i="1"/>
  <c r="DR272" i="1"/>
  <c r="DQ272" i="1"/>
  <c r="DP272" i="1"/>
  <c r="DO272" i="1"/>
  <c r="DN272" i="1"/>
  <c r="DM272" i="1"/>
  <c r="DL272" i="1"/>
  <c r="DK272" i="1"/>
  <c r="DJ272" i="1"/>
  <c r="DI272" i="1"/>
  <c r="DH272" i="1"/>
  <c r="DG272" i="1"/>
  <c r="DF272" i="1"/>
  <c r="DE272" i="1"/>
  <c r="DD272" i="1"/>
  <c r="DC272" i="1"/>
  <c r="DB272" i="1"/>
  <c r="DA272" i="1"/>
  <c r="CZ272" i="1"/>
  <c r="CY272" i="1"/>
  <c r="CX272" i="1"/>
  <c r="CW272" i="1"/>
  <c r="CV272" i="1"/>
  <c r="CU272" i="1"/>
  <c r="DR271" i="1"/>
  <c r="DQ271" i="1"/>
  <c r="DP271" i="1"/>
  <c r="DO271" i="1"/>
  <c r="DN271" i="1"/>
  <c r="DM271" i="1"/>
  <c r="DL271" i="1"/>
  <c r="DK271" i="1"/>
  <c r="DJ271" i="1"/>
  <c r="DI271" i="1"/>
  <c r="DH271" i="1"/>
  <c r="DG271" i="1"/>
  <c r="DF271" i="1"/>
  <c r="DE271" i="1"/>
  <c r="DD271" i="1"/>
  <c r="DC271" i="1"/>
  <c r="DB271" i="1"/>
  <c r="DA271" i="1"/>
  <c r="CZ271" i="1"/>
  <c r="CY271" i="1"/>
  <c r="CX271" i="1"/>
  <c r="CW271" i="1"/>
  <c r="CV271" i="1"/>
  <c r="CU271" i="1"/>
  <c r="DR270" i="1"/>
  <c r="DQ270" i="1"/>
  <c r="DP270" i="1"/>
  <c r="DO270" i="1"/>
  <c r="DN270" i="1"/>
  <c r="DM270" i="1"/>
  <c r="DL270" i="1"/>
  <c r="DK270" i="1"/>
  <c r="DJ270" i="1"/>
  <c r="DI270" i="1"/>
  <c r="DH270" i="1"/>
  <c r="DG270" i="1"/>
  <c r="DF270" i="1"/>
  <c r="DE270" i="1"/>
  <c r="DD270" i="1"/>
  <c r="DC270" i="1"/>
  <c r="DB270" i="1"/>
  <c r="DA270" i="1"/>
  <c r="CZ270" i="1"/>
  <c r="CY270" i="1"/>
  <c r="CX270" i="1"/>
  <c r="CW270" i="1"/>
  <c r="CV270" i="1"/>
  <c r="CU270" i="1"/>
  <c r="DR269" i="1"/>
  <c r="DQ269" i="1"/>
  <c r="DP269" i="1"/>
  <c r="DO269" i="1"/>
  <c r="DN269" i="1"/>
  <c r="DM269" i="1"/>
  <c r="DL269" i="1"/>
  <c r="DK269" i="1"/>
  <c r="DJ269" i="1"/>
  <c r="DI269" i="1"/>
  <c r="DH269" i="1"/>
  <c r="DG269" i="1"/>
  <c r="DF269" i="1"/>
  <c r="DE269" i="1"/>
  <c r="DD269" i="1"/>
  <c r="DC269" i="1"/>
  <c r="DB269" i="1"/>
  <c r="DA269" i="1"/>
  <c r="CZ269" i="1"/>
  <c r="CY269" i="1"/>
  <c r="CX269" i="1"/>
  <c r="CW269" i="1"/>
  <c r="CV269" i="1"/>
  <c r="CU269" i="1"/>
  <c r="DR268" i="1"/>
  <c r="DQ268" i="1"/>
  <c r="DP268" i="1"/>
  <c r="DO268" i="1"/>
  <c r="DN268" i="1"/>
  <c r="DM268" i="1"/>
  <c r="DL268" i="1"/>
  <c r="DK268" i="1"/>
  <c r="DJ268" i="1"/>
  <c r="DI268" i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DR267" i="1"/>
  <c r="DQ267" i="1"/>
  <c r="DP267" i="1"/>
  <c r="DO267" i="1"/>
  <c r="DN267" i="1"/>
  <c r="DM267" i="1"/>
  <c r="DL267" i="1"/>
  <c r="DK267" i="1"/>
  <c r="DJ267" i="1"/>
  <c r="DI267" i="1"/>
  <c r="DH267" i="1"/>
  <c r="DG267" i="1"/>
  <c r="DF267" i="1"/>
  <c r="DE267" i="1"/>
  <c r="DD267" i="1"/>
  <c r="DC267" i="1"/>
  <c r="DB267" i="1"/>
  <c r="DA267" i="1"/>
  <c r="CZ267" i="1"/>
  <c r="CY267" i="1"/>
  <c r="CX267" i="1"/>
  <c r="CW267" i="1"/>
  <c r="CV267" i="1"/>
  <c r="CU267" i="1"/>
  <c r="DR266" i="1"/>
  <c r="DQ266" i="1"/>
  <c r="DP266" i="1"/>
  <c r="DO266" i="1"/>
  <c r="DN266" i="1"/>
  <c r="DM266" i="1"/>
  <c r="DL266" i="1"/>
  <c r="DK266" i="1"/>
  <c r="DJ266" i="1"/>
  <c r="DI266" i="1"/>
  <c r="DH266" i="1"/>
  <c r="DG266" i="1"/>
  <c r="DF266" i="1"/>
  <c r="DE266" i="1"/>
  <c r="DD266" i="1"/>
  <c r="DC266" i="1"/>
  <c r="DB266" i="1"/>
  <c r="DA266" i="1"/>
  <c r="CZ266" i="1"/>
  <c r="CY266" i="1"/>
  <c r="CX266" i="1"/>
  <c r="CW266" i="1"/>
  <c r="CV266" i="1"/>
  <c r="CU266" i="1"/>
  <c r="DR265" i="1"/>
  <c r="DQ265" i="1"/>
  <c r="DP265" i="1"/>
  <c r="DO265" i="1"/>
  <c r="DN265" i="1"/>
  <c r="DM265" i="1"/>
  <c r="DL265" i="1"/>
  <c r="DK265" i="1"/>
  <c r="DJ265" i="1"/>
  <c r="DI265" i="1"/>
  <c r="DH265" i="1"/>
  <c r="DG265" i="1"/>
  <c r="DF265" i="1"/>
  <c r="DE265" i="1"/>
  <c r="DD265" i="1"/>
  <c r="DC265" i="1"/>
  <c r="DB265" i="1"/>
  <c r="DA265" i="1"/>
  <c r="CZ265" i="1"/>
  <c r="CY265" i="1"/>
  <c r="CX265" i="1"/>
  <c r="CW265" i="1"/>
  <c r="CV265" i="1"/>
  <c r="CU265" i="1"/>
  <c r="DR264" i="1"/>
  <c r="DQ264" i="1"/>
  <c r="DP264" i="1"/>
  <c r="DO264" i="1"/>
  <c r="DN264" i="1"/>
  <c r="DM264" i="1"/>
  <c r="DL264" i="1"/>
  <c r="DK264" i="1"/>
  <c r="DJ264" i="1"/>
  <c r="DI264" i="1"/>
  <c r="DH264" i="1"/>
  <c r="DG264" i="1"/>
  <c r="DF264" i="1"/>
  <c r="DE264" i="1"/>
  <c r="DD264" i="1"/>
  <c r="DC264" i="1"/>
  <c r="DB264" i="1"/>
  <c r="DA264" i="1"/>
  <c r="CZ264" i="1"/>
  <c r="CY264" i="1"/>
  <c r="CX264" i="1"/>
  <c r="CW264" i="1"/>
  <c r="CV264" i="1"/>
  <c r="CU264" i="1"/>
  <c r="DR263" i="1"/>
  <c r="DQ263" i="1"/>
  <c r="DP263" i="1"/>
  <c r="DO263" i="1"/>
  <c r="DN263" i="1"/>
  <c r="DM263" i="1"/>
  <c r="DL263" i="1"/>
  <c r="DK263" i="1"/>
  <c r="DJ263" i="1"/>
  <c r="DI263" i="1"/>
  <c r="DH263" i="1"/>
  <c r="DG263" i="1"/>
  <c r="DF263" i="1"/>
  <c r="DE263" i="1"/>
  <c r="DD263" i="1"/>
  <c r="DC263" i="1"/>
  <c r="DB263" i="1"/>
  <c r="DA263" i="1"/>
  <c r="CZ263" i="1"/>
  <c r="CY263" i="1"/>
  <c r="CX263" i="1"/>
  <c r="CW263" i="1"/>
  <c r="CV263" i="1"/>
  <c r="CU263" i="1"/>
  <c r="DR262" i="1"/>
  <c r="DQ262" i="1"/>
  <c r="DP262" i="1"/>
  <c r="DO262" i="1"/>
  <c r="DN262" i="1"/>
  <c r="DM262" i="1"/>
  <c r="DL262" i="1"/>
  <c r="DK262" i="1"/>
  <c r="DJ262" i="1"/>
  <c r="DI262" i="1"/>
  <c r="DH262" i="1"/>
  <c r="DG262" i="1"/>
  <c r="DF262" i="1"/>
  <c r="DE262" i="1"/>
  <c r="DD262" i="1"/>
  <c r="DC262" i="1"/>
  <c r="DB262" i="1"/>
  <c r="DA262" i="1"/>
  <c r="CZ262" i="1"/>
  <c r="CY262" i="1"/>
  <c r="CX262" i="1"/>
  <c r="CW262" i="1"/>
  <c r="CV262" i="1"/>
  <c r="CU262" i="1"/>
  <c r="DR261" i="1"/>
  <c r="DQ261" i="1"/>
  <c r="DP261" i="1"/>
  <c r="DO261" i="1"/>
  <c r="DN261" i="1"/>
  <c r="DM261" i="1"/>
  <c r="DL261" i="1"/>
  <c r="DK261" i="1"/>
  <c r="DJ261" i="1"/>
  <c r="DI261" i="1"/>
  <c r="DH261" i="1"/>
  <c r="DG261" i="1"/>
  <c r="DF261" i="1"/>
  <c r="DE261" i="1"/>
  <c r="DD261" i="1"/>
  <c r="DC261" i="1"/>
  <c r="DB261" i="1"/>
  <c r="DA261" i="1"/>
  <c r="CZ261" i="1"/>
  <c r="CY261" i="1"/>
  <c r="CX261" i="1"/>
  <c r="CW261" i="1"/>
  <c r="CV261" i="1"/>
  <c r="CU261" i="1"/>
  <c r="DR260" i="1"/>
  <c r="DQ260" i="1"/>
  <c r="DP260" i="1"/>
  <c r="DO260" i="1"/>
  <c r="DN260" i="1"/>
  <c r="DM260" i="1"/>
  <c r="DL260" i="1"/>
  <c r="DK260" i="1"/>
  <c r="DJ260" i="1"/>
  <c r="DI260" i="1"/>
  <c r="DH260" i="1"/>
  <c r="DG260" i="1"/>
  <c r="DF260" i="1"/>
  <c r="DE260" i="1"/>
  <c r="DD260" i="1"/>
  <c r="DC260" i="1"/>
  <c r="DB260" i="1"/>
  <c r="DA260" i="1"/>
  <c r="CZ260" i="1"/>
  <c r="CY260" i="1"/>
  <c r="CX260" i="1"/>
  <c r="CW260" i="1"/>
  <c r="CV260" i="1"/>
  <c r="CU260" i="1"/>
  <c r="DR259" i="1"/>
  <c r="DQ259" i="1"/>
  <c r="DP259" i="1"/>
  <c r="DO259" i="1"/>
  <c r="DN259" i="1"/>
  <c r="DM259" i="1"/>
  <c r="DL259" i="1"/>
  <c r="DK259" i="1"/>
  <c r="DJ259" i="1"/>
  <c r="DI259" i="1"/>
  <c r="DH259" i="1"/>
  <c r="DG259" i="1"/>
  <c r="DF259" i="1"/>
  <c r="DE259" i="1"/>
  <c r="DD259" i="1"/>
  <c r="DC259" i="1"/>
  <c r="DB259" i="1"/>
  <c r="DA259" i="1"/>
  <c r="CZ259" i="1"/>
  <c r="CY259" i="1"/>
  <c r="CX259" i="1"/>
  <c r="CW259" i="1"/>
  <c r="CV259" i="1"/>
  <c r="CU259" i="1"/>
  <c r="DR258" i="1"/>
  <c r="DQ258" i="1"/>
  <c r="DP258" i="1"/>
  <c r="DO258" i="1"/>
  <c r="DN258" i="1"/>
  <c r="DM258" i="1"/>
  <c r="DL258" i="1"/>
  <c r="DK258" i="1"/>
  <c r="DJ258" i="1"/>
  <c r="DI258" i="1"/>
  <c r="DH258" i="1"/>
  <c r="DG258" i="1"/>
  <c r="DF258" i="1"/>
  <c r="DE258" i="1"/>
  <c r="DD258" i="1"/>
  <c r="DC258" i="1"/>
  <c r="DB258" i="1"/>
  <c r="DA258" i="1"/>
  <c r="CZ258" i="1"/>
  <c r="CY258" i="1"/>
  <c r="CX258" i="1"/>
  <c r="CW258" i="1"/>
  <c r="CV258" i="1"/>
  <c r="CU258" i="1"/>
  <c r="DR257" i="1"/>
  <c r="DQ257" i="1"/>
  <c r="DP257" i="1"/>
  <c r="DO257" i="1"/>
  <c r="DN257" i="1"/>
  <c r="DM257" i="1"/>
  <c r="DL257" i="1"/>
  <c r="DK257" i="1"/>
  <c r="DJ257" i="1"/>
  <c r="DI257" i="1"/>
  <c r="DH257" i="1"/>
  <c r="DG257" i="1"/>
  <c r="DF257" i="1"/>
  <c r="DE257" i="1"/>
  <c r="DD257" i="1"/>
  <c r="DC257" i="1"/>
  <c r="DB257" i="1"/>
  <c r="DA257" i="1"/>
  <c r="CZ257" i="1"/>
  <c r="CY257" i="1"/>
  <c r="CX257" i="1"/>
  <c r="CW257" i="1"/>
  <c r="CV257" i="1"/>
  <c r="CU257" i="1"/>
  <c r="DR256" i="1"/>
  <c r="DQ256" i="1"/>
  <c r="DP256" i="1"/>
  <c r="DO256" i="1"/>
  <c r="DN256" i="1"/>
  <c r="DM256" i="1"/>
  <c r="DL256" i="1"/>
  <c r="DK256" i="1"/>
  <c r="DJ256" i="1"/>
  <c r="DI256" i="1"/>
  <c r="DH256" i="1"/>
  <c r="DG256" i="1"/>
  <c r="DF256" i="1"/>
  <c r="DE256" i="1"/>
  <c r="DD256" i="1"/>
  <c r="DC256" i="1"/>
  <c r="DB256" i="1"/>
  <c r="DA256" i="1"/>
  <c r="CZ256" i="1"/>
  <c r="CY256" i="1"/>
  <c r="CX256" i="1"/>
  <c r="CW256" i="1"/>
  <c r="CV256" i="1"/>
  <c r="CU256" i="1"/>
  <c r="DR255" i="1"/>
  <c r="DQ255" i="1"/>
  <c r="DP255" i="1"/>
  <c r="DO255" i="1"/>
  <c r="DN255" i="1"/>
  <c r="DM255" i="1"/>
  <c r="DL255" i="1"/>
  <c r="DK255" i="1"/>
  <c r="DJ255" i="1"/>
  <c r="DI255" i="1"/>
  <c r="DH255" i="1"/>
  <c r="DG255" i="1"/>
  <c r="DF255" i="1"/>
  <c r="DE255" i="1"/>
  <c r="DD255" i="1"/>
  <c r="DC255" i="1"/>
  <c r="DB255" i="1"/>
  <c r="DA255" i="1"/>
  <c r="CZ255" i="1"/>
  <c r="CY255" i="1"/>
  <c r="CX255" i="1"/>
  <c r="CW255" i="1"/>
  <c r="CV255" i="1"/>
  <c r="CU255" i="1"/>
  <c r="DR254" i="1"/>
  <c r="DQ254" i="1"/>
  <c r="DP254" i="1"/>
  <c r="DO254" i="1"/>
  <c r="DN254" i="1"/>
  <c r="DM254" i="1"/>
  <c r="DL254" i="1"/>
  <c r="DK254" i="1"/>
  <c r="DJ254" i="1"/>
  <c r="DI254" i="1"/>
  <c r="DH254" i="1"/>
  <c r="DG254" i="1"/>
  <c r="DF254" i="1"/>
  <c r="DE254" i="1"/>
  <c r="DD254" i="1"/>
  <c r="DC254" i="1"/>
  <c r="DB254" i="1"/>
  <c r="DA254" i="1"/>
  <c r="CZ254" i="1"/>
  <c r="CY254" i="1"/>
  <c r="CX254" i="1"/>
  <c r="CW254" i="1"/>
  <c r="CV254" i="1"/>
  <c r="CU254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DR252" i="1"/>
  <c r="DQ252" i="1"/>
  <c r="DP252" i="1"/>
  <c r="DO252" i="1"/>
  <c r="DN252" i="1"/>
  <c r="DM252" i="1"/>
  <c r="DL252" i="1"/>
  <c r="DK252" i="1"/>
  <c r="DJ252" i="1"/>
  <c r="DI252" i="1"/>
  <c r="DH252" i="1"/>
  <c r="DG252" i="1"/>
  <c r="DF252" i="1"/>
  <c r="DE252" i="1"/>
  <c r="DD252" i="1"/>
  <c r="DC252" i="1"/>
  <c r="DB252" i="1"/>
  <c r="DA252" i="1"/>
  <c r="CZ252" i="1"/>
  <c r="CY252" i="1"/>
  <c r="CX252" i="1"/>
  <c r="CW252" i="1"/>
  <c r="CV252" i="1"/>
  <c r="CU252" i="1"/>
  <c r="DR251" i="1"/>
  <c r="DQ251" i="1"/>
  <c r="DP251" i="1"/>
  <c r="DO251" i="1"/>
  <c r="DN251" i="1"/>
  <c r="DM251" i="1"/>
  <c r="DL251" i="1"/>
  <c r="DK251" i="1"/>
  <c r="DJ251" i="1"/>
  <c r="DI251" i="1"/>
  <c r="DH251" i="1"/>
  <c r="DG251" i="1"/>
  <c r="DF251" i="1"/>
  <c r="DE251" i="1"/>
  <c r="DD251" i="1"/>
  <c r="DC251" i="1"/>
  <c r="DB251" i="1"/>
  <c r="DA251" i="1"/>
  <c r="CZ251" i="1"/>
  <c r="CY251" i="1"/>
  <c r="CX251" i="1"/>
  <c r="CW251" i="1"/>
  <c r="CV251" i="1"/>
  <c r="CU251" i="1"/>
  <c r="DR250" i="1"/>
  <c r="DQ250" i="1"/>
  <c r="DP250" i="1"/>
  <c r="DO250" i="1"/>
  <c r="DN250" i="1"/>
  <c r="DM250" i="1"/>
  <c r="DL250" i="1"/>
  <c r="DK250" i="1"/>
  <c r="DJ250" i="1"/>
  <c r="DI250" i="1"/>
  <c r="DH250" i="1"/>
  <c r="DG250" i="1"/>
  <c r="DF250" i="1"/>
  <c r="DE250" i="1"/>
  <c r="DD250" i="1"/>
  <c r="DC250" i="1"/>
  <c r="DB250" i="1"/>
  <c r="DA250" i="1"/>
  <c r="CZ250" i="1"/>
  <c r="CY250" i="1"/>
  <c r="CX250" i="1"/>
  <c r="CW250" i="1"/>
  <c r="CV250" i="1"/>
  <c r="CU250" i="1"/>
  <c r="DR249" i="1"/>
  <c r="DQ249" i="1"/>
  <c r="DP249" i="1"/>
  <c r="DO249" i="1"/>
  <c r="DN249" i="1"/>
  <c r="DM249" i="1"/>
  <c r="DL249" i="1"/>
  <c r="DK249" i="1"/>
  <c r="DJ249" i="1"/>
  <c r="DI249" i="1"/>
  <c r="DH249" i="1"/>
  <c r="DG249" i="1"/>
  <c r="DF249" i="1"/>
  <c r="DE249" i="1"/>
  <c r="DD249" i="1"/>
  <c r="DC249" i="1"/>
  <c r="DB249" i="1"/>
  <c r="DA249" i="1"/>
  <c r="CZ249" i="1"/>
  <c r="CY249" i="1"/>
  <c r="CX249" i="1"/>
  <c r="CW249" i="1"/>
  <c r="CV249" i="1"/>
  <c r="CU249" i="1"/>
  <c r="DR248" i="1"/>
  <c r="DQ248" i="1"/>
  <c r="DP248" i="1"/>
  <c r="DO248" i="1"/>
  <c r="DN248" i="1"/>
  <c r="DM248" i="1"/>
  <c r="DL248" i="1"/>
  <c r="DK248" i="1"/>
  <c r="DJ248" i="1"/>
  <c r="DI248" i="1"/>
  <c r="DH248" i="1"/>
  <c r="DG248" i="1"/>
  <c r="DF248" i="1"/>
  <c r="DE248" i="1"/>
  <c r="DD248" i="1"/>
  <c r="DC248" i="1"/>
  <c r="DB248" i="1"/>
  <c r="DA248" i="1"/>
  <c r="CZ248" i="1"/>
  <c r="CY248" i="1"/>
  <c r="CX248" i="1"/>
  <c r="CW248" i="1"/>
  <c r="CV248" i="1"/>
  <c r="CU248" i="1"/>
  <c r="DR247" i="1"/>
  <c r="DQ247" i="1"/>
  <c r="DP247" i="1"/>
  <c r="DO247" i="1"/>
  <c r="DN247" i="1"/>
  <c r="DM247" i="1"/>
  <c r="DL247" i="1"/>
  <c r="DK247" i="1"/>
  <c r="DJ247" i="1"/>
  <c r="DI247" i="1"/>
  <c r="DH247" i="1"/>
  <c r="DG247" i="1"/>
  <c r="DF247" i="1"/>
  <c r="DE247" i="1"/>
  <c r="DD247" i="1"/>
  <c r="DC247" i="1"/>
  <c r="DB247" i="1"/>
  <c r="DA247" i="1"/>
  <c r="CZ247" i="1"/>
  <c r="CY247" i="1"/>
  <c r="CX247" i="1"/>
  <c r="CW247" i="1"/>
  <c r="CV247" i="1"/>
  <c r="CU247" i="1"/>
  <c r="DR246" i="1"/>
  <c r="DQ246" i="1"/>
  <c r="DP246" i="1"/>
  <c r="DO246" i="1"/>
  <c r="DN246" i="1"/>
  <c r="DM246" i="1"/>
  <c r="DL246" i="1"/>
  <c r="DK246" i="1"/>
  <c r="DJ246" i="1"/>
  <c r="DI246" i="1"/>
  <c r="DH246" i="1"/>
  <c r="DG246" i="1"/>
  <c r="DF246" i="1"/>
  <c r="DE246" i="1"/>
  <c r="DD246" i="1"/>
  <c r="DC246" i="1"/>
  <c r="DB246" i="1"/>
  <c r="DA246" i="1"/>
  <c r="CZ246" i="1"/>
  <c r="CY246" i="1"/>
  <c r="CX246" i="1"/>
  <c r="CW246" i="1"/>
  <c r="CV246" i="1"/>
  <c r="CU246" i="1"/>
  <c r="DR245" i="1"/>
  <c r="DQ245" i="1"/>
  <c r="DP245" i="1"/>
  <c r="DO245" i="1"/>
  <c r="DN245" i="1"/>
  <c r="DM245" i="1"/>
  <c r="DL245" i="1"/>
  <c r="DK245" i="1"/>
  <c r="DJ245" i="1"/>
  <c r="DI245" i="1"/>
  <c r="DH245" i="1"/>
  <c r="DG245" i="1"/>
  <c r="DF245" i="1"/>
  <c r="DE245" i="1"/>
  <c r="DD245" i="1"/>
  <c r="DC245" i="1"/>
  <c r="DB245" i="1"/>
  <c r="DA245" i="1"/>
  <c r="CZ245" i="1"/>
  <c r="CY245" i="1"/>
  <c r="CX245" i="1"/>
  <c r="CW245" i="1"/>
  <c r="CV245" i="1"/>
  <c r="CU245" i="1"/>
  <c r="DR244" i="1"/>
  <c r="DQ244" i="1"/>
  <c r="DP244" i="1"/>
  <c r="DO244" i="1"/>
  <c r="DN244" i="1"/>
  <c r="DM244" i="1"/>
  <c r="DL244" i="1"/>
  <c r="DK244" i="1"/>
  <c r="DJ244" i="1"/>
  <c r="DI244" i="1"/>
  <c r="DH244" i="1"/>
  <c r="DG244" i="1"/>
  <c r="DF244" i="1"/>
  <c r="DE244" i="1"/>
  <c r="DD244" i="1"/>
  <c r="DC244" i="1"/>
  <c r="DB244" i="1"/>
  <c r="DA244" i="1"/>
  <c r="CZ244" i="1"/>
  <c r="CY244" i="1"/>
  <c r="CX244" i="1"/>
  <c r="CW244" i="1"/>
  <c r="CV244" i="1"/>
  <c r="CU244" i="1"/>
  <c r="DR243" i="1"/>
  <c r="DQ243" i="1"/>
  <c r="DP243" i="1"/>
  <c r="DO243" i="1"/>
  <c r="DN243" i="1"/>
  <c r="DM243" i="1"/>
  <c r="DL243" i="1"/>
  <c r="DK243" i="1"/>
  <c r="DJ243" i="1"/>
  <c r="DI243" i="1"/>
  <c r="DH243" i="1"/>
  <c r="DG243" i="1"/>
  <c r="DF243" i="1"/>
  <c r="DE243" i="1"/>
  <c r="DD243" i="1"/>
  <c r="DC243" i="1"/>
  <c r="DB243" i="1"/>
  <c r="DA243" i="1"/>
  <c r="CZ243" i="1"/>
  <c r="CY243" i="1"/>
  <c r="CX243" i="1"/>
  <c r="CW243" i="1"/>
  <c r="CV243" i="1"/>
  <c r="CU243" i="1"/>
  <c r="DR242" i="1"/>
  <c r="DQ242" i="1"/>
  <c r="DP242" i="1"/>
  <c r="DO242" i="1"/>
  <c r="DN242" i="1"/>
  <c r="DM242" i="1"/>
  <c r="DL242" i="1"/>
  <c r="DK242" i="1"/>
  <c r="DJ242" i="1"/>
  <c r="DI242" i="1"/>
  <c r="DH242" i="1"/>
  <c r="DG242" i="1"/>
  <c r="DF242" i="1"/>
  <c r="DE242" i="1"/>
  <c r="DD242" i="1"/>
  <c r="DC242" i="1"/>
  <c r="DB242" i="1"/>
  <c r="DA242" i="1"/>
  <c r="CZ242" i="1"/>
  <c r="CY242" i="1"/>
  <c r="CX242" i="1"/>
  <c r="CW242" i="1"/>
  <c r="CV242" i="1"/>
  <c r="CU242" i="1"/>
  <c r="DR241" i="1"/>
  <c r="DQ241" i="1"/>
  <c r="DP241" i="1"/>
  <c r="DO241" i="1"/>
  <c r="DN241" i="1"/>
  <c r="DM241" i="1"/>
  <c r="DL241" i="1"/>
  <c r="DK241" i="1"/>
  <c r="DJ241" i="1"/>
  <c r="DI241" i="1"/>
  <c r="DH241" i="1"/>
  <c r="DG241" i="1"/>
  <c r="DF241" i="1"/>
  <c r="DE241" i="1"/>
  <c r="DD241" i="1"/>
  <c r="DC241" i="1"/>
  <c r="DB241" i="1"/>
  <c r="DA241" i="1"/>
  <c r="CZ241" i="1"/>
  <c r="CY241" i="1"/>
  <c r="CX241" i="1"/>
  <c r="CW241" i="1"/>
  <c r="CV241" i="1"/>
  <c r="CU241" i="1"/>
  <c r="DR240" i="1"/>
  <c r="DQ240" i="1"/>
  <c r="DP240" i="1"/>
  <c r="DO240" i="1"/>
  <c r="DN240" i="1"/>
  <c r="DM240" i="1"/>
  <c r="DL240" i="1"/>
  <c r="DK240" i="1"/>
  <c r="DJ240" i="1"/>
  <c r="DI240" i="1"/>
  <c r="DH240" i="1"/>
  <c r="DG240" i="1"/>
  <c r="DF240" i="1"/>
  <c r="DE240" i="1"/>
  <c r="DD240" i="1"/>
  <c r="DC240" i="1"/>
  <c r="DB240" i="1"/>
  <c r="DA240" i="1"/>
  <c r="CZ240" i="1"/>
  <c r="CY240" i="1"/>
  <c r="CX240" i="1"/>
  <c r="CW240" i="1"/>
  <c r="CV240" i="1"/>
  <c r="CU240" i="1"/>
  <c r="DR239" i="1"/>
  <c r="DQ239" i="1"/>
  <c r="DP239" i="1"/>
  <c r="DO239" i="1"/>
  <c r="DN239" i="1"/>
  <c r="DM239" i="1"/>
  <c r="DL239" i="1"/>
  <c r="DK239" i="1"/>
  <c r="DJ239" i="1"/>
  <c r="DI239" i="1"/>
  <c r="DH239" i="1"/>
  <c r="DG239" i="1"/>
  <c r="DF239" i="1"/>
  <c r="DE239" i="1"/>
  <c r="DD239" i="1"/>
  <c r="DC239" i="1"/>
  <c r="DB239" i="1"/>
  <c r="DA239" i="1"/>
  <c r="CZ239" i="1"/>
  <c r="CY239" i="1"/>
  <c r="CX239" i="1"/>
  <c r="CW239" i="1"/>
  <c r="CV239" i="1"/>
  <c r="CU239" i="1"/>
  <c r="DR238" i="1"/>
  <c r="DQ238" i="1"/>
  <c r="DP238" i="1"/>
  <c r="DO238" i="1"/>
  <c r="DN238" i="1"/>
  <c r="DM238" i="1"/>
  <c r="DL238" i="1"/>
  <c r="DK238" i="1"/>
  <c r="DJ238" i="1"/>
  <c r="DI238" i="1"/>
  <c r="DH238" i="1"/>
  <c r="DG238" i="1"/>
  <c r="DF238" i="1"/>
  <c r="DE238" i="1"/>
  <c r="DD238" i="1"/>
  <c r="DC238" i="1"/>
  <c r="DB238" i="1"/>
  <c r="DA238" i="1"/>
  <c r="CZ238" i="1"/>
  <c r="CY238" i="1"/>
  <c r="CX238" i="1"/>
  <c r="CW238" i="1"/>
  <c r="CV238" i="1"/>
  <c r="CU238" i="1"/>
  <c r="DR237" i="1"/>
  <c r="DQ237" i="1"/>
  <c r="DP237" i="1"/>
  <c r="DO237" i="1"/>
  <c r="DN237" i="1"/>
  <c r="DM237" i="1"/>
  <c r="DL237" i="1"/>
  <c r="DK237" i="1"/>
  <c r="DJ237" i="1"/>
  <c r="DI237" i="1"/>
  <c r="DH237" i="1"/>
  <c r="DG237" i="1"/>
  <c r="DF237" i="1"/>
  <c r="DE237" i="1"/>
  <c r="DD237" i="1"/>
  <c r="DC237" i="1"/>
  <c r="DB237" i="1"/>
  <c r="DA237" i="1"/>
  <c r="CZ237" i="1"/>
  <c r="CY237" i="1"/>
  <c r="CX237" i="1"/>
  <c r="CW237" i="1"/>
  <c r="CV237" i="1"/>
  <c r="CU237" i="1"/>
  <c r="DR236" i="1"/>
  <c r="DQ236" i="1"/>
  <c r="DP236" i="1"/>
  <c r="DO236" i="1"/>
  <c r="DN236" i="1"/>
  <c r="DM236" i="1"/>
  <c r="DL236" i="1"/>
  <c r="DK236" i="1"/>
  <c r="DJ236" i="1"/>
  <c r="DI236" i="1"/>
  <c r="DH236" i="1"/>
  <c r="DG236" i="1"/>
  <c r="DF236" i="1"/>
  <c r="DE236" i="1"/>
  <c r="DD236" i="1"/>
  <c r="DC236" i="1"/>
  <c r="DB236" i="1"/>
  <c r="DA236" i="1"/>
  <c r="CZ236" i="1"/>
  <c r="CY236" i="1"/>
  <c r="CX236" i="1"/>
  <c r="CW236" i="1"/>
  <c r="CV236" i="1"/>
  <c r="CU236" i="1"/>
  <c r="DR235" i="1"/>
  <c r="DQ235" i="1"/>
  <c r="DP235" i="1"/>
  <c r="DO235" i="1"/>
  <c r="DN235" i="1"/>
  <c r="DM235" i="1"/>
  <c r="DL235" i="1"/>
  <c r="DK235" i="1"/>
  <c r="DJ235" i="1"/>
  <c r="DI235" i="1"/>
  <c r="DH235" i="1"/>
  <c r="DG235" i="1"/>
  <c r="DF235" i="1"/>
  <c r="DE235" i="1"/>
  <c r="DD235" i="1"/>
  <c r="DC235" i="1"/>
  <c r="DB235" i="1"/>
  <c r="DA235" i="1"/>
  <c r="CZ235" i="1"/>
  <c r="CY235" i="1"/>
  <c r="CX235" i="1"/>
  <c r="CW235" i="1"/>
  <c r="CV235" i="1"/>
  <c r="CU235" i="1"/>
  <c r="DR234" i="1"/>
  <c r="DQ234" i="1"/>
  <c r="DP234" i="1"/>
  <c r="DO234" i="1"/>
  <c r="DN234" i="1"/>
  <c r="DM234" i="1"/>
  <c r="DL234" i="1"/>
  <c r="DK234" i="1"/>
  <c r="DJ234" i="1"/>
  <c r="DI234" i="1"/>
  <c r="DH234" i="1"/>
  <c r="DG234" i="1"/>
  <c r="DF234" i="1"/>
  <c r="DE234" i="1"/>
  <c r="DD234" i="1"/>
  <c r="DC234" i="1"/>
  <c r="DB234" i="1"/>
  <c r="DA234" i="1"/>
  <c r="CZ234" i="1"/>
  <c r="CY234" i="1"/>
  <c r="CX234" i="1"/>
  <c r="CW234" i="1"/>
  <c r="CV234" i="1"/>
  <c r="CU234" i="1"/>
  <c r="DR233" i="1"/>
  <c r="DQ233" i="1"/>
  <c r="DP233" i="1"/>
  <c r="DO233" i="1"/>
  <c r="DN233" i="1"/>
  <c r="DM233" i="1"/>
  <c r="DL233" i="1"/>
  <c r="DK233" i="1"/>
  <c r="DJ233" i="1"/>
  <c r="DI233" i="1"/>
  <c r="DH233" i="1"/>
  <c r="DG233" i="1"/>
  <c r="DF233" i="1"/>
  <c r="DE233" i="1"/>
  <c r="DD233" i="1"/>
  <c r="DC233" i="1"/>
  <c r="DB233" i="1"/>
  <c r="DA233" i="1"/>
  <c r="CZ233" i="1"/>
  <c r="CY233" i="1"/>
  <c r="CX233" i="1"/>
  <c r="CW233" i="1"/>
  <c r="CV233" i="1"/>
  <c r="CU233" i="1"/>
  <c r="DR232" i="1"/>
  <c r="DQ232" i="1"/>
  <c r="DP232" i="1"/>
  <c r="DO232" i="1"/>
  <c r="DN232" i="1"/>
  <c r="DM232" i="1"/>
  <c r="DL232" i="1"/>
  <c r="DK232" i="1"/>
  <c r="DJ232" i="1"/>
  <c r="DI232" i="1"/>
  <c r="DH232" i="1"/>
  <c r="DG232" i="1"/>
  <c r="DF232" i="1"/>
  <c r="DE232" i="1"/>
  <c r="DD232" i="1"/>
  <c r="DC232" i="1"/>
  <c r="DB232" i="1"/>
  <c r="DA232" i="1"/>
  <c r="CZ232" i="1"/>
  <c r="CY232" i="1"/>
  <c r="CX232" i="1"/>
  <c r="CW232" i="1"/>
  <c r="CV232" i="1"/>
  <c r="CU232" i="1"/>
  <c r="DR231" i="1"/>
  <c r="DQ231" i="1"/>
  <c r="DP231" i="1"/>
  <c r="DO231" i="1"/>
  <c r="DN231" i="1"/>
  <c r="DM231" i="1"/>
  <c r="DL231" i="1"/>
  <c r="DK231" i="1"/>
  <c r="DJ231" i="1"/>
  <c r="DI231" i="1"/>
  <c r="DH231" i="1"/>
  <c r="DG231" i="1"/>
  <c r="DF231" i="1"/>
  <c r="DE231" i="1"/>
  <c r="DD231" i="1"/>
  <c r="DC231" i="1"/>
  <c r="DB231" i="1"/>
  <c r="DA231" i="1"/>
  <c r="CZ231" i="1"/>
  <c r="CY231" i="1"/>
  <c r="CX231" i="1"/>
  <c r="CW231" i="1"/>
  <c r="CV231" i="1"/>
  <c r="CU231" i="1"/>
  <c r="DR230" i="1"/>
  <c r="DQ230" i="1"/>
  <c r="DP230" i="1"/>
  <c r="DO230" i="1"/>
  <c r="DN230" i="1"/>
  <c r="DM230" i="1"/>
  <c r="DL230" i="1"/>
  <c r="DK230" i="1"/>
  <c r="DJ230" i="1"/>
  <c r="DI230" i="1"/>
  <c r="DH230" i="1"/>
  <c r="DG230" i="1"/>
  <c r="DF230" i="1"/>
  <c r="DE230" i="1"/>
  <c r="DD230" i="1"/>
  <c r="DC230" i="1"/>
  <c r="DB230" i="1"/>
  <c r="DA230" i="1"/>
  <c r="CZ230" i="1"/>
  <c r="CY230" i="1"/>
  <c r="CX230" i="1"/>
  <c r="CW230" i="1"/>
  <c r="CV230" i="1"/>
  <c r="CU230" i="1"/>
  <c r="DR229" i="1"/>
  <c r="DQ229" i="1"/>
  <c r="DP229" i="1"/>
  <c r="DO229" i="1"/>
  <c r="DN229" i="1"/>
  <c r="DM229" i="1"/>
  <c r="DL229" i="1"/>
  <c r="DK229" i="1"/>
  <c r="DJ229" i="1"/>
  <c r="DI229" i="1"/>
  <c r="DH229" i="1"/>
  <c r="DG229" i="1"/>
  <c r="DF229" i="1"/>
  <c r="DE229" i="1"/>
  <c r="DD229" i="1"/>
  <c r="DC229" i="1"/>
  <c r="DB229" i="1"/>
  <c r="DA229" i="1"/>
  <c r="CZ229" i="1"/>
  <c r="CY229" i="1"/>
  <c r="CX229" i="1"/>
  <c r="CW229" i="1"/>
  <c r="CV229" i="1"/>
  <c r="CU229" i="1"/>
  <c r="DR228" i="1"/>
  <c r="DQ228" i="1"/>
  <c r="DP228" i="1"/>
  <c r="DO228" i="1"/>
  <c r="DN228" i="1"/>
  <c r="DM228" i="1"/>
  <c r="DL228" i="1"/>
  <c r="DK228" i="1"/>
  <c r="DJ228" i="1"/>
  <c r="DI228" i="1"/>
  <c r="DH228" i="1"/>
  <c r="DG228" i="1"/>
  <c r="DF228" i="1"/>
  <c r="DE228" i="1"/>
  <c r="DD228" i="1"/>
  <c r="DC228" i="1"/>
  <c r="DB228" i="1"/>
  <c r="DA228" i="1"/>
  <c r="CZ228" i="1"/>
  <c r="CY228" i="1"/>
  <c r="CX228" i="1"/>
  <c r="CW228" i="1"/>
  <c r="CV228" i="1"/>
  <c r="CU228" i="1"/>
  <c r="DR227" i="1"/>
  <c r="DQ227" i="1"/>
  <c r="DP227" i="1"/>
  <c r="DO227" i="1"/>
  <c r="DN227" i="1"/>
  <c r="DM227" i="1"/>
  <c r="DL227" i="1"/>
  <c r="DK227" i="1"/>
  <c r="DJ227" i="1"/>
  <c r="DI227" i="1"/>
  <c r="DH227" i="1"/>
  <c r="DG227" i="1"/>
  <c r="DF227" i="1"/>
  <c r="DE227" i="1"/>
  <c r="DD227" i="1"/>
  <c r="DC227" i="1"/>
  <c r="DB227" i="1"/>
  <c r="DA227" i="1"/>
  <c r="CZ227" i="1"/>
  <c r="CY227" i="1"/>
  <c r="CX227" i="1"/>
  <c r="CW227" i="1"/>
  <c r="CV227" i="1"/>
  <c r="CU227" i="1"/>
  <c r="DR226" i="1"/>
  <c r="DQ226" i="1"/>
  <c r="DP226" i="1"/>
  <c r="DO226" i="1"/>
  <c r="DN226" i="1"/>
  <c r="DM226" i="1"/>
  <c r="DL226" i="1"/>
  <c r="DK226" i="1"/>
  <c r="DJ226" i="1"/>
  <c r="DI226" i="1"/>
  <c r="DH226" i="1"/>
  <c r="DG226" i="1"/>
  <c r="DF226" i="1"/>
  <c r="DE226" i="1"/>
  <c r="DD226" i="1"/>
  <c r="DC226" i="1"/>
  <c r="DB226" i="1"/>
  <c r="DA226" i="1"/>
  <c r="CZ226" i="1"/>
  <c r="CY226" i="1"/>
  <c r="CX226" i="1"/>
  <c r="CW226" i="1"/>
  <c r="CV226" i="1"/>
  <c r="CU226" i="1"/>
  <c r="DR225" i="1"/>
  <c r="DQ225" i="1"/>
  <c r="DP225" i="1"/>
  <c r="DO225" i="1"/>
  <c r="DN225" i="1"/>
  <c r="DM225" i="1"/>
  <c r="DL225" i="1"/>
  <c r="DK225" i="1"/>
  <c r="DJ225" i="1"/>
  <c r="DI225" i="1"/>
  <c r="DH225" i="1"/>
  <c r="DG225" i="1"/>
  <c r="DF225" i="1"/>
  <c r="DE225" i="1"/>
  <c r="DD225" i="1"/>
  <c r="DC225" i="1"/>
  <c r="DB225" i="1"/>
  <c r="DA225" i="1"/>
  <c r="CZ225" i="1"/>
  <c r="CY225" i="1"/>
  <c r="CX225" i="1"/>
  <c r="CW225" i="1"/>
  <c r="CV225" i="1"/>
  <c r="CU225" i="1"/>
  <c r="DR224" i="1"/>
  <c r="DQ224" i="1"/>
  <c r="DP224" i="1"/>
  <c r="DO224" i="1"/>
  <c r="DN224" i="1"/>
  <c r="DM224" i="1"/>
  <c r="DL224" i="1"/>
  <c r="DK224" i="1"/>
  <c r="DJ224" i="1"/>
  <c r="DI224" i="1"/>
  <c r="DH224" i="1"/>
  <c r="DG224" i="1"/>
  <c r="DF224" i="1"/>
  <c r="DE224" i="1"/>
  <c r="DD224" i="1"/>
  <c r="DC224" i="1"/>
  <c r="DB224" i="1"/>
  <c r="DA224" i="1"/>
  <c r="CZ224" i="1"/>
  <c r="CY224" i="1"/>
  <c r="CX224" i="1"/>
  <c r="CW224" i="1"/>
  <c r="CV224" i="1"/>
  <c r="CU224" i="1"/>
  <c r="DR223" i="1"/>
  <c r="DQ223" i="1"/>
  <c r="DP223" i="1"/>
  <c r="DO223" i="1"/>
  <c r="DN223" i="1"/>
  <c r="DM223" i="1"/>
  <c r="DL223" i="1"/>
  <c r="DK223" i="1"/>
  <c r="DJ223" i="1"/>
  <c r="DI223" i="1"/>
  <c r="DH223" i="1"/>
  <c r="DG223" i="1"/>
  <c r="DF223" i="1"/>
  <c r="DE223" i="1"/>
  <c r="DD223" i="1"/>
  <c r="DC223" i="1"/>
  <c r="DB223" i="1"/>
  <c r="DA223" i="1"/>
  <c r="CZ223" i="1"/>
  <c r="CY223" i="1"/>
  <c r="CX223" i="1"/>
  <c r="CW223" i="1"/>
  <c r="CV223" i="1"/>
  <c r="CU223" i="1"/>
  <c r="DR222" i="1"/>
  <c r="DQ222" i="1"/>
  <c r="DP222" i="1"/>
  <c r="DO222" i="1"/>
  <c r="DN222" i="1"/>
  <c r="DM222" i="1"/>
  <c r="DL222" i="1"/>
  <c r="DK222" i="1"/>
  <c r="DJ222" i="1"/>
  <c r="DI222" i="1"/>
  <c r="DH222" i="1"/>
  <c r="DG222" i="1"/>
  <c r="DF222" i="1"/>
  <c r="DE222" i="1"/>
  <c r="DD222" i="1"/>
  <c r="DC222" i="1"/>
  <c r="DB222" i="1"/>
  <c r="DA222" i="1"/>
  <c r="CZ222" i="1"/>
  <c r="CY222" i="1"/>
  <c r="CX222" i="1"/>
  <c r="CW222" i="1"/>
  <c r="CV222" i="1"/>
  <c r="CU222" i="1"/>
  <c r="DR221" i="1"/>
  <c r="DQ221" i="1"/>
  <c r="DP221" i="1"/>
  <c r="DO221" i="1"/>
  <c r="DN221" i="1"/>
  <c r="DM221" i="1"/>
  <c r="DL221" i="1"/>
  <c r="DK221" i="1"/>
  <c r="DJ221" i="1"/>
  <c r="DI221" i="1"/>
  <c r="DH221" i="1"/>
  <c r="DG221" i="1"/>
  <c r="DF221" i="1"/>
  <c r="DE221" i="1"/>
  <c r="DD221" i="1"/>
  <c r="DC221" i="1"/>
  <c r="DB221" i="1"/>
  <c r="DA221" i="1"/>
  <c r="CZ221" i="1"/>
  <c r="CY221" i="1"/>
  <c r="CX221" i="1"/>
  <c r="CW221" i="1"/>
  <c r="CV221" i="1"/>
  <c r="CU221" i="1"/>
  <c r="DR220" i="1"/>
  <c r="DQ220" i="1"/>
  <c r="DP220" i="1"/>
  <c r="DO220" i="1"/>
  <c r="DN220" i="1"/>
  <c r="DM220" i="1"/>
  <c r="DL220" i="1"/>
  <c r="DK220" i="1"/>
  <c r="DJ220" i="1"/>
  <c r="DI220" i="1"/>
  <c r="DH220" i="1"/>
  <c r="DG220" i="1"/>
  <c r="DF220" i="1"/>
  <c r="DE220" i="1"/>
  <c r="DD220" i="1"/>
  <c r="DC220" i="1"/>
  <c r="DB220" i="1"/>
  <c r="DA220" i="1"/>
  <c r="CZ220" i="1"/>
  <c r="CY220" i="1"/>
  <c r="CX220" i="1"/>
  <c r="CW220" i="1"/>
  <c r="CV220" i="1"/>
  <c r="CU220" i="1"/>
  <c r="DR219" i="1"/>
  <c r="DQ219" i="1"/>
  <c r="DP219" i="1"/>
  <c r="DO219" i="1"/>
  <c r="DN219" i="1"/>
  <c r="DM219" i="1"/>
  <c r="DL219" i="1"/>
  <c r="DK219" i="1"/>
  <c r="DJ219" i="1"/>
  <c r="DI219" i="1"/>
  <c r="DH219" i="1"/>
  <c r="DG219" i="1"/>
  <c r="DF219" i="1"/>
  <c r="DE219" i="1"/>
  <c r="DD219" i="1"/>
  <c r="DC219" i="1"/>
  <c r="DB219" i="1"/>
  <c r="DA219" i="1"/>
  <c r="CZ219" i="1"/>
  <c r="CY219" i="1"/>
  <c r="CX219" i="1"/>
  <c r="CW219" i="1"/>
  <c r="CV219" i="1"/>
  <c r="CU219" i="1"/>
  <c r="DR218" i="1"/>
  <c r="DQ218" i="1"/>
  <c r="DP218" i="1"/>
  <c r="DO218" i="1"/>
  <c r="DN218" i="1"/>
  <c r="DM218" i="1"/>
  <c r="DL218" i="1"/>
  <c r="DK218" i="1"/>
  <c r="DJ218" i="1"/>
  <c r="DI218" i="1"/>
  <c r="DH218" i="1"/>
  <c r="DG218" i="1"/>
  <c r="DF218" i="1"/>
  <c r="DE218" i="1"/>
  <c r="DD218" i="1"/>
  <c r="DC218" i="1"/>
  <c r="DB218" i="1"/>
  <c r="DA218" i="1"/>
  <c r="CZ218" i="1"/>
  <c r="CY218" i="1"/>
  <c r="CX218" i="1"/>
  <c r="CW218" i="1"/>
  <c r="CV218" i="1"/>
  <c r="CU218" i="1"/>
  <c r="DR217" i="1"/>
  <c r="DQ217" i="1"/>
  <c r="DP217" i="1"/>
  <c r="DO217" i="1"/>
  <c r="DN217" i="1"/>
  <c r="DM217" i="1"/>
  <c r="DL217" i="1"/>
  <c r="DK217" i="1"/>
  <c r="DJ217" i="1"/>
  <c r="DI217" i="1"/>
  <c r="DH217" i="1"/>
  <c r="DG217" i="1"/>
  <c r="DF217" i="1"/>
  <c r="DE217" i="1"/>
  <c r="DD217" i="1"/>
  <c r="DC217" i="1"/>
  <c r="DB217" i="1"/>
  <c r="DA217" i="1"/>
  <c r="CZ217" i="1"/>
  <c r="CY217" i="1"/>
  <c r="CX217" i="1"/>
  <c r="CW217" i="1"/>
  <c r="CV217" i="1"/>
  <c r="CU217" i="1"/>
  <c r="DR216" i="1"/>
  <c r="DQ216" i="1"/>
  <c r="DP216" i="1"/>
  <c r="DO216" i="1"/>
  <c r="DN216" i="1"/>
  <c r="DM216" i="1"/>
  <c r="DL216" i="1"/>
  <c r="DK216" i="1"/>
  <c r="DJ216" i="1"/>
  <c r="DI216" i="1"/>
  <c r="DH216" i="1"/>
  <c r="DG216" i="1"/>
  <c r="DF216" i="1"/>
  <c r="DE216" i="1"/>
  <c r="DD216" i="1"/>
  <c r="DC216" i="1"/>
  <c r="DB216" i="1"/>
  <c r="DA216" i="1"/>
  <c r="CZ216" i="1"/>
  <c r="CY216" i="1"/>
  <c r="CX216" i="1"/>
  <c r="CW216" i="1"/>
  <c r="CV216" i="1"/>
  <c r="CU216" i="1"/>
  <c r="DR215" i="1"/>
  <c r="DQ215" i="1"/>
  <c r="DP215" i="1"/>
  <c r="DO215" i="1"/>
  <c r="DN215" i="1"/>
  <c r="DM215" i="1"/>
  <c r="DL215" i="1"/>
  <c r="DK215" i="1"/>
  <c r="DJ215" i="1"/>
  <c r="DI215" i="1"/>
  <c r="DH215" i="1"/>
  <c r="DG215" i="1"/>
  <c r="DF215" i="1"/>
  <c r="DE215" i="1"/>
  <c r="DD215" i="1"/>
  <c r="DC215" i="1"/>
  <c r="DB215" i="1"/>
  <c r="DA215" i="1"/>
  <c r="CZ215" i="1"/>
  <c r="CY215" i="1"/>
  <c r="CX215" i="1"/>
  <c r="CW215" i="1"/>
  <c r="CV215" i="1"/>
  <c r="CU215" i="1"/>
  <c r="DR214" i="1"/>
  <c r="DQ214" i="1"/>
  <c r="DP214" i="1"/>
  <c r="DO214" i="1"/>
  <c r="DN214" i="1"/>
  <c r="DM214" i="1"/>
  <c r="DL214" i="1"/>
  <c r="DK214" i="1"/>
  <c r="DJ214" i="1"/>
  <c r="DI214" i="1"/>
  <c r="DH214" i="1"/>
  <c r="DG214" i="1"/>
  <c r="DF214" i="1"/>
  <c r="DE214" i="1"/>
  <c r="DD214" i="1"/>
  <c r="DC214" i="1"/>
  <c r="DB214" i="1"/>
  <c r="DA214" i="1"/>
  <c r="CZ214" i="1"/>
  <c r="CY214" i="1"/>
  <c r="CX214" i="1"/>
  <c r="CW214" i="1"/>
  <c r="CV214" i="1"/>
  <c r="CU214" i="1"/>
  <c r="DR213" i="1"/>
  <c r="DQ213" i="1"/>
  <c r="DP213" i="1"/>
  <c r="DO213" i="1"/>
  <c r="DN213" i="1"/>
  <c r="DM213" i="1"/>
  <c r="DL213" i="1"/>
  <c r="DK213" i="1"/>
  <c r="DJ213" i="1"/>
  <c r="DI213" i="1"/>
  <c r="DH213" i="1"/>
  <c r="DG213" i="1"/>
  <c r="DF213" i="1"/>
  <c r="DE213" i="1"/>
  <c r="DD213" i="1"/>
  <c r="DC213" i="1"/>
  <c r="DB213" i="1"/>
  <c r="DA213" i="1"/>
  <c r="CZ213" i="1"/>
  <c r="CY213" i="1"/>
  <c r="CX213" i="1"/>
  <c r="CW213" i="1"/>
  <c r="CV213" i="1"/>
  <c r="CU213" i="1"/>
  <c r="DR212" i="1"/>
  <c r="DQ212" i="1"/>
  <c r="DP212" i="1"/>
  <c r="DO212" i="1"/>
  <c r="DN212" i="1"/>
  <c r="DM212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DR211" i="1"/>
  <c r="DQ211" i="1"/>
  <c r="DP211" i="1"/>
  <c r="DO211" i="1"/>
  <c r="DN211" i="1"/>
  <c r="DM211" i="1"/>
  <c r="DL211" i="1"/>
  <c r="DK211" i="1"/>
  <c r="DJ211" i="1"/>
  <c r="DI211" i="1"/>
  <c r="DH211" i="1"/>
  <c r="DG211" i="1"/>
  <c r="DF211" i="1"/>
  <c r="DE211" i="1"/>
  <c r="DD211" i="1"/>
  <c r="DC211" i="1"/>
  <c r="DB211" i="1"/>
  <c r="DA211" i="1"/>
  <c r="CZ211" i="1"/>
  <c r="CY211" i="1"/>
  <c r="CX211" i="1"/>
  <c r="CW211" i="1"/>
  <c r="CV211" i="1"/>
  <c r="CU211" i="1"/>
  <c r="DR210" i="1"/>
  <c r="DQ210" i="1"/>
  <c r="DP210" i="1"/>
  <c r="DO210" i="1"/>
  <c r="DN210" i="1"/>
  <c r="DM210" i="1"/>
  <c r="DL210" i="1"/>
  <c r="DK210" i="1"/>
  <c r="DJ210" i="1"/>
  <c r="DI210" i="1"/>
  <c r="DH210" i="1"/>
  <c r="DG210" i="1"/>
  <c r="DF210" i="1"/>
  <c r="DE210" i="1"/>
  <c r="DD210" i="1"/>
  <c r="DC210" i="1"/>
  <c r="DB210" i="1"/>
  <c r="DA210" i="1"/>
  <c r="CZ210" i="1"/>
  <c r="CY210" i="1"/>
  <c r="CX210" i="1"/>
  <c r="CW210" i="1"/>
  <c r="CV210" i="1"/>
  <c r="CU210" i="1"/>
  <c r="DR209" i="1"/>
  <c r="DQ209" i="1"/>
  <c r="DP209" i="1"/>
  <c r="DO209" i="1"/>
  <c r="DN209" i="1"/>
  <c r="DM209" i="1"/>
  <c r="DL209" i="1"/>
  <c r="DK209" i="1"/>
  <c r="DJ209" i="1"/>
  <c r="DI209" i="1"/>
  <c r="DH209" i="1"/>
  <c r="DG209" i="1"/>
  <c r="DF209" i="1"/>
  <c r="DE209" i="1"/>
  <c r="DD209" i="1"/>
  <c r="DC209" i="1"/>
  <c r="DB209" i="1"/>
  <c r="DA209" i="1"/>
  <c r="CZ209" i="1"/>
  <c r="CY209" i="1"/>
  <c r="CX209" i="1"/>
  <c r="CW209" i="1"/>
  <c r="CV209" i="1"/>
  <c r="CU209" i="1"/>
  <c r="DR208" i="1"/>
  <c r="DQ208" i="1"/>
  <c r="DP208" i="1"/>
  <c r="DO208" i="1"/>
  <c r="DN208" i="1"/>
  <c r="DM208" i="1"/>
  <c r="DL208" i="1"/>
  <c r="DK208" i="1"/>
  <c r="DJ208" i="1"/>
  <c r="DI208" i="1"/>
  <c r="DH208" i="1"/>
  <c r="DG208" i="1"/>
  <c r="DF208" i="1"/>
  <c r="DE208" i="1"/>
  <c r="DD208" i="1"/>
  <c r="DC208" i="1"/>
  <c r="DB208" i="1"/>
  <c r="DA208" i="1"/>
  <c r="CZ208" i="1"/>
  <c r="CY208" i="1"/>
  <c r="CX208" i="1"/>
  <c r="CW208" i="1"/>
  <c r="CV208" i="1"/>
  <c r="CU208" i="1"/>
  <c r="DR207" i="1"/>
  <c r="DQ207" i="1"/>
  <c r="DP207" i="1"/>
  <c r="DO207" i="1"/>
  <c r="DN207" i="1"/>
  <c r="DM207" i="1"/>
  <c r="DL207" i="1"/>
  <c r="DK207" i="1"/>
  <c r="DJ207" i="1"/>
  <c r="DI207" i="1"/>
  <c r="DH207" i="1"/>
  <c r="DG207" i="1"/>
  <c r="DF207" i="1"/>
  <c r="DE207" i="1"/>
  <c r="DD207" i="1"/>
  <c r="DC207" i="1"/>
  <c r="DB207" i="1"/>
  <c r="DA207" i="1"/>
  <c r="CZ207" i="1"/>
  <c r="CY207" i="1"/>
  <c r="CX207" i="1"/>
  <c r="CW207" i="1"/>
  <c r="CV207" i="1"/>
  <c r="CU207" i="1"/>
  <c r="DR206" i="1"/>
  <c r="DQ206" i="1"/>
  <c r="DP206" i="1"/>
  <c r="DO206" i="1"/>
  <c r="DN206" i="1"/>
  <c r="DM206" i="1"/>
  <c r="DL206" i="1"/>
  <c r="DK206" i="1"/>
  <c r="DJ206" i="1"/>
  <c r="DI206" i="1"/>
  <c r="DH206" i="1"/>
  <c r="DG206" i="1"/>
  <c r="DF206" i="1"/>
  <c r="DE206" i="1"/>
  <c r="DD206" i="1"/>
  <c r="DC206" i="1"/>
  <c r="DB206" i="1"/>
  <c r="DA206" i="1"/>
  <c r="CZ206" i="1"/>
  <c r="CY206" i="1"/>
  <c r="CX206" i="1"/>
  <c r="CW206" i="1"/>
  <c r="CV206" i="1"/>
  <c r="CU206" i="1"/>
  <c r="DR205" i="1"/>
  <c r="DQ205" i="1"/>
  <c r="DP205" i="1"/>
  <c r="DO205" i="1"/>
  <c r="DN205" i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DR204" i="1"/>
  <c r="DQ204" i="1"/>
  <c r="DP204" i="1"/>
  <c r="DO204" i="1"/>
  <c r="DN204" i="1"/>
  <c r="DM204" i="1"/>
  <c r="DL204" i="1"/>
  <c r="DK204" i="1"/>
  <c r="DJ204" i="1"/>
  <c r="DI204" i="1"/>
  <c r="DH204" i="1"/>
  <c r="DG204" i="1"/>
  <c r="DF204" i="1"/>
  <c r="DE204" i="1"/>
  <c r="DD204" i="1"/>
  <c r="DC204" i="1"/>
  <c r="DB204" i="1"/>
  <c r="DA204" i="1"/>
  <c r="CZ204" i="1"/>
  <c r="CY204" i="1"/>
  <c r="CX204" i="1"/>
  <c r="CW204" i="1"/>
  <c r="CV204" i="1"/>
  <c r="CU204" i="1"/>
  <c r="DR203" i="1"/>
  <c r="DQ203" i="1"/>
  <c r="DP203" i="1"/>
  <c r="DO203" i="1"/>
  <c r="DN203" i="1"/>
  <c r="DM203" i="1"/>
  <c r="DL203" i="1"/>
  <c r="DK203" i="1"/>
  <c r="DJ203" i="1"/>
  <c r="DI203" i="1"/>
  <c r="DH203" i="1"/>
  <c r="DG203" i="1"/>
  <c r="DF203" i="1"/>
  <c r="DE203" i="1"/>
  <c r="DD203" i="1"/>
  <c r="DC203" i="1"/>
  <c r="DB203" i="1"/>
  <c r="DA203" i="1"/>
  <c r="CZ203" i="1"/>
  <c r="CY203" i="1"/>
  <c r="CX203" i="1"/>
  <c r="CW203" i="1"/>
  <c r="CV203" i="1"/>
  <c r="CU203" i="1"/>
  <c r="DR202" i="1"/>
  <c r="DQ202" i="1"/>
  <c r="DP202" i="1"/>
  <c r="DO202" i="1"/>
  <c r="DN202" i="1"/>
  <c r="DM202" i="1"/>
  <c r="DL202" i="1"/>
  <c r="DK202" i="1"/>
  <c r="DJ202" i="1"/>
  <c r="DI202" i="1"/>
  <c r="DH202" i="1"/>
  <c r="DG202" i="1"/>
  <c r="DF202" i="1"/>
  <c r="DE202" i="1"/>
  <c r="DD202" i="1"/>
  <c r="DC202" i="1"/>
  <c r="DB202" i="1"/>
  <c r="DA202" i="1"/>
  <c r="CZ202" i="1"/>
  <c r="CY202" i="1"/>
  <c r="CX202" i="1"/>
  <c r="CW202" i="1"/>
  <c r="CV202" i="1"/>
  <c r="CU202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DR200" i="1"/>
  <c r="DQ200" i="1"/>
  <c r="DP200" i="1"/>
  <c r="DO200" i="1"/>
  <c r="DN200" i="1"/>
  <c r="DM200" i="1"/>
  <c r="DL200" i="1"/>
  <c r="DK200" i="1"/>
  <c r="DJ200" i="1"/>
  <c r="DI200" i="1"/>
  <c r="DH200" i="1"/>
  <c r="DG200" i="1"/>
  <c r="DF200" i="1"/>
  <c r="DE200" i="1"/>
  <c r="DD200" i="1"/>
  <c r="DC200" i="1"/>
  <c r="DB200" i="1"/>
  <c r="DA200" i="1"/>
  <c r="CZ200" i="1"/>
  <c r="CY200" i="1"/>
  <c r="CX200" i="1"/>
  <c r="CW200" i="1"/>
  <c r="CV200" i="1"/>
  <c r="CU200" i="1"/>
  <c r="DR199" i="1"/>
  <c r="DQ199" i="1"/>
  <c r="DP199" i="1"/>
  <c r="DO199" i="1"/>
  <c r="DN199" i="1"/>
  <c r="DM199" i="1"/>
  <c r="DL199" i="1"/>
  <c r="DK199" i="1"/>
  <c r="DJ199" i="1"/>
  <c r="DI199" i="1"/>
  <c r="DH199" i="1"/>
  <c r="DG199" i="1"/>
  <c r="DF199" i="1"/>
  <c r="DE199" i="1"/>
  <c r="DD199" i="1"/>
  <c r="DC199" i="1"/>
  <c r="DB199" i="1"/>
  <c r="DA199" i="1"/>
  <c r="CZ199" i="1"/>
  <c r="CY199" i="1"/>
  <c r="CX199" i="1"/>
  <c r="CW199" i="1"/>
  <c r="CV199" i="1"/>
  <c r="CU199" i="1"/>
  <c r="DR198" i="1"/>
  <c r="DQ198" i="1"/>
  <c r="DP198" i="1"/>
  <c r="DO198" i="1"/>
  <c r="DN198" i="1"/>
  <c r="DM198" i="1"/>
  <c r="DL198" i="1"/>
  <c r="DK198" i="1"/>
  <c r="DJ198" i="1"/>
  <c r="DI198" i="1"/>
  <c r="DH198" i="1"/>
  <c r="DG198" i="1"/>
  <c r="DF198" i="1"/>
  <c r="DE198" i="1"/>
  <c r="DD198" i="1"/>
  <c r="DC198" i="1"/>
  <c r="DB198" i="1"/>
  <c r="DA198" i="1"/>
  <c r="CZ198" i="1"/>
  <c r="CY198" i="1"/>
  <c r="CX198" i="1"/>
  <c r="CW198" i="1"/>
  <c r="CV198" i="1"/>
  <c r="CU198" i="1"/>
  <c r="DR197" i="1"/>
  <c r="DQ197" i="1"/>
  <c r="DP197" i="1"/>
  <c r="DO197" i="1"/>
  <c r="DN197" i="1"/>
  <c r="DM197" i="1"/>
  <c r="DL197" i="1"/>
  <c r="DK197" i="1"/>
  <c r="DJ197" i="1"/>
  <c r="DI197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DR196" i="1"/>
  <c r="DQ196" i="1"/>
  <c r="DP196" i="1"/>
  <c r="DO196" i="1"/>
  <c r="DN196" i="1"/>
  <c r="DM196" i="1"/>
  <c r="DL196" i="1"/>
  <c r="DK196" i="1"/>
  <c r="DJ196" i="1"/>
  <c r="DI196" i="1"/>
  <c r="DH196" i="1"/>
  <c r="DG196" i="1"/>
  <c r="DF196" i="1"/>
  <c r="DE196" i="1"/>
  <c r="DD196" i="1"/>
  <c r="DC196" i="1"/>
  <c r="DB196" i="1"/>
  <c r="DA196" i="1"/>
  <c r="CZ196" i="1"/>
  <c r="CY196" i="1"/>
  <c r="CX196" i="1"/>
  <c r="CW196" i="1"/>
  <c r="CV196" i="1"/>
  <c r="CU196" i="1"/>
  <c r="DR195" i="1"/>
  <c r="DQ195" i="1"/>
  <c r="DP195" i="1"/>
  <c r="DO195" i="1"/>
  <c r="DN195" i="1"/>
  <c r="DM195" i="1"/>
  <c r="DL195" i="1"/>
  <c r="DK195" i="1"/>
  <c r="DJ195" i="1"/>
  <c r="DI195" i="1"/>
  <c r="DH195" i="1"/>
  <c r="DG195" i="1"/>
  <c r="DF195" i="1"/>
  <c r="DE195" i="1"/>
  <c r="DD195" i="1"/>
  <c r="DC195" i="1"/>
  <c r="DB195" i="1"/>
  <c r="DA195" i="1"/>
  <c r="CZ195" i="1"/>
  <c r="CY195" i="1"/>
  <c r="CX195" i="1"/>
  <c r="CW195" i="1"/>
  <c r="CV195" i="1"/>
  <c r="CU195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DR193" i="1"/>
  <c r="DQ193" i="1"/>
  <c r="DP193" i="1"/>
  <c r="DO193" i="1"/>
  <c r="DN193" i="1"/>
  <c r="DM193" i="1"/>
  <c r="DL193" i="1"/>
  <c r="DK193" i="1"/>
  <c r="DJ193" i="1"/>
  <c r="DI193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DR191" i="1"/>
  <c r="DQ191" i="1"/>
  <c r="DP191" i="1"/>
  <c r="DO191" i="1"/>
  <c r="DN191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DR189" i="1"/>
  <c r="DQ189" i="1"/>
  <c r="DP189" i="1"/>
  <c r="DO189" i="1"/>
  <c r="DN189" i="1"/>
  <c r="DM189" i="1"/>
  <c r="DL189" i="1"/>
  <c r="DK189" i="1"/>
  <c r="DJ189" i="1"/>
  <c r="DI189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DR188" i="1"/>
  <c r="DQ188" i="1"/>
  <c r="DP188" i="1"/>
  <c r="DO188" i="1"/>
  <c r="DN188" i="1"/>
  <c r="DM188" i="1"/>
  <c r="DL188" i="1"/>
  <c r="DK188" i="1"/>
  <c r="DJ188" i="1"/>
  <c r="DI188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DR187" i="1"/>
  <c r="DQ187" i="1"/>
  <c r="DP187" i="1"/>
  <c r="DO187" i="1"/>
  <c r="DN187" i="1"/>
  <c r="DM187" i="1"/>
  <c r="DL187" i="1"/>
  <c r="DK187" i="1"/>
  <c r="DJ187" i="1"/>
  <c r="DI187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DR182" i="1"/>
  <c r="DQ182" i="1"/>
  <c r="DP182" i="1"/>
  <c r="DO182" i="1"/>
  <c r="DN182" i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DR181" i="1"/>
  <c r="DQ181" i="1"/>
  <c r="DP181" i="1"/>
  <c r="DO181" i="1"/>
  <c r="DN181" i="1"/>
  <c r="DM181" i="1"/>
  <c r="DL181" i="1"/>
  <c r="DK181" i="1"/>
  <c r="DJ181" i="1"/>
  <c r="DI181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</calcChain>
</file>

<file path=xl/sharedStrings.xml><?xml version="1.0" encoding="utf-8"?>
<sst xmlns="http://schemas.openxmlformats.org/spreadsheetml/2006/main" count="3766" uniqueCount="964">
  <si>
    <t>Top 300 Accounts Sarclisa Performance</t>
  </si>
  <si>
    <t>Data Through 7/23 (Account Access), 8/28 (Sales from DDDMD data) and 08/12 (Execution)</t>
  </si>
  <si>
    <t>Time period : 08 Aug 2025 - 28 Aug 2026</t>
  </si>
  <si>
    <t>SARCLISA</t>
  </si>
  <si>
    <t>CD38</t>
  </si>
  <si>
    <t>Source :- Market Map Data</t>
  </si>
  <si>
    <t>Division</t>
  </si>
  <si>
    <t>Corporate Account ID</t>
  </si>
  <si>
    <t>Account Name</t>
  </si>
  <si>
    <t>ADDRESS</t>
  </si>
  <si>
    <t>CITY</t>
  </si>
  <si>
    <t>STATE</t>
  </si>
  <si>
    <t>ZIP</t>
  </si>
  <si>
    <t>ACCOUNT_CLASSIFICATION</t>
  </si>
  <si>
    <t>P&amp;T Status</t>
  </si>
  <si>
    <t>P&amp;T Review Date</t>
  </si>
  <si>
    <t>Order Set Integration</t>
  </si>
  <si>
    <t>Pathway Pull Through</t>
  </si>
  <si>
    <t>Sarclisa(IV+SC) Vol</t>
  </si>
  <si>
    <t>Sarclisa(IV)  Vol</t>
  </si>
  <si>
    <t>Sarclisa(SC) Vol</t>
  </si>
  <si>
    <t>CD38(IV+SC) Vol</t>
  </si>
  <si>
    <t>CD38(IV)  Vol</t>
  </si>
  <si>
    <t>CD38(SC) Vol</t>
  </si>
  <si>
    <t>R12M Sarclisa(IV+SC) Vol</t>
  </si>
  <si>
    <t>R12M Sarclisa(IV)  Vol</t>
  </si>
  <si>
    <t>R12M Sarclisa(SC) Vol</t>
  </si>
  <si>
    <t>R12M CD38(IV+SC) Vol</t>
  </si>
  <si>
    <t>R12M CD38(IV)  Vol</t>
  </si>
  <si>
    <t>R12M CD38(SC) Vol</t>
  </si>
  <si>
    <t>R13 Sarclisa(IV+SC) Vol</t>
  </si>
  <si>
    <t>R3M Sarclisa(IV)  Vol</t>
  </si>
  <si>
    <t>R3M Sarclisa(SC) Vol</t>
  </si>
  <si>
    <t>R3M CD38(IV+SC) Vol</t>
  </si>
  <si>
    <t>R3M CD38(IV)  Vol</t>
  </si>
  <si>
    <t>R3M CD38(SC) Vol</t>
  </si>
  <si>
    <t>PR3M Sarclisa(IV+SC) Vol</t>
  </si>
  <si>
    <t>PR3M Sarclisa(IV)  Vol</t>
  </si>
  <si>
    <t>PR3M Sarclisa(SC) Vol</t>
  </si>
  <si>
    <t>PR3M CD38(IV+SC) Vol</t>
  </si>
  <si>
    <t>PR3M CD38(IV)  Vol</t>
  </si>
  <si>
    <t>PR3M CD38(SC) Vol</t>
  </si>
  <si>
    <t>LTD Sarclisa(IV+SC) Vol</t>
  </si>
  <si>
    <t>LTD Sarclisa(IV)  Vol</t>
  </si>
  <si>
    <t>LTD Sarclisa(SC) Vol</t>
  </si>
  <si>
    <t>LTD CD38(IV+SC) Vol</t>
  </si>
  <si>
    <t>LTD CD38(IV)  Vol</t>
  </si>
  <si>
    <t>LTD CD38(SC) Vol</t>
  </si>
  <si>
    <t>Operational Synergy Input</t>
  </si>
  <si>
    <t>V&amp;A Economic Profiling Segment</t>
  </si>
  <si>
    <t>Formulary inclusion Duration?</t>
  </si>
  <si>
    <t>Primary purchasing channel</t>
  </si>
  <si>
    <t>Level of control (Updated)</t>
  </si>
  <si>
    <t>West Division</t>
  </si>
  <si>
    <t>City Of Hope Cancer Institute</t>
  </si>
  <si>
    <t>Top Priority</t>
  </si>
  <si>
    <t>1500 Duarte Rd</t>
  </si>
  <si>
    <t>Duarte</t>
  </si>
  <si>
    <t>CA</t>
  </si>
  <si>
    <t>Academic</t>
  </si>
  <si>
    <t>Mix</t>
  </si>
  <si>
    <t>Non-cost modelers</t>
  </si>
  <si>
    <t>6-10 weeks</t>
  </si>
  <si>
    <t>Community Clinics</t>
  </si>
  <si>
    <t>Top Down</t>
  </si>
  <si>
    <t>Northeast Division</t>
  </si>
  <si>
    <t>Maryland Oncology Hematology  Pa</t>
  </si>
  <si>
    <t>10710 Charter Dr Ste G020</t>
  </si>
  <si>
    <t>Columbia</t>
  </si>
  <si>
    <t>MD</t>
  </si>
  <si>
    <t>Network Affiliated Community</t>
  </si>
  <si>
    <t>Pharmacy Workflow</t>
  </si>
  <si>
    <t>Operational modelers</t>
  </si>
  <si>
    <t>-</t>
  </si>
  <si>
    <t>Gatekeeper</t>
  </si>
  <si>
    <t>Southeast Division</t>
  </si>
  <si>
    <t>Lcmc Health System</t>
  </si>
  <si>
    <t>210 State St</t>
  </si>
  <si>
    <t>New Orleans</t>
  </si>
  <si>
    <t>LA</t>
  </si>
  <si>
    <t>IDN</t>
  </si>
  <si>
    <t>None</t>
  </si>
  <si>
    <t>340B Clinics</t>
  </si>
  <si>
    <t>Central Division</t>
  </si>
  <si>
    <t>Saint Lukes Episcopal Presbyterian Hospital</t>
  </si>
  <si>
    <t>232 S Woods Mill Rd</t>
  </si>
  <si>
    <t>Chesterfield</t>
  </si>
  <si>
    <t>MO</t>
  </si>
  <si>
    <t>University Of Arkansas For Medical Sciences</t>
  </si>
  <si>
    <t>4301 W Markham St</t>
  </si>
  <si>
    <t>Little Rock</t>
  </si>
  <si>
    <t>AR</t>
  </si>
  <si>
    <t>NCR modelers</t>
  </si>
  <si>
    <t>Aspirus  Inc</t>
  </si>
  <si>
    <t>2200 Westwood Dr</t>
  </si>
  <si>
    <t>Wausau</t>
  </si>
  <si>
    <t>WI</t>
  </si>
  <si>
    <t>Non-340B</t>
  </si>
  <si>
    <t>University Of Southern California</t>
  </si>
  <si>
    <t>3535 S Figueroa St Ste 208b</t>
  </si>
  <si>
    <t>Los Angeles</t>
  </si>
  <si>
    <t>University Of Miami Health System</t>
  </si>
  <si>
    <t>1120 Nw 14th St Ste 360</t>
  </si>
  <si>
    <t>Miami</t>
  </si>
  <si>
    <t>FL</t>
  </si>
  <si>
    <t>Charleston Oncology</t>
  </si>
  <si>
    <t>2085 Henry Tecklenburg Dr</t>
  </si>
  <si>
    <t>Charleston</t>
  </si>
  <si>
    <t>SC</t>
  </si>
  <si>
    <t>Non-Network Affiliated Community</t>
  </si>
  <si>
    <t>Moffitt Cancer Center</t>
  </si>
  <si>
    <t>12902 Usf Magnolia Dr</t>
  </si>
  <si>
    <t>Tampa</t>
  </si>
  <si>
    <t>1-5 weeks</t>
  </si>
  <si>
    <t>Froedtert And The Medical College Of Wisconsin</t>
  </si>
  <si>
    <t>9200 W Wisconsin Ave</t>
  </si>
  <si>
    <t>Milwaukee</t>
  </si>
  <si>
    <t>Tennessee Cancer Specialists  Pllc</t>
  </si>
  <si>
    <t>900 E Hill Ave Ste 230</t>
  </si>
  <si>
    <t>Knoxville</t>
  </si>
  <si>
    <t>TN</t>
  </si>
  <si>
    <t>Unm Health System</t>
  </si>
  <si>
    <t>2211 Lomas Blvd Ne</t>
  </si>
  <si>
    <t>Albuquerque</t>
  </si>
  <si>
    <t>NM</t>
  </si>
  <si>
    <t>Exhaustive modelers</t>
  </si>
  <si>
    <t>Clinical autonomy</t>
  </si>
  <si>
    <t>Florida Cancer Specialists And Research Institute</t>
  </si>
  <si>
    <t>4371 Veronica S Shoemaker Blvd</t>
  </si>
  <si>
    <t>Fort Myers</t>
  </si>
  <si>
    <t>Jackson Oncology Associates  Pllc</t>
  </si>
  <si>
    <t>1227 N State St Ste 101</t>
  </si>
  <si>
    <t>Jackson</t>
  </si>
  <si>
    <t>MS</t>
  </si>
  <si>
    <t>Oncology Consultants  Pa</t>
  </si>
  <si>
    <t>925 Gessner Rd Ste 600</t>
  </si>
  <si>
    <t>Houston</t>
  </si>
  <si>
    <t>TX</t>
  </si>
  <si>
    <t>Nurse Workflow</t>
  </si>
  <si>
    <t>South Texas Accelerated Research Therapeutics</t>
  </si>
  <si>
    <t>4383 Medical Dr</t>
  </si>
  <si>
    <t>San Antonio</t>
  </si>
  <si>
    <t>Clearview Cancer Institute</t>
  </si>
  <si>
    <t>3601 Cci Dr Nw</t>
  </si>
  <si>
    <t>Huntsville</t>
  </si>
  <si>
    <t>AL</t>
  </si>
  <si>
    <t>Not Applicable</t>
  </si>
  <si>
    <t>Fort Wayne Medical Oncology And Hematology  Inc</t>
  </si>
  <si>
    <t>2514 E Dupont Rd Ste 100</t>
  </si>
  <si>
    <t>Fort Wayne</t>
  </si>
  <si>
    <t>IN</t>
  </si>
  <si>
    <t>Texas Oncology  Pa</t>
  </si>
  <si>
    <t>12221 Merit Dr Ste 500</t>
  </si>
  <si>
    <t>Dallas</t>
  </si>
  <si>
    <t>Northside Hospital  Inc</t>
  </si>
  <si>
    <t>1000 Johnson Ferry Rd</t>
  </si>
  <si>
    <t>Atlanta</t>
  </si>
  <si>
    <t>GA</t>
  </si>
  <si>
    <t>Comprehensive Cancer Centers Of Nevada</t>
  </si>
  <si>
    <t>400 N Stephanie St Ste 300</t>
  </si>
  <si>
    <t>Henderson</t>
  </si>
  <si>
    <t>NV</t>
  </si>
  <si>
    <t>Nebraska Cancer Specialists</t>
  </si>
  <si>
    <t>17201 Wright St Ste 200</t>
  </si>
  <si>
    <t>Omaha</t>
  </si>
  <si>
    <t>NE</t>
  </si>
  <si>
    <t>Virginia Oncology Associates</t>
  </si>
  <si>
    <t>6251 E Virginia Beach Blvd Ste 200</t>
  </si>
  <si>
    <t>Norfolk</t>
  </si>
  <si>
    <t>VA</t>
  </si>
  <si>
    <t>Cancer Care Northwest</t>
  </si>
  <si>
    <t>1204 N Vercler Rd Ste 101</t>
  </si>
  <si>
    <t>Spokane Valley</t>
  </si>
  <si>
    <t>WA</t>
  </si>
  <si>
    <t>Arizona Oncology</t>
  </si>
  <si>
    <t>1760 E River Rd Ste 350</t>
  </si>
  <si>
    <t>Tucson</t>
  </si>
  <si>
    <t>AZ</t>
  </si>
  <si>
    <t>Florida Cancer Affiliates</t>
  </si>
  <si>
    <t>7324 Little Rd</t>
  </si>
  <si>
    <t>New Port Richey</t>
  </si>
  <si>
    <t>California Cancer Associates For Research And Excellence  Inc</t>
  </si>
  <si>
    <t>9915 Mira Mesa Blvd Ste 370</t>
  </si>
  <si>
    <t>San Diego</t>
  </si>
  <si>
    <t>Cancer Specialists Of North Florida</t>
  </si>
  <si>
    <t>7015 A C Skinner Pkwy Ste 1</t>
  </si>
  <si>
    <t>Jacksonville</t>
  </si>
  <si>
    <t>11-15 weeks</t>
  </si>
  <si>
    <t>Veterans Health Administration</t>
  </si>
  <si>
    <t>810 Vermont Ave Nw</t>
  </si>
  <si>
    <t>Washington</t>
  </si>
  <si>
    <t>DC</t>
  </si>
  <si>
    <t>Net acquisition cost</t>
  </si>
  <si>
    <t>West Cancer Center</t>
  </si>
  <si>
    <t>7945 Wolf River Blvd</t>
  </si>
  <si>
    <t>Germantown</t>
  </si>
  <si>
    <t>Cancer And Hematology Centers Of Western Michigan  Pc</t>
  </si>
  <si>
    <t>5800 Foremost Dr Se</t>
  </si>
  <si>
    <t>Grand Rapids</t>
  </si>
  <si>
    <t>MI</t>
  </si>
  <si>
    <t>Northwest Medical Specialties  Pllc</t>
  </si>
  <si>
    <t>1624 S I St Ste 102</t>
  </si>
  <si>
    <t>Tacoma</t>
  </si>
  <si>
    <t>New York Oncology Hematology  Pc</t>
  </si>
  <si>
    <t>449 Route 146 Ste 101</t>
  </si>
  <si>
    <t>Halfmoon</t>
  </si>
  <si>
    <t>NY</t>
  </si>
  <si>
    <t>Banner Health</t>
  </si>
  <si>
    <t>2901 N Central Ave Ste 160</t>
  </si>
  <si>
    <t>Phoenix</t>
  </si>
  <si>
    <t>Virginia Cancer Institute  Inc</t>
  </si>
  <si>
    <t>7202 Glen Forest Dr Ste 200</t>
  </si>
  <si>
    <t>Richmond</t>
  </si>
  <si>
    <t>Oncology Hematology Care  Inc</t>
  </si>
  <si>
    <t>5053 Wooster Rd</t>
  </si>
  <si>
    <t>Cincinnati</t>
  </si>
  <si>
    <t>OH</t>
  </si>
  <si>
    <t>Southeastern Medical Oncology Center</t>
  </si>
  <si>
    <t>203 Cox Blvd</t>
  </si>
  <si>
    <t>Goldsboro</t>
  </si>
  <si>
    <t>NC</t>
  </si>
  <si>
    <t>Tennessee Oncology  Pllc</t>
  </si>
  <si>
    <t>2004 Hayes St Fl 8</t>
  </si>
  <si>
    <t>Nashville</t>
  </si>
  <si>
    <t>Cancer Center Of Kansas  Pa</t>
  </si>
  <si>
    <t>818 N Emporia St</t>
  </si>
  <si>
    <t>Wichita</t>
  </si>
  <si>
    <t>KS</t>
  </si>
  <si>
    <t>Carti</t>
  </si>
  <si>
    <t>8901 Carti Way</t>
  </si>
  <si>
    <t>Memorial Sloan Kettering Cancer Center</t>
  </si>
  <si>
    <t>1275 York Ave</t>
  </si>
  <si>
    <t>New York</t>
  </si>
  <si>
    <t>New York Cancer And Blood Specialists</t>
  </si>
  <si>
    <t>20 Ramsay Rd</t>
  </si>
  <si>
    <t>Shirley</t>
  </si>
  <si>
    <t>Penn State Health Milton S Hershey Medical Center</t>
  </si>
  <si>
    <t>500 University Dr</t>
  </si>
  <si>
    <t>Hershey</t>
  </si>
  <si>
    <t>PA</t>
  </si>
  <si>
    <t>University Of Utah Hospitals And Clinics</t>
  </si>
  <si>
    <t>50 N Medical Dr</t>
  </si>
  <si>
    <t>Salt Lake City</t>
  </si>
  <si>
    <t>UT</t>
  </si>
  <si>
    <t>Uw Medicine</t>
  </si>
  <si>
    <t>1959 North Pacific St</t>
  </si>
  <si>
    <t>Seattle</t>
  </si>
  <si>
    <t>Uw Health</t>
  </si>
  <si>
    <t>600 Highland Ave</t>
  </si>
  <si>
    <t>Madison</t>
  </si>
  <si>
    <t>Yale New Haven Health System</t>
  </si>
  <si>
    <t>789 Howard Ave</t>
  </si>
  <si>
    <t>New Haven</t>
  </si>
  <si>
    <t>CT</t>
  </si>
  <si>
    <t>16-20 weeks</t>
  </si>
  <si>
    <t>Temple University Health System  Inc</t>
  </si>
  <si>
    <t>2450 W Hunting Park Ave</t>
  </si>
  <si>
    <t>Philadelphia</t>
  </si>
  <si>
    <t>The Ohio State University Wexner Medical Center</t>
  </si>
  <si>
    <t>410 W 10th Ave</t>
  </si>
  <si>
    <t>Columbus</t>
  </si>
  <si>
    <t>Trihealth</t>
  </si>
  <si>
    <t>625 Eden Park Dr</t>
  </si>
  <si>
    <t>University Of California Health</t>
  </si>
  <si>
    <t>1111 Broadway Ste 1400</t>
  </si>
  <si>
    <t>Oakland</t>
  </si>
  <si>
    <t>University Of Maryland Medical System</t>
  </si>
  <si>
    <t>22 S Green St</t>
  </si>
  <si>
    <t>Baltimore</t>
  </si>
  <si>
    <t>University Of Missouri Health Care</t>
  </si>
  <si>
    <t>1 Hospital Dr</t>
  </si>
  <si>
    <t>Unc Health Care System</t>
  </si>
  <si>
    <t>101 Manning Dr</t>
  </si>
  <si>
    <t>Chapel Hill</t>
  </si>
  <si>
    <t>University Of South Alabama Hospitals</t>
  </si>
  <si>
    <t>2451 University Hospital Dr</t>
  </si>
  <si>
    <t>Mobile</t>
  </si>
  <si>
    <t>Newyork Presbyterian Healthcare System</t>
  </si>
  <si>
    <t>525 E 68th St</t>
  </si>
  <si>
    <t>Norton Healthcare  Inc</t>
  </si>
  <si>
    <t>4967 Us Highway 42 Ste 100</t>
  </si>
  <si>
    <t>Louisville</t>
  </si>
  <si>
    <t>KY</t>
  </si>
  <si>
    <t>Novant Health  Inc</t>
  </si>
  <si>
    <t>2085 Frontis Plaza Blvd</t>
  </si>
  <si>
    <t>Winston Salem</t>
  </si>
  <si>
    <t>Ohiohealth</t>
  </si>
  <si>
    <t>3430 Ohio Health Pkwy</t>
  </si>
  <si>
    <t>Mass General Brigham</t>
  </si>
  <si>
    <t>800 Boylston St Ste 1150</t>
  </si>
  <si>
    <t>Boston</t>
  </si>
  <si>
    <t>MA</t>
  </si>
  <si>
    <t xml:space="preserve"> Gatekeeper</t>
  </si>
  <si>
    <t>Rush System For Health</t>
  </si>
  <si>
    <t>1653 W Congress Pkwy</t>
  </si>
  <si>
    <t>Chicago</t>
  </si>
  <si>
    <t>IL</t>
  </si>
  <si>
    <t>Intermountain Health</t>
  </si>
  <si>
    <t>36 S State St</t>
  </si>
  <si>
    <t>Jefferson Health</t>
  </si>
  <si>
    <t>111 S 11th St Ste 2210</t>
  </si>
  <si>
    <t>Johns Hopkins Health System</t>
  </si>
  <si>
    <t>1800 Orleans St</t>
  </si>
  <si>
    <t>Loma Linda University Health</t>
  </si>
  <si>
    <t>11234 Anderson St</t>
  </si>
  <si>
    <t>Loma Linda</t>
  </si>
  <si>
    <t>Mayo Clinic Health System</t>
  </si>
  <si>
    <t>200 1st St Sw</t>
  </si>
  <si>
    <t>Rochester</t>
  </si>
  <si>
    <t>MN</t>
  </si>
  <si>
    <t>Mclaren Health Care Corp</t>
  </si>
  <si>
    <t>1 Mclaren Pkwy</t>
  </si>
  <si>
    <t>Grand Blanc</t>
  </si>
  <si>
    <t>Memorial Healthcare System</t>
  </si>
  <si>
    <t>3501 Johnson St</t>
  </si>
  <si>
    <t>Hollywood</t>
  </si>
  <si>
    <t>Mount Sinai Health System</t>
  </si>
  <si>
    <t>1 Gustave L Levy Pl</t>
  </si>
  <si>
    <t>Duke University Health System</t>
  </si>
  <si>
    <t>2301 Erwin Rd</t>
  </si>
  <si>
    <t>Durham</t>
  </si>
  <si>
    <t>Emory Healthcare  Inc</t>
  </si>
  <si>
    <t>1440 Clifton Rd N</t>
  </si>
  <si>
    <t>Fairview Health Services</t>
  </si>
  <si>
    <t>2450 Riverside Ave</t>
  </si>
  <si>
    <t>Minneapolis</t>
  </si>
  <si>
    <t>Franciscan Missionaries Of Our Lady Health System  Inc</t>
  </si>
  <si>
    <t>4200 Essen Ln</t>
  </si>
  <si>
    <t>Baton Rouge</t>
  </si>
  <si>
    <t>Prisma Health</t>
  </si>
  <si>
    <t>300 E Mcbee Ave</t>
  </si>
  <si>
    <t>Greenville</t>
  </si>
  <si>
    <t>Henry Ford Health</t>
  </si>
  <si>
    <t>1 Ford Pl</t>
  </si>
  <si>
    <t>Detroit</t>
  </si>
  <si>
    <t>Infirmary Health System  Inc</t>
  </si>
  <si>
    <t>5 Mobile Infirmary Cir</t>
  </si>
  <si>
    <t>Atlantic Health System</t>
  </si>
  <si>
    <t>475 South St</t>
  </si>
  <si>
    <t>Morristown</t>
  </si>
  <si>
    <t>NJ</t>
  </si>
  <si>
    <t>Baptist Health South Florida</t>
  </si>
  <si>
    <t>6855 Red Rd</t>
  </si>
  <si>
    <t>Coral Gables</t>
  </si>
  <si>
    <t>Baptist Memorial Health Care Corp</t>
  </si>
  <si>
    <t>350 N Humphreys Blvd</t>
  </si>
  <si>
    <t>Memphis</t>
  </si>
  <si>
    <t>Bjc Healthcare</t>
  </si>
  <si>
    <t>4901 Forest Park Ave Ste 1200</t>
  </si>
  <si>
    <t>Saint Louis</t>
  </si>
  <si>
    <t>Bronson Healthcare Group  Inc</t>
  </si>
  <si>
    <t>601 John St</t>
  </si>
  <si>
    <t>Kalamazoo</t>
  </si>
  <si>
    <t>Advocate Health  Inc</t>
  </si>
  <si>
    <t>5039 Airport Center Pkwy Bldg K</t>
  </si>
  <si>
    <t>Charlotte</t>
  </si>
  <si>
    <t>Christianacare</t>
  </si>
  <si>
    <t>501 W 14th St</t>
  </si>
  <si>
    <t>Wilmington</t>
  </si>
  <si>
    <t>DE</t>
  </si>
  <si>
    <t>Indiana University Health</t>
  </si>
  <si>
    <t>340 W 10th St Ste 6100</t>
  </si>
  <si>
    <t>Indianapolis</t>
  </si>
  <si>
    <t>Hca Healthcare  Inc</t>
  </si>
  <si>
    <t>1 Park Plz</t>
  </si>
  <si>
    <t>Cancer Care Associates Of York  Inc</t>
  </si>
  <si>
    <t>25 Monument Rd Ste 294</t>
  </si>
  <si>
    <t>York</t>
  </si>
  <si>
    <t>Standalone</t>
  </si>
  <si>
    <t>Berenson Cancer Center</t>
  </si>
  <si>
    <t>9201 W Sunset Blvd Ste 310</t>
  </si>
  <si>
    <t>West Hollywood</t>
  </si>
  <si>
    <t xml:space="preserve"> </t>
  </si>
  <si>
    <t>The Center For Cancer And Blood Disorders Bethesda</t>
  </si>
  <si>
    <t>6410 Rockledge Dr</t>
  </si>
  <si>
    <t>Bethesda</t>
  </si>
  <si>
    <t>Oklahoma Cancer Specialists And Research Institute  Llc</t>
  </si>
  <si>
    <t>12697 E 51st St</t>
  </si>
  <si>
    <t>Tulsa</t>
  </si>
  <si>
    <t>OK</t>
  </si>
  <si>
    <t>Hematology Oncology Associates Of Fredericksburg</t>
  </si>
  <si>
    <t>4501 Empire Ct</t>
  </si>
  <si>
    <t>Fredericksburg</t>
  </si>
  <si>
    <t>The University Of Texas System</t>
  </si>
  <si>
    <t>210 W 7th St</t>
  </si>
  <si>
    <t>Austin</t>
  </si>
  <si>
    <t>Hackensack Meridian Health</t>
  </si>
  <si>
    <t>343 Thornall St</t>
  </si>
  <si>
    <t>Edison</t>
  </si>
  <si>
    <t>Providence</t>
  </si>
  <si>
    <t>1801 Lind Ave Sw Ste 9016</t>
  </si>
  <si>
    <t>Renton</t>
  </si>
  <si>
    <t>Columbus Oncology And Hematology Associates</t>
  </si>
  <si>
    <t>810 Jasonway Ave Ste A</t>
  </si>
  <si>
    <t>Cookeville Regional Health System</t>
  </si>
  <si>
    <t>Quick Wins</t>
  </si>
  <si>
    <t>1 Medical Center Blvd</t>
  </si>
  <si>
    <t>Cookeville</t>
  </si>
  <si>
    <t>Kaweah Delta Health Care District</t>
  </si>
  <si>
    <t>400 W Mineral King Ave</t>
  </si>
  <si>
    <t>Visalia</t>
  </si>
  <si>
    <t>Cancer Care Centers Of Brevard</t>
  </si>
  <si>
    <t>1430 Pine St</t>
  </si>
  <si>
    <t>Melbourne</t>
  </si>
  <si>
    <t>Princeton Medical Group  Pa</t>
  </si>
  <si>
    <t>419 N Harrison St Ste 201</t>
  </si>
  <si>
    <t>Princeton</t>
  </si>
  <si>
    <t>The Christ Hospital Health Network</t>
  </si>
  <si>
    <t>237 William Howard Taft Rd</t>
  </si>
  <si>
    <t>Southern Cancer Center</t>
  </si>
  <si>
    <t>29653 Anchor Cross Blvd</t>
  </si>
  <si>
    <t>Daphne</t>
  </si>
  <si>
    <t>Piedmont Cancer Institute  Pc</t>
  </si>
  <si>
    <t>1800 Howell Mill Rd Nw Ste 800</t>
  </si>
  <si>
    <t>Augusta Oncology Associates</t>
  </si>
  <si>
    <t>3696 Wheeler Rd</t>
  </si>
  <si>
    <t>Augusta</t>
  </si>
  <si>
    <t>Dayton Physicians Network</t>
  </si>
  <si>
    <t>6680 Poe Ave Ste 200</t>
  </si>
  <si>
    <t>Dayton</t>
  </si>
  <si>
    <t>New Mexico Oncology Hematology Consultants  Ltd</t>
  </si>
  <si>
    <t>4901 Lang Ave Ne</t>
  </si>
  <si>
    <t>Ironwood Cancer And Research Centers</t>
  </si>
  <si>
    <t>695 S Dobson Rd</t>
  </si>
  <si>
    <t>Chandler</t>
  </si>
  <si>
    <t>Compass Oncology</t>
  </si>
  <si>
    <t>1498 Se Tech Center Pl Ste 240</t>
  </si>
  <si>
    <t>Vancouver</t>
  </si>
  <si>
    <t>Illinois Cancer Specialists</t>
  </si>
  <si>
    <t>1100 E Woodfield Rd Ste 435</t>
  </si>
  <si>
    <t>Schaumburg</t>
  </si>
  <si>
    <t>Oncology And Hematology Specialists  Pa</t>
  </si>
  <si>
    <t>333 Us Highway 46</t>
  </si>
  <si>
    <t>Mountain Lakes</t>
  </si>
  <si>
    <t>Piedmont Healthcare  Inc</t>
  </si>
  <si>
    <t>1800 Howell Mill Rd Nw Ste 850</t>
  </si>
  <si>
    <t>Palo Verde Hematology Oncology  Ltd</t>
  </si>
  <si>
    <t>5601 W Eugie Ave Ste 106</t>
  </si>
  <si>
    <t>Glendale</t>
  </si>
  <si>
    <t>Cancer Care Specialists Of Illinois</t>
  </si>
  <si>
    <t>210 W Mckinley Ave Ste 1</t>
  </si>
  <si>
    <t>Decatur</t>
  </si>
  <si>
    <t>Asante Health System</t>
  </si>
  <si>
    <t>2650 Siskiyou Blvd</t>
  </si>
  <si>
    <t>Medford</t>
  </si>
  <si>
    <t>OR</t>
  </si>
  <si>
    <t>West Tennessee Healthcare</t>
  </si>
  <si>
    <t>620 Skyline Dr</t>
  </si>
  <si>
    <t>Adena Health System</t>
  </si>
  <si>
    <t>272 Hospital Rd</t>
  </si>
  <si>
    <t>Chillicothe</t>
  </si>
  <si>
    <t>Ssm Health</t>
  </si>
  <si>
    <t>10101 Woodfield Ln</t>
  </si>
  <si>
    <t>Kettering Health</t>
  </si>
  <si>
    <t>3535 Southern Blvd</t>
  </si>
  <si>
    <t>Kettering</t>
  </si>
  <si>
    <t>Lifespan</t>
  </si>
  <si>
    <t>167 Point St</t>
  </si>
  <si>
    <t>RI</t>
  </si>
  <si>
    <t>Northern Light Health</t>
  </si>
  <si>
    <t>43 Whiting Hill Rd</t>
  </si>
  <si>
    <t>Brewer</t>
  </si>
  <si>
    <t>ME</t>
  </si>
  <si>
    <t>Endeavor Health</t>
  </si>
  <si>
    <t>1301 Central St Fl 3</t>
  </si>
  <si>
    <t>Evanston</t>
  </si>
  <si>
    <t>University Of Vermont Health Network</t>
  </si>
  <si>
    <t>462 Shelburne Rd</t>
  </si>
  <si>
    <t>Burlington</t>
  </si>
  <si>
    <t>VT</t>
  </si>
  <si>
    <t>Adventist Health</t>
  </si>
  <si>
    <t>1 Adventist Health Way</t>
  </si>
  <si>
    <t>Roseville</t>
  </si>
  <si>
    <t>Adventhealth</t>
  </si>
  <si>
    <t>900 Hope Way</t>
  </si>
  <si>
    <t>Altamonte Springs</t>
  </si>
  <si>
    <t>Aultman Health Foundation</t>
  </si>
  <si>
    <t>2600 6th St Sw</t>
  </si>
  <si>
    <t>Canton</t>
  </si>
  <si>
    <t>Carolina Oncology Specialists  Pa</t>
  </si>
  <si>
    <t>Po Box 3710</t>
  </si>
  <si>
    <t>Hickory</t>
  </si>
  <si>
    <t>Mahmood  Tariq  Office</t>
  </si>
  <si>
    <t>500 E Robinson St</t>
  </si>
  <si>
    <t>Norman</t>
  </si>
  <si>
    <t>Shenandoah Oncology</t>
  </si>
  <si>
    <t>400 Campus Blvd</t>
  </si>
  <si>
    <t>Winchester</t>
  </si>
  <si>
    <t>Coastal Bend Cancer Center</t>
  </si>
  <si>
    <t>1625 Rodd Field Rd</t>
  </si>
  <si>
    <t>Corpus Christi</t>
  </si>
  <si>
    <t>Desert Hematology Oncology Medical Group  Inc</t>
  </si>
  <si>
    <t>34490 Bob Hope Dr</t>
  </si>
  <si>
    <t>Rancho Mirage</t>
  </si>
  <si>
    <t>Brookdale University Hospital And Medical Center</t>
  </si>
  <si>
    <t>1 Brookdale Plz</t>
  </si>
  <si>
    <t>Brooklyn</t>
  </si>
  <si>
    <t>Oncology San Antonio Cancer Care Network</t>
  </si>
  <si>
    <t>202 Baltimore</t>
  </si>
  <si>
    <t>Southern Oncology Specialists  Pllc</t>
  </si>
  <si>
    <t>9930 Kincey Ave Ste 165</t>
  </si>
  <si>
    <t>Huntersville</t>
  </si>
  <si>
    <t>Hematology Oncology Associates Of The Treasure Coast</t>
  </si>
  <si>
    <t>1871 Se Tiffany Ave Ste 100</t>
  </si>
  <si>
    <t>Port Saint Lucie</t>
  </si>
  <si>
    <t>Hematology Oncology Consultants</t>
  </si>
  <si>
    <t>301 N San Jacinto St</t>
  </si>
  <si>
    <t>Hemet</t>
  </si>
  <si>
    <t>Lancaster Cancer Center</t>
  </si>
  <si>
    <t>703 Lampeter Rd</t>
  </si>
  <si>
    <t>Lancaster</t>
  </si>
  <si>
    <t>Rocky Mountain Oncology Center  Llc</t>
  </si>
  <si>
    <t>6501 E 2nd St</t>
  </si>
  <si>
    <t>Casper</t>
  </si>
  <si>
    <t>WY</t>
  </si>
  <si>
    <t>Comprehensive Cancer And Hematology Specialists  Pc</t>
  </si>
  <si>
    <t>705 White Horse Rd Ste D105</t>
  </si>
  <si>
    <t>Voorhees</t>
  </si>
  <si>
    <t>El Centro Regional Medical Center</t>
  </si>
  <si>
    <t>1271 Ross Ave</t>
  </si>
  <si>
    <t>El Centro</t>
  </si>
  <si>
    <t>Quorum Health Corp</t>
  </si>
  <si>
    <t>Long Term Bets</t>
  </si>
  <si>
    <t>1573 Mallory Ln Ste 100</t>
  </si>
  <si>
    <t>Brentwood</t>
  </si>
  <si>
    <t>Unitedhealth Group</t>
  </si>
  <si>
    <t>9900 Bren Rd E</t>
  </si>
  <si>
    <t>Minnetonka</t>
  </si>
  <si>
    <t>Baylor Scott And White Health</t>
  </si>
  <si>
    <t>4005 Crutcher St Ste 310</t>
  </si>
  <si>
    <t>Michigan Healthcare Professionals  Pc</t>
  </si>
  <si>
    <t>30000 Northwestern Hwy</t>
  </si>
  <si>
    <t>Farmington Hills</t>
  </si>
  <si>
    <t>Millennium Physicians Association  Pllc</t>
  </si>
  <si>
    <t>800 Rockmead Dr Ste 210</t>
  </si>
  <si>
    <t>Kingwood</t>
  </si>
  <si>
    <t>Cancer Partners Of Nebraska  Pc</t>
  </si>
  <si>
    <t>201 S 68th Street Pl Ste 200</t>
  </si>
  <si>
    <t>Lincoln</t>
  </si>
  <si>
    <t>Roswell Park Comprehensive Cancer Center</t>
  </si>
  <si>
    <t>Elm And Carlton St</t>
  </si>
  <si>
    <t>Buffalo</t>
  </si>
  <si>
    <t>Mission Cancer And Blood</t>
  </si>
  <si>
    <t>100 E Grand Ave</t>
  </si>
  <si>
    <t>Des Moines</t>
  </si>
  <si>
    <t>IA</t>
  </si>
  <si>
    <t>Regional Cancer Care Associates  Llc</t>
  </si>
  <si>
    <t>500 Frank W Burr Blvd Ste 560</t>
  </si>
  <si>
    <t>Teaneck</t>
  </si>
  <si>
    <t>Cayuga Medical Center</t>
  </si>
  <si>
    <t>101 Dates Dr</t>
  </si>
  <si>
    <t>Ithaca</t>
  </si>
  <si>
    <t>The Oncology Institute Of Hope And Innovation</t>
  </si>
  <si>
    <t>18000 Studebaker Rd Ste 800</t>
  </si>
  <si>
    <t>Cerritos</t>
  </si>
  <si>
    <t>Northwest Cancer Center</t>
  </si>
  <si>
    <t>342 E 109th Ave</t>
  </si>
  <si>
    <t>Crown Point</t>
  </si>
  <si>
    <t>The University Of Mississippi Medical Center</t>
  </si>
  <si>
    <t>2500 N State St</t>
  </si>
  <si>
    <t>University Cancer And Blood Center</t>
  </si>
  <si>
    <t>3320 Old Jefferson Rd Bldg 700</t>
  </si>
  <si>
    <t>Athens</t>
  </si>
  <si>
    <t>Nyu Langone Health</t>
  </si>
  <si>
    <t>550 1st Ave</t>
  </si>
  <si>
    <t>Illinois Cancercare  Pc</t>
  </si>
  <si>
    <t>8940 N Wood Sage Rd</t>
  </si>
  <si>
    <t>Peoria</t>
  </si>
  <si>
    <t>Dartmouth Health</t>
  </si>
  <si>
    <t>1 Medical Center Dr</t>
  </si>
  <si>
    <t>Lebanon</t>
  </si>
  <si>
    <t>NH</t>
  </si>
  <si>
    <t>Minnesota Oncology</t>
  </si>
  <si>
    <t>2550 University Ave W Ste 110n</t>
  </si>
  <si>
    <t>Saint Paul</t>
  </si>
  <si>
    <t>Blue Ridge Cancer Care</t>
  </si>
  <si>
    <t>2013 Jefferson St Sw</t>
  </si>
  <si>
    <t>Roanoke</t>
  </si>
  <si>
    <t>Virginia Cancer Specialists</t>
  </si>
  <si>
    <t>3040 Williams Dr Ste 100</t>
  </si>
  <si>
    <t>Fairfax</t>
  </si>
  <si>
    <t>Bon Secours Mercy Health  Inc</t>
  </si>
  <si>
    <t>1701 Mercy Health Pl</t>
  </si>
  <si>
    <t>Rocky Mountain Cancer Centers</t>
  </si>
  <si>
    <t>7951 E Maplewood Ave Ste 300</t>
  </si>
  <si>
    <t>Greenwood Village</t>
  </si>
  <si>
    <t>CO</t>
  </si>
  <si>
    <t>Tufts Medical Center</t>
  </si>
  <si>
    <t>800 Washington St 450</t>
  </si>
  <si>
    <t>Tidalhealth Peninsula Regional</t>
  </si>
  <si>
    <t>100 E Carroll St</t>
  </si>
  <si>
    <t>Salisbury</t>
  </si>
  <si>
    <t>Walgreens Company</t>
  </si>
  <si>
    <t>200 Wilmot Rd</t>
  </si>
  <si>
    <t>Deerfield</t>
  </si>
  <si>
    <t>Lehigh Valley Health Network</t>
  </si>
  <si>
    <t>707 Hamilton St Fl 9</t>
  </si>
  <si>
    <t>Allentown</t>
  </si>
  <si>
    <t>Thedacare  Inc</t>
  </si>
  <si>
    <t>122 E College Ave</t>
  </si>
  <si>
    <t>Appleton</t>
  </si>
  <si>
    <t>Marshfield Clinic Health System</t>
  </si>
  <si>
    <t>1000 N Oak Ave</t>
  </si>
  <si>
    <t>Marshfield</t>
  </si>
  <si>
    <t>Genesiscare</t>
  </si>
  <si>
    <t>2270 Colonial Blvd</t>
  </si>
  <si>
    <t>Utah Cancer Specialists</t>
  </si>
  <si>
    <t>1121 E 3900 S Ste C230</t>
  </si>
  <si>
    <t>Hematology Oncology Associates Of Central New York  Pc</t>
  </si>
  <si>
    <t>5008 Brittonfield Pkwy Ste 700</t>
  </si>
  <si>
    <t>East Syracuse</t>
  </si>
  <si>
    <t>Highlands Oncology Group  Pa</t>
  </si>
  <si>
    <t>3901 Parkway Cir Ste 100</t>
  </si>
  <si>
    <t>Springdale</t>
  </si>
  <si>
    <t>Healthpartners  Inc</t>
  </si>
  <si>
    <t>8170 33rd Ave S</t>
  </si>
  <si>
    <t>Essentia Health</t>
  </si>
  <si>
    <t>502 E 2nd St</t>
  </si>
  <si>
    <t>Duluth</t>
  </si>
  <si>
    <t>Trinity Health</t>
  </si>
  <si>
    <t>20555 Victor Pkwy</t>
  </si>
  <si>
    <t>Livonia</t>
  </si>
  <si>
    <t>Geisinger</t>
  </si>
  <si>
    <t>100 N Academy Ave</t>
  </si>
  <si>
    <t>Danville</t>
  </si>
  <si>
    <t>University Of Virginia Health System</t>
  </si>
  <si>
    <t>1215 Lee St</t>
  </si>
  <si>
    <t>Charlottesville</t>
  </si>
  <si>
    <t>Vanderbilt Health</t>
  </si>
  <si>
    <t>1161 21st Ave S</t>
  </si>
  <si>
    <t>Rochester Regional Health System</t>
  </si>
  <si>
    <t>100 Kings Hwy S</t>
  </si>
  <si>
    <t>Atrium Health Wake Forest Baptist</t>
  </si>
  <si>
    <t>Allegheny Health Network</t>
  </si>
  <si>
    <t>120 5th Ave</t>
  </si>
  <si>
    <t>Pittsburgh</t>
  </si>
  <si>
    <t>Stanford Health Care</t>
  </si>
  <si>
    <t>300 Pasteur Dr Ste H3200</t>
  </si>
  <si>
    <t>Stanford</t>
  </si>
  <si>
    <t>University Health System  Inc</t>
  </si>
  <si>
    <t>2121 Medical Center Way Ste 200</t>
  </si>
  <si>
    <t>West Virginia University Health System  Inc</t>
  </si>
  <si>
    <t>Morgantown</t>
  </si>
  <si>
    <t>WV</t>
  </si>
  <si>
    <t>St Lukes</t>
  </si>
  <si>
    <t>190 E Bannock St</t>
  </si>
  <si>
    <t>Boise</t>
  </si>
  <si>
    <t>ID</t>
  </si>
  <si>
    <t>University Of Rochester Medical Center</t>
  </si>
  <si>
    <t>601 Elmwood Ave</t>
  </si>
  <si>
    <t>Sutter Health</t>
  </si>
  <si>
    <t>2200 River Plaza Dr</t>
  </si>
  <si>
    <t>Sacramento</t>
  </si>
  <si>
    <t>Cleveland Clinic</t>
  </si>
  <si>
    <t>9500 Euclid Ave</t>
  </si>
  <si>
    <t>Cleveland</t>
  </si>
  <si>
    <t>The Methodist Hospital System</t>
  </si>
  <si>
    <t>6565 Fannin St</t>
  </si>
  <si>
    <t>Uab Health System</t>
  </si>
  <si>
    <t>500 22nd St S Ste 408</t>
  </si>
  <si>
    <t>Birmingham</t>
  </si>
  <si>
    <t>The University Of Chicago Medicine</t>
  </si>
  <si>
    <t>5841 S Maryland Ave</t>
  </si>
  <si>
    <t>Ecu Health</t>
  </si>
  <si>
    <t>800 Wh Smith Blvd</t>
  </si>
  <si>
    <t>University Hospitals</t>
  </si>
  <si>
    <t>3605 Warrensville Center Rd</t>
  </si>
  <si>
    <t>Shaker Heights</t>
  </si>
  <si>
    <t>The University Of Kansas Health System</t>
  </si>
  <si>
    <t>4000 Cambridge St</t>
  </si>
  <si>
    <t>Kansas City</t>
  </si>
  <si>
    <t xml:space="preserve">Gatekeeper </t>
  </si>
  <si>
    <t>Umass Memorial Health Care</t>
  </si>
  <si>
    <t>365 Plantation St</t>
  </si>
  <si>
    <t>Worcester</t>
  </si>
  <si>
    <t>University Of Michigan Health System</t>
  </si>
  <si>
    <t>1500 E Medical Center Dr</t>
  </si>
  <si>
    <t>Ann Arbor</t>
  </si>
  <si>
    <t>University Of Colorado Health</t>
  </si>
  <si>
    <t>12605 E 16th Ave Fl 1</t>
  </si>
  <si>
    <t>Aurora</t>
  </si>
  <si>
    <t>Penn Medicine</t>
  </si>
  <si>
    <t>3400 Civic Center Blvd</t>
  </si>
  <si>
    <t>Upmc</t>
  </si>
  <si>
    <t>600 Grant St Ste 6200</t>
  </si>
  <si>
    <t>North Memorial Health</t>
  </si>
  <si>
    <t>3300 Oakdale Ave N</t>
  </si>
  <si>
    <t>Robbinsdale</t>
  </si>
  <si>
    <t>Northwestern Medicine</t>
  </si>
  <si>
    <t>251 E Huron St</t>
  </si>
  <si>
    <t>Northwell Health</t>
  </si>
  <si>
    <t>2000 Marcus Ave</t>
  </si>
  <si>
    <t>New Hyde Park</t>
  </si>
  <si>
    <t>Orlando Health</t>
  </si>
  <si>
    <t>1414 Kuhl Ave</t>
  </si>
  <si>
    <t>Orlando</t>
  </si>
  <si>
    <t>Parkview Health System</t>
  </si>
  <si>
    <t>1450 Production Rd</t>
  </si>
  <si>
    <t>Peacehealth</t>
  </si>
  <si>
    <t>1115 Se 164th Ave</t>
  </si>
  <si>
    <t>Promedica</t>
  </si>
  <si>
    <t>100 Madison Ave</t>
  </si>
  <si>
    <t>Toledo</t>
  </si>
  <si>
    <t>Scripps Health</t>
  </si>
  <si>
    <t>4275 Campus Point Ct</t>
  </si>
  <si>
    <t>Uf Health</t>
  </si>
  <si>
    <t>1600 Sw Archer Rd</t>
  </si>
  <si>
    <t>Gainesville</t>
  </si>
  <si>
    <t>Sanford Health</t>
  </si>
  <si>
    <t>1305 W 18th St</t>
  </si>
  <si>
    <t>Sioux Falls</t>
  </si>
  <si>
    <t>SD</t>
  </si>
  <si>
    <t>Franciscan Health  Inc</t>
  </si>
  <si>
    <t>1515 W Dragoon Trl</t>
  </si>
  <si>
    <t>Mishawaka</t>
  </si>
  <si>
    <t>Spartanburg Regional Healthcare System  Inc</t>
  </si>
  <si>
    <t>101 E Wood St</t>
  </si>
  <si>
    <t>Spartanburg</t>
  </si>
  <si>
    <t>Corewell Health</t>
  </si>
  <si>
    <t>100 Michigan St Ne</t>
  </si>
  <si>
    <t>Saint Charles Health System</t>
  </si>
  <si>
    <t>2500 Ne Neff Rd</t>
  </si>
  <si>
    <t>Bend</t>
  </si>
  <si>
    <t>Lifepoint Health</t>
  </si>
  <si>
    <t>330 Seven Springs Way</t>
  </si>
  <si>
    <t>Los Angeles County Department Of Health Services</t>
  </si>
  <si>
    <t>313 N Figueroa St</t>
  </si>
  <si>
    <t>Medical University Of South Carolina Medical Center</t>
  </si>
  <si>
    <t>169 Ashley Ave</t>
  </si>
  <si>
    <t>Vcu Health System</t>
  </si>
  <si>
    <t>1250 E Marshall St</t>
  </si>
  <si>
    <t>Medstar Health</t>
  </si>
  <si>
    <t>10980 Grantchester Way</t>
  </si>
  <si>
    <t>Mercy</t>
  </si>
  <si>
    <t>14528 S Outer 40 Rd Ste 100</t>
  </si>
  <si>
    <t>Montefiore Medical Center</t>
  </si>
  <si>
    <t>111 E 210th St</t>
  </si>
  <si>
    <t>Bronx</t>
  </si>
  <si>
    <t>Cone Health</t>
  </si>
  <si>
    <t>1200 N Elm St</t>
  </si>
  <si>
    <t>Greensboro</t>
  </si>
  <si>
    <t>Mount Sinai Medical Center Of Florida  Inc</t>
  </si>
  <si>
    <t>4300 Alton Rd</t>
  </si>
  <si>
    <t>Miami Beach</t>
  </si>
  <si>
    <t>The Nebraska Medical Center</t>
  </si>
  <si>
    <t>987400 Nebraska Medical Ctr</t>
  </si>
  <si>
    <t>Hartford Healthcare</t>
  </si>
  <si>
    <t>100 Pearl St</t>
  </si>
  <si>
    <t>Hartford</t>
  </si>
  <si>
    <t>Uc Health</t>
  </si>
  <si>
    <t>3200 Burnet Ave</t>
  </si>
  <si>
    <t>Advocate Aurora Health  Inc</t>
  </si>
  <si>
    <t>2025 Windsor Dr</t>
  </si>
  <si>
    <t>Oak Brook</t>
  </si>
  <si>
    <t>Allina Health</t>
  </si>
  <si>
    <t>2925 Chicago Ave</t>
  </si>
  <si>
    <t>Ochsner Health System</t>
  </si>
  <si>
    <t>1514 Jefferson Hwy</t>
  </si>
  <si>
    <t>Ascension</t>
  </si>
  <si>
    <t>101 S Hanley Rd Ste 450</t>
  </si>
  <si>
    <t>Avera Health</t>
  </si>
  <si>
    <t>3900 W Avera Dr</t>
  </si>
  <si>
    <t>Boston Medical Center</t>
  </si>
  <si>
    <t>1 Boston Medical Ctr Pl</t>
  </si>
  <si>
    <t>Cedars Sinai</t>
  </si>
  <si>
    <t>8700 Beverly Blvd</t>
  </si>
  <si>
    <t>Centracare</t>
  </si>
  <si>
    <t>1406 6th Ave N</t>
  </si>
  <si>
    <t>Saint Cloud</t>
  </si>
  <si>
    <t>Christus Health</t>
  </si>
  <si>
    <t>919 Hidden Rdg</t>
  </si>
  <si>
    <t>Irving</t>
  </si>
  <si>
    <t>Rocky Mountain Gamma Knife Center Anschutz Medical Campus</t>
  </si>
  <si>
    <t>1635 Aurora Ct Ste F752</t>
  </si>
  <si>
    <t>Medical Oncology Hematology Consultants  Pa</t>
  </si>
  <si>
    <t>4701 Ogletown Stanton Rd</t>
  </si>
  <si>
    <t>Newark</t>
  </si>
  <si>
    <t>South Carolina Oncology Associates  Pa</t>
  </si>
  <si>
    <t>166 Stoneridge Dr</t>
  </si>
  <si>
    <t>Oncology Associates Of Oregon  Pc</t>
  </si>
  <si>
    <t>520 Country Club Pkwy</t>
  </si>
  <si>
    <t>Eugene</t>
  </si>
  <si>
    <t>Cancer Care Specialists</t>
  </si>
  <si>
    <t>5423 Reno Corporate Dr</t>
  </si>
  <si>
    <t>Reno</t>
  </si>
  <si>
    <t>Comprehensive Hematology Oncology  Llc</t>
  </si>
  <si>
    <t>5000 Park St N Ste 1017</t>
  </si>
  <si>
    <t>Saint Petersburg</t>
  </si>
  <si>
    <t>Beth Israel Lahey Health</t>
  </si>
  <si>
    <t>20 University Rd Ste 700</t>
  </si>
  <si>
    <t>Cambridge</t>
  </si>
  <si>
    <t>Commonspirit Health</t>
  </si>
  <si>
    <t>444 W Lake St Ste 2500</t>
  </si>
  <si>
    <t>Defense Health Agency Headquarters</t>
  </si>
  <si>
    <t>7700 Arlington Blvd Ste 5101</t>
  </si>
  <si>
    <t>Falls Church</t>
  </si>
  <si>
    <t>Winship Cancer Institute At Emory Midtown</t>
  </si>
  <si>
    <t>36 Linden Avenue North</t>
  </si>
  <si>
    <t>ZS00000010</t>
  </si>
  <si>
    <t>ZANGMEISTER CANCER CENTER</t>
  </si>
  <si>
    <t>3100 Columbus Pike  Suite 100</t>
  </si>
  <si>
    <t>Lewis Center</t>
  </si>
  <si>
    <t>Alliance Cancer Specialists  Pc</t>
  </si>
  <si>
    <t>Deprioritized for Laggards</t>
  </si>
  <si>
    <t>915 Lawn Ave Ste 202</t>
  </si>
  <si>
    <t>Sellersville</t>
  </si>
  <si>
    <t>Affiliated Oncologists  Llc</t>
  </si>
  <si>
    <t>10604 Southwest Hwy Ste 200</t>
  </si>
  <si>
    <t>Chicago Ridge</t>
  </si>
  <si>
    <t>Baptist Healthcare System  Inc</t>
  </si>
  <si>
    <t>1901 Campus Pl</t>
  </si>
  <si>
    <t>Alabama Oncology</t>
  </si>
  <si>
    <t>500 Office Park Dr</t>
  </si>
  <si>
    <t>Mountain Brk</t>
  </si>
  <si>
    <t>Rwjbarnabas Health</t>
  </si>
  <si>
    <t>95 Old Short Hills Rd</t>
  </si>
  <si>
    <t>West Orange</t>
  </si>
  <si>
    <t>Missouri Cancer Associates</t>
  </si>
  <si>
    <t>1705 E Broadway Ste 100</t>
  </si>
  <si>
    <t>Central Georgia Cancer Care  Pc</t>
  </si>
  <si>
    <t>800 1st St Ste 410</t>
  </si>
  <si>
    <t>Macon</t>
  </si>
  <si>
    <t>Honorhealth</t>
  </si>
  <si>
    <t>8125 N Hayden Rd</t>
  </si>
  <si>
    <t>Scottsdale</t>
  </si>
  <si>
    <t>Community Health Network  Inc</t>
  </si>
  <si>
    <t>7330 Shadeland Sta Ste 150</t>
  </si>
  <si>
    <t>John Muir Health</t>
  </si>
  <si>
    <t>1400 Treat Blvd</t>
  </si>
  <si>
    <t>Walnut Creek</t>
  </si>
  <si>
    <t>Saint Josephs Candler Health System</t>
  </si>
  <si>
    <t>5353 Reynolds St</t>
  </si>
  <si>
    <t>Savannah</t>
  </si>
  <si>
    <t>Northwest Oncology And Hematology  Sc</t>
  </si>
  <si>
    <t>3701 Algonquin Rd Ste 900</t>
  </si>
  <si>
    <t>Rolling Meadows</t>
  </si>
  <si>
    <t>Wellstar Health System  Inc</t>
  </si>
  <si>
    <t>793 Sawyer Rd</t>
  </si>
  <si>
    <t>Marietta</t>
  </si>
  <si>
    <t>Multicare Health System</t>
  </si>
  <si>
    <t>315 Martin Luther King Jr Way</t>
  </si>
  <si>
    <t>Sentara Health</t>
  </si>
  <si>
    <t>6015 Poplar Hall Dr</t>
  </si>
  <si>
    <t>New York City Health And Hospitals  Corp</t>
  </si>
  <si>
    <t>50 Water St Fl 17</t>
  </si>
  <si>
    <t>Compassionate Cancer Care</t>
  </si>
  <si>
    <t>11180 Warner Ave Ste 351</t>
  </si>
  <si>
    <t>Fountain Valley</t>
  </si>
  <si>
    <t>Tower Health</t>
  </si>
  <si>
    <t>420 S 5th Ave</t>
  </si>
  <si>
    <t>West Reading</t>
  </si>
  <si>
    <t>Healthcare Authority For Baptist Health</t>
  </si>
  <si>
    <t>301 Brown Springs Rd</t>
  </si>
  <si>
    <t>Montgomery</t>
  </si>
  <si>
    <t>ZS00000011</t>
  </si>
  <si>
    <t>Epic Care</t>
  </si>
  <si>
    <t>4721 DALLAS RANCH RD</t>
  </si>
  <si>
    <t>ANTIOCH</t>
  </si>
  <si>
    <t>The Center For Cancer And Blood Disorders</t>
  </si>
  <si>
    <t>800 W Magnolia Ave</t>
  </si>
  <si>
    <t>Fort Worth</t>
  </si>
  <si>
    <t>Saint Lukes University Health Network</t>
  </si>
  <si>
    <t>801 Ostrum St</t>
  </si>
  <si>
    <t>Bethlehem</t>
  </si>
  <si>
    <t>Sharp Healthcare</t>
  </si>
  <si>
    <t>8695 Spectrum Center Blvd</t>
  </si>
  <si>
    <t>Nuvance Health</t>
  </si>
  <si>
    <t>24 Hospital Ave</t>
  </si>
  <si>
    <t>Danbury</t>
  </si>
  <si>
    <t>Mainehealth</t>
  </si>
  <si>
    <t>110 Free St</t>
  </si>
  <si>
    <t>Portland</t>
  </si>
  <si>
    <t>Garnet Health</t>
  </si>
  <si>
    <t>707 E Main St</t>
  </si>
  <si>
    <t>Middletown</t>
  </si>
  <si>
    <t>ZS00000006</t>
  </si>
  <si>
    <t>MESSINO CANCER CENTERS</t>
  </si>
  <si>
    <t>15 Medical Park Dr #5</t>
  </si>
  <si>
    <t>Asheville</t>
  </si>
  <si>
    <t>Hudson Valley Cancer Center</t>
  </si>
  <si>
    <t>159 Barnegat Rd Ste 101</t>
  </si>
  <si>
    <t>Poughkeepsie</t>
  </si>
  <si>
    <t>ZS00000013</t>
  </si>
  <si>
    <t>South Florida Oncology And Hematology Consultants</t>
  </si>
  <si>
    <t>8200 W Sunrise Blvd Ste D2</t>
  </si>
  <si>
    <t>Plantation</t>
  </si>
  <si>
    <t>Ballad Health</t>
  </si>
  <si>
    <t>303 Med Tech Pkwy</t>
  </si>
  <si>
    <t>Johnson City</t>
  </si>
  <si>
    <t>Cancer Center Of South Florida</t>
  </si>
  <si>
    <t>1450 Centrepark Blvd Ste 165</t>
  </si>
  <si>
    <t>West Palm Beach</t>
  </si>
  <si>
    <t>Northwest Georgia Oncology Centers  Pc</t>
  </si>
  <si>
    <t>340 Kennestone Hospital Blvd Ste 100</t>
  </si>
  <si>
    <t>Oregon Oncology Specialists</t>
  </si>
  <si>
    <t>875 Oak St Se Ste 4030</t>
  </si>
  <si>
    <t>Salem</t>
  </si>
  <si>
    <t>Duly Health And Care</t>
  </si>
  <si>
    <t>1100 31st St Ste 300</t>
  </si>
  <si>
    <t>Downers Grove</t>
  </si>
  <si>
    <t>Astera Cancer Care</t>
  </si>
  <si>
    <t>629 Cranbury Rd Fl 2</t>
  </si>
  <si>
    <t>East Brunswick</t>
  </si>
  <si>
    <t>Toledo Clinic  Inc</t>
  </si>
  <si>
    <t>4235 Secor Rd</t>
  </si>
  <si>
    <t>Woodlands Medical Specialists</t>
  </si>
  <si>
    <t>4724 N Davis Hwy</t>
  </si>
  <si>
    <t>Pensacola</t>
  </si>
  <si>
    <t>Integris Health</t>
  </si>
  <si>
    <t>3300 Nw Expressway</t>
  </si>
  <si>
    <t>Oklahoma City</t>
  </si>
  <si>
    <t>Mcleod Health</t>
  </si>
  <si>
    <t>555 E Cheves St</t>
  </si>
  <si>
    <t>Florence</t>
  </si>
  <si>
    <t>Saint Elizabeth Healthcare</t>
  </si>
  <si>
    <t>1 Medical Village Dr</t>
  </si>
  <si>
    <t>Edgewood</t>
  </si>
  <si>
    <t>Cooper University Health Care</t>
  </si>
  <si>
    <t>1 Cooper Plz</t>
  </si>
  <si>
    <t>Camden</t>
  </si>
  <si>
    <t>Baycare Health System</t>
  </si>
  <si>
    <t>2985 Drew St</t>
  </si>
  <si>
    <t>Clearwater</t>
  </si>
  <si>
    <t>Baystate Health</t>
  </si>
  <si>
    <t>280 Chestnut St</t>
  </si>
  <si>
    <t>Springfield</t>
  </si>
  <si>
    <t>Riverside Health System</t>
  </si>
  <si>
    <t>701 Town Center Dr</t>
  </si>
  <si>
    <t>Newport News</t>
  </si>
  <si>
    <t>Utah Hematology Oncology  Pc</t>
  </si>
  <si>
    <t>5290 S 400 E</t>
  </si>
  <si>
    <t>Ogden</t>
  </si>
  <si>
    <t>Hematology Oncology Associates Of The Palm Beaches</t>
  </si>
  <si>
    <t>3450 Lantana Rd Ste 100</t>
  </si>
  <si>
    <t>Lake Worth</t>
  </si>
  <si>
    <t>Harbin Clinic</t>
  </si>
  <si>
    <t>221 Technology Pkwy Nw</t>
  </si>
  <si>
    <t>Rome</t>
  </si>
  <si>
    <t>Saint Lukes Health System</t>
  </si>
  <si>
    <t>901 E 104th St</t>
  </si>
  <si>
    <t>Inspira Health Network</t>
  </si>
  <si>
    <t>165 Bridgeton Pike</t>
  </si>
  <si>
    <t>Mullica Hill</t>
  </si>
  <si>
    <t>ZS00000002</t>
  </si>
  <si>
    <t>GENESIS CANCER AND BLOOD INSTITUTE</t>
  </si>
  <si>
    <t>130 Medical Circle</t>
  </si>
  <si>
    <t>Arizona Blood And Cancer Specialists  Pllc</t>
  </si>
  <si>
    <t>3945 E Paradise Falls Dr Ste 105</t>
  </si>
  <si>
    <t>ZS00000005</t>
  </si>
  <si>
    <t>LOW COUNTRY CANCER CARE</t>
  </si>
  <si>
    <t>1105 N Ridge Ave</t>
  </si>
  <si>
    <t>Ridgeland</t>
  </si>
  <si>
    <t>ZS00000007</t>
  </si>
  <si>
    <t>ONCOLOGY HEMATOLOGY ASSOCIATES</t>
  </si>
  <si>
    <t>3850 S National Ave # 600</t>
  </si>
  <si>
    <t>Longstreet Clinic  Pc</t>
  </si>
  <si>
    <t>725 Jesse Jewell Pkwy Se Ste 270</t>
  </si>
  <si>
    <t>Medical Center Health</t>
  </si>
  <si>
    <t>800 Park St</t>
  </si>
  <si>
    <t>Bowling Green</t>
  </si>
  <si>
    <t>Wayne Hematology Oncology Associates  Pc</t>
  </si>
  <si>
    <t>500 Valley Rd</t>
  </si>
  <si>
    <t>Wayne</t>
  </si>
  <si>
    <t>Account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</si>
</sst>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53D64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3" fontId="0" fillId="0" borderId="0" xfId="0" applyNumberForma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4" fontId="2" fillId="3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7" xfId="0" applyFont="1" applyFill="1" applyBorder="1"/>
    <xf numFmtId="0" fontId="2" fillId="7" borderId="7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0" fillId="9" borderId="7" xfId="0" applyFill="1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3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14" fontId="2" fillId="3" borderId="4" xfId="0" applyNumberFormat="1" applyFont="1" applyFill="1" applyBorder="1" applyAlignment="1">
      <alignment horizontal="center"/>
    </xf>
    <xf numFmtId="14" fontId="2" fillId="3" borderId="5" xfId="0" applyNumberFormat="1" applyFont="1" applyFill="1" applyBorder="1" applyAlignment="1">
      <alignment horizontal="center"/>
    </xf>
    <xf numFmtId="14" fontId="2" fillId="3" borderId="6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8641-E6CE-41F7-9261-20A2C397D628}">
  <dimension ref="B1:DW305"/>
  <sheetViews>
    <sheetView showGridLines="0" tabSelected="1" zoomScale="90" zoomScaleNormal="90" workbookViewId="0">
      <selection activeCell="E6" sqref="E6"/>
    </sheetView>
  </sheetViews>
  <sheetFormatPr defaultRowHeight="14.4" x14ac:dyDescent="0.3"/>
  <cols>
    <col min="1" max="1" width="2.5546875" customWidth="1"/>
    <col min="2" max="2" width="17.5546875" bestFit="1" customWidth="1"/>
    <col min="3" max="3" width="21.33203125" bestFit="1" customWidth="1"/>
    <col min="4" max="4" width="61.6640625" customWidth="1"/>
    <col min="5" max="5" width="25.109375" bestFit="1" customWidth="1"/>
    <col min="6" max="6" width="30.88671875" hidden="1" customWidth="1"/>
    <col min="7" max="7" width="17.6640625" hidden="1" customWidth="1"/>
    <col min="8" max="8" width="8.88671875" hidden="1" customWidth="1"/>
    <col min="9" max="9" width="6.6640625" hidden="1" customWidth="1"/>
    <col min="10" max="10" width="32.109375" bestFit="1" customWidth="1"/>
    <col min="11" max="11" width="12.44140625" hidden="1" customWidth="1"/>
    <col min="12" max="12" width="17.33203125" hidden="1" customWidth="1"/>
    <col min="13" max="13" width="20.88671875" hidden="1" customWidth="1"/>
    <col min="14" max="14" width="21.109375" hidden="1" customWidth="1"/>
    <col min="15" max="15" width="24.33203125" hidden="1" customWidth="1"/>
    <col min="16" max="19" width="19" hidden="1" customWidth="1"/>
    <col min="20" max="99" width="16.88671875" hidden="1" customWidth="1"/>
    <col min="100" max="100" width="16.88671875" customWidth="1"/>
    <col min="101" max="101" width="16.88671875" hidden="1" customWidth="1"/>
    <col min="102" max="102" width="16.88671875" customWidth="1"/>
    <col min="103" max="122" width="16.88671875" hidden="1" customWidth="1"/>
    <col min="123" max="123" width="26.33203125" hidden="1" customWidth="1"/>
    <col min="124" max="124" width="33.5546875" hidden="1" customWidth="1"/>
    <col min="125" max="125" width="29.88671875" hidden="1" customWidth="1"/>
    <col min="126" max="126" width="28.44140625" hidden="1" customWidth="1"/>
    <col min="127" max="127" width="26.109375" hidden="1" customWidth="1"/>
  </cols>
  <sheetData>
    <row r="1" spans="2:127" x14ac:dyDescent="0.3"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</row>
    <row r="2" spans="2:127" ht="15" thickBot="1" x14ac:dyDescent="0.35">
      <c r="C2" s="2" t="s">
        <v>0</v>
      </c>
      <c r="O2" s="1"/>
      <c r="P2" s="1"/>
      <c r="Q2" s="1"/>
      <c r="R2" s="1"/>
      <c r="S2" s="1"/>
      <c r="T2" s="1"/>
    </row>
    <row r="3" spans="2:127" ht="15" thickBot="1" x14ac:dyDescent="0.35">
      <c r="C3" s="3" t="s">
        <v>1</v>
      </c>
      <c r="O3" s="33" t="s">
        <v>2</v>
      </c>
      <c r="P3" s="34"/>
      <c r="Q3" s="34"/>
      <c r="R3" s="34"/>
      <c r="S3" s="34"/>
      <c r="T3" s="35"/>
      <c r="U3" s="36">
        <v>45900</v>
      </c>
      <c r="V3" s="37"/>
      <c r="W3" s="37"/>
      <c r="X3" s="37"/>
      <c r="Y3" s="37"/>
      <c r="Z3" s="38"/>
      <c r="AA3" s="24">
        <v>45930</v>
      </c>
      <c r="AB3" s="25"/>
      <c r="AC3" s="25"/>
      <c r="AD3" s="25"/>
      <c r="AE3" s="25"/>
      <c r="AF3" s="26"/>
      <c r="AG3" s="24">
        <v>45961</v>
      </c>
      <c r="AH3" s="25"/>
      <c r="AI3" s="25"/>
      <c r="AJ3" s="25"/>
      <c r="AK3" s="25"/>
      <c r="AL3" s="26"/>
      <c r="AM3" s="24">
        <v>45991</v>
      </c>
      <c r="AN3" s="25"/>
      <c r="AO3" s="25"/>
      <c r="AP3" s="25"/>
      <c r="AQ3" s="25"/>
      <c r="AR3" s="26"/>
      <c r="AS3" s="24">
        <v>46022</v>
      </c>
      <c r="AT3" s="25"/>
      <c r="AU3" s="25"/>
      <c r="AV3" s="25"/>
      <c r="AW3" s="25"/>
      <c r="AX3" s="26"/>
      <c r="AY3" s="24">
        <v>46053</v>
      </c>
      <c r="AZ3" s="25"/>
      <c r="BA3" s="25"/>
      <c r="BB3" s="25"/>
      <c r="BC3" s="25"/>
      <c r="BD3" s="26"/>
      <c r="BE3" s="24">
        <v>46081</v>
      </c>
      <c r="BF3" s="25"/>
      <c r="BG3" s="25"/>
      <c r="BH3" s="25"/>
      <c r="BI3" s="25"/>
      <c r="BJ3" s="26"/>
      <c r="BK3" s="24">
        <v>46112</v>
      </c>
      <c r="BL3" s="25"/>
      <c r="BM3" s="25"/>
      <c r="BN3" s="25"/>
      <c r="BO3" s="25"/>
      <c r="BP3" s="26"/>
      <c r="BQ3" s="24">
        <v>46142</v>
      </c>
      <c r="BR3" s="25"/>
      <c r="BS3" s="25"/>
      <c r="BT3" s="25"/>
      <c r="BU3" s="25"/>
      <c r="BV3" s="26"/>
      <c r="BW3" s="24">
        <v>46173</v>
      </c>
      <c r="BX3" s="25"/>
      <c r="BY3" s="25"/>
      <c r="BZ3" s="25"/>
      <c r="CA3" s="25"/>
      <c r="CB3" s="26"/>
      <c r="CC3" s="24">
        <v>46203</v>
      </c>
      <c r="CD3" s="25"/>
      <c r="CE3" s="25"/>
      <c r="CF3" s="25"/>
      <c r="CG3" s="25"/>
      <c r="CH3" s="26"/>
      <c r="CI3" s="24">
        <v>46234</v>
      </c>
      <c r="CJ3" s="25"/>
      <c r="CK3" s="25"/>
      <c r="CL3" s="25"/>
      <c r="CM3" s="25"/>
      <c r="CN3" s="26"/>
      <c r="CO3" s="24">
        <v>46265</v>
      </c>
      <c r="CP3" s="25"/>
      <c r="CQ3" s="25"/>
      <c r="CR3" s="25"/>
      <c r="CS3" s="25"/>
      <c r="CT3" s="26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</row>
    <row r="4" spans="2:127" x14ac:dyDescent="0.3">
      <c r="O4" s="27" t="s">
        <v>3</v>
      </c>
      <c r="P4" s="28"/>
      <c r="Q4" s="29"/>
      <c r="R4" s="30" t="s">
        <v>4</v>
      </c>
      <c r="S4" s="31"/>
      <c r="T4" s="32"/>
      <c r="U4" s="15" t="s">
        <v>3</v>
      </c>
      <c r="V4" s="16"/>
      <c r="W4" s="17"/>
      <c r="X4" s="18" t="s">
        <v>4</v>
      </c>
      <c r="Y4" s="19"/>
      <c r="Z4" s="20"/>
      <c r="AA4" s="15" t="s">
        <v>3</v>
      </c>
      <c r="AB4" s="16"/>
      <c r="AC4" s="17"/>
      <c r="AD4" s="18" t="s">
        <v>4</v>
      </c>
      <c r="AE4" s="19"/>
      <c r="AF4" s="20"/>
      <c r="AG4" s="15" t="s">
        <v>3</v>
      </c>
      <c r="AH4" s="16"/>
      <c r="AI4" s="17"/>
      <c r="AJ4" s="18" t="s">
        <v>4</v>
      </c>
      <c r="AK4" s="19"/>
      <c r="AL4" s="20"/>
      <c r="AM4" s="15" t="s">
        <v>3</v>
      </c>
      <c r="AN4" s="16"/>
      <c r="AO4" s="17"/>
      <c r="AP4" s="18" t="s">
        <v>4</v>
      </c>
      <c r="AQ4" s="19"/>
      <c r="AR4" s="20"/>
      <c r="AS4" s="15" t="s">
        <v>3</v>
      </c>
      <c r="AT4" s="16"/>
      <c r="AU4" s="17"/>
      <c r="AV4" s="18" t="s">
        <v>4</v>
      </c>
      <c r="AW4" s="19"/>
      <c r="AX4" s="20"/>
      <c r="AY4" s="15" t="s">
        <v>3</v>
      </c>
      <c r="AZ4" s="16"/>
      <c r="BA4" s="17"/>
      <c r="BB4" s="18" t="s">
        <v>4</v>
      </c>
      <c r="BC4" s="19"/>
      <c r="BD4" s="20"/>
      <c r="BE4" s="15" t="s">
        <v>3</v>
      </c>
      <c r="BF4" s="16"/>
      <c r="BG4" s="17"/>
      <c r="BH4" s="18" t="s">
        <v>4</v>
      </c>
      <c r="BI4" s="19"/>
      <c r="BJ4" s="20"/>
      <c r="BK4" s="15" t="s">
        <v>3</v>
      </c>
      <c r="BL4" s="16"/>
      <c r="BM4" s="17"/>
      <c r="BN4" s="18" t="s">
        <v>4</v>
      </c>
      <c r="BO4" s="19"/>
      <c r="BP4" s="20"/>
      <c r="BQ4" s="15" t="s">
        <v>3</v>
      </c>
      <c r="BR4" s="16"/>
      <c r="BS4" s="17"/>
      <c r="BT4" s="18" t="s">
        <v>4</v>
      </c>
      <c r="BU4" s="19"/>
      <c r="BV4" s="20"/>
      <c r="BW4" s="15" t="s">
        <v>3</v>
      </c>
      <c r="BX4" s="16"/>
      <c r="BY4" s="17"/>
      <c r="BZ4" s="18" t="s">
        <v>4</v>
      </c>
      <c r="CA4" s="19"/>
      <c r="CB4" s="20"/>
      <c r="CC4" s="15" t="s">
        <v>3</v>
      </c>
      <c r="CD4" s="16"/>
      <c r="CE4" s="17"/>
      <c r="CF4" s="18" t="s">
        <v>4</v>
      </c>
      <c r="CG4" s="19"/>
      <c r="CH4" s="20"/>
      <c r="CI4" s="15" t="s">
        <v>3</v>
      </c>
      <c r="CJ4" s="16"/>
      <c r="CK4" s="17"/>
      <c r="CL4" s="18" t="s">
        <v>4</v>
      </c>
      <c r="CM4" s="19"/>
      <c r="CN4" s="20"/>
      <c r="CO4" s="15" t="s">
        <v>3</v>
      </c>
      <c r="CP4" s="16"/>
      <c r="CQ4" s="17"/>
      <c r="CR4" s="18" t="s">
        <v>4</v>
      </c>
      <c r="CS4" s="19"/>
      <c r="CT4" s="20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21" t="s">
        <v>5</v>
      </c>
      <c r="DT4" s="22"/>
      <c r="DU4" s="22"/>
      <c r="DV4" s="22"/>
      <c r="DW4" s="23"/>
    </row>
    <row r="5" spans="2:127" x14ac:dyDescent="0.3">
      <c r="B5" s="6" t="s">
        <v>6</v>
      </c>
      <c r="C5" s="6" t="s">
        <v>7</v>
      </c>
      <c r="D5" s="6" t="s">
        <v>8</v>
      </c>
      <c r="E5" s="7" t="s">
        <v>963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9" t="s">
        <v>18</v>
      </c>
      <c r="V5" s="9" t="s">
        <v>19</v>
      </c>
      <c r="W5" s="9" t="s">
        <v>20</v>
      </c>
      <c r="X5" s="9" t="s">
        <v>21</v>
      </c>
      <c r="Y5" s="9" t="s">
        <v>22</v>
      </c>
      <c r="Z5" s="9" t="s">
        <v>23</v>
      </c>
      <c r="AA5" s="9" t="s">
        <v>18</v>
      </c>
      <c r="AB5" s="9" t="s">
        <v>19</v>
      </c>
      <c r="AC5" s="9" t="s">
        <v>20</v>
      </c>
      <c r="AD5" s="9" t="s">
        <v>21</v>
      </c>
      <c r="AE5" s="9" t="s">
        <v>22</v>
      </c>
      <c r="AF5" s="9" t="s">
        <v>23</v>
      </c>
      <c r="AG5" s="9" t="s">
        <v>18</v>
      </c>
      <c r="AH5" s="9" t="s">
        <v>19</v>
      </c>
      <c r="AI5" s="9" t="s">
        <v>20</v>
      </c>
      <c r="AJ5" s="9" t="s">
        <v>21</v>
      </c>
      <c r="AK5" s="9" t="s">
        <v>22</v>
      </c>
      <c r="AL5" s="9" t="s">
        <v>23</v>
      </c>
      <c r="AM5" s="9" t="s">
        <v>18</v>
      </c>
      <c r="AN5" s="9" t="s">
        <v>19</v>
      </c>
      <c r="AO5" s="9" t="s">
        <v>20</v>
      </c>
      <c r="AP5" s="9" t="s">
        <v>21</v>
      </c>
      <c r="AQ5" s="9" t="s">
        <v>22</v>
      </c>
      <c r="AR5" s="9" t="s">
        <v>23</v>
      </c>
      <c r="AS5" s="9" t="s">
        <v>18</v>
      </c>
      <c r="AT5" s="9" t="s">
        <v>19</v>
      </c>
      <c r="AU5" s="9" t="s">
        <v>20</v>
      </c>
      <c r="AV5" s="9" t="s">
        <v>21</v>
      </c>
      <c r="AW5" s="9" t="s">
        <v>22</v>
      </c>
      <c r="AX5" s="9" t="s">
        <v>23</v>
      </c>
      <c r="AY5" s="9" t="s">
        <v>18</v>
      </c>
      <c r="AZ5" s="9" t="s">
        <v>19</v>
      </c>
      <c r="BA5" s="9" t="s">
        <v>20</v>
      </c>
      <c r="BB5" s="9" t="s">
        <v>21</v>
      </c>
      <c r="BC5" s="9" t="s">
        <v>22</v>
      </c>
      <c r="BD5" s="9" t="s">
        <v>23</v>
      </c>
      <c r="BE5" s="9" t="s">
        <v>18</v>
      </c>
      <c r="BF5" s="9" t="s">
        <v>19</v>
      </c>
      <c r="BG5" s="9" t="s">
        <v>20</v>
      </c>
      <c r="BH5" s="9" t="s">
        <v>21</v>
      </c>
      <c r="BI5" s="9" t="s">
        <v>22</v>
      </c>
      <c r="BJ5" s="9" t="s">
        <v>23</v>
      </c>
      <c r="BK5" s="9" t="s">
        <v>18</v>
      </c>
      <c r="BL5" s="9" t="s">
        <v>19</v>
      </c>
      <c r="BM5" s="9" t="s">
        <v>20</v>
      </c>
      <c r="BN5" s="9" t="s">
        <v>21</v>
      </c>
      <c r="BO5" s="9" t="s">
        <v>22</v>
      </c>
      <c r="BP5" s="9" t="s">
        <v>23</v>
      </c>
      <c r="BQ5" s="9" t="s">
        <v>18</v>
      </c>
      <c r="BR5" s="9" t="s">
        <v>19</v>
      </c>
      <c r="BS5" s="9" t="s">
        <v>20</v>
      </c>
      <c r="BT5" s="9" t="s">
        <v>21</v>
      </c>
      <c r="BU5" s="9" t="s">
        <v>22</v>
      </c>
      <c r="BV5" s="9" t="s">
        <v>23</v>
      </c>
      <c r="BW5" s="9" t="s">
        <v>18</v>
      </c>
      <c r="BX5" s="9" t="s">
        <v>19</v>
      </c>
      <c r="BY5" s="9" t="s">
        <v>20</v>
      </c>
      <c r="BZ5" s="9" t="s">
        <v>21</v>
      </c>
      <c r="CA5" s="9" t="s">
        <v>22</v>
      </c>
      <c r="CB5" s="9" t="s">
        <v>23</v>
      </c>
      <c r="CC5" s="9" t="s">
        <v>18</v>
      </c>
      <c r="CD5" s="9" t="s">
        <v>19</v>
      </c>
      <c r="CE5" s="9" t="s">
        <v>20</v>
      </c>
      <c r="CF5" s="9" t="s">
        <v>21</v>
      </c>
      <c r="CG5" s="9" t="s">
        <v>22</v>
      </c>
      <c r="CH5" s="9" t="s">
        <v>23</v>
      </c>
      <c r="CI5" s="9" t="s">
        <v>18</v>
      </c>
      <c r="CJ5" s="9" t="s">
        <v>19</v>
      </c>
      <c r="CK5" s="9" t="s">
        <v>20</v>
      </c>
      <c r="CL5" s="9" t="s">
        <v>21</v>
      </c>
      <c r="CM5" s="9" t="s">
        <v>22</v>
      </c>
      <c r="CN5" s="9" t="s">
        <v>23</v>
      </c>
      <c r="CO5" s="9" t="s">
        <v>18</v>
      </c>
      <c r="CP5" s="9" t="s">
        <v>19</v>
      </c>
      <c r="CQ5" s="9" t="s">
        <v>20</v>
      </c>
      <c r="CR5" s="9" t="s">
        <v>21</v>
      </c>
      <c r="CS5" s="9" t="s">
        <v>22</v>
      </c>
      <c r="CT5" s="9" t="s">
        <v>23</v>
      </c>
      <c r="CU5" s="9" t="s">
        <v>24</v>
      </c>
      <c r="CV5" s="9" t="s">
        <v>25</v>
      </c>
      <c r="CW5" s="9" t="s">
        <v>26</v>
      </c>
      <c r="CX5" s="9" t="s">
        <v>27</v>
      </c>
      <c r="CY5" s="9" t="s">
        <v>28</v>
      </c>
      <c r="CZ5" s="9" t="s">
        <v>29</v>
      </c>
      <c r="DA5" s="9" t="s">
        <v>30</v>
      </c>
      <c r="DB5" s="9" t="s">
        <v>31</v>
      </c>
      <c r="DC5" s="9" t="s">
        <v>32</v>
      </c>
      <c r="DD5" s="9" t="s">
        <v>33</v>
      </c>
      <c r="DE5" s="9" t="s">
        <v>34</v>
      </c>
      <c r="DF5" s="9" t="s">
        <v>35</v>
      </c>
      <c r="DG5" s="9" t="s">
        <v>36</v>
      </c>
      <c r="DH5" s="9" t="s">
        <v>37</v>
      </c>
      <c r="DI5" s="9" t="s">
        <v>38</v>
      </c>
      <c r="DJ5" s="9" t="s">
        <v>39</v>
      </c>
      <c r="DK5" s="9" t="s">
        <v>40</v>
      </c>
      <c r="DL5" s="9" t="s">
        <v>41</v>
      </c>
      <c r="DM5" s="9" t="s">
        <v>42</v>
      </c>
      <c r="DN5" s="9" t="s">
        <v>43</v>
      </c>
      <c r="DO5" s="9" t="s">
        <v>44</v>
      </c>
      <c r="DP5" s="9" t="s">
        <v>45</v>
      </c>
      <c r="DQ5" s="9" t="s">
        <v>46</v>
      </c>
      <c r="DR5" s="9" t="s">
        <v>47</v>
      </c>
      <c r="DS5" s="10" t="s">
        <v>48</v>
      </c>
      <c r="DT5" s="10" t="s">
        <v>49</v>
      </c>
      <c r="DU5" s="10" t="s">
        <v>50</v>
      </c>
      <c r="DV5" s="10" t="s">
        <v>51</v>
      </c>
      <c r="DW5" s="10" t="s">
        <v>52</v>
      </c>
    </row>
    <row r="6" spans="2:127" ht="15" customHeight="1" x14ac:dyDescent="0.3">
      <c r="B6" s="11" t="s">
        <v>53</v>
      </c>
      <c r="C6" s="12">
        <v>5001338533</v>
      </c>
      <c r="D6" s="11" t="s">
        <v>54</v>
      </c>
      <c r="E6" s="11" t="s">
        <v>55</v>
      </c>
      <c r="F6" s="11" t="s">
        <v>56</v>
      </c>
      <c r="G6" s="11" t="s">
        <v>57</v>
      </c>
      <c r="H6" s="11" t="s">
        <v>58</v>
      </c>
      <c r="I6" s="11">
        <v>91010</v>
      </c>
      <c r="J6" s="11" t="s">
        <v>59</v>
      </c>
      <c r="K6" s="11"/>
      <c r="L6" s="11"/>
      <c r="M6" s="11"/>
      <c r="N6" s="11"/>
      <c r="O6" s="13">
        <v>1379</v>
      </c>
      <c r="P6" s="13">
        <v>1379</v>
      </c>
      <c r="Q6" s="13">
        <v>0</v>
      </c>
      <c r="R6" s="13">
        <v>141474.3561</v>
      </c>
      <c r="S6" s="13">
        <v>3888.0497999999998</v>
      </c>
      <c r="T6" s="13">
        <v>137586.3063</v>
      </c>
      <c r="U6" s="13">
        <v>38</v>
      </c>
      <c r="V6" s="13">
        <v>38</v>
      </c>
      <c r="W6" s="13">
        <v>0</v>
      </c>
      <c r="X6" s="13">
        <v>8871.4642000000003</v>
      </c>
      <c r="Y6" s="13">
        <v>206.7484</v>
      </c>
      <c r="Z6" s="13">
        <v>8664.7157999999999</v>
      </c>
      <c r="AA6" s="13">
        <v>130</v>
      </c>
      <c r="AB6" s="13">
        <v>130</v>
      </c>
      <c r="AC6" s="13">
        <v>0</v>
      </c>
      <c r="AD6" s="13">
        <v>12581.2827</v>
      </c>
      <c r="AE6" s="13">
        <v>448.21199999999999</v>
      </c>
      <c r="AF6" s="13">
        <v>12133.0707</v>
      </c>
      <c r="AG6" s="13">
        <v>100</v>
      </c>
      <c r="AH6" s="13">
        <v>100</v>
      </c>
      <c r="AI6" s="13">
        <v>0</v>
      </c>
      <c r="AJ6" s="13">
        <v>9596.1239000000005</v>
      </c>
      <c r="AK6" s="13">
        <v>264.89150000000001</v>
      </c>
      <c r="AL6" s="13">
        <v>9331.2324000000008</v>
      </c>
      <c r="AM6" s="13">
        <v>87</v>
      </c>
      <c r="AN6" s="13">
        <v>87</v>
      </c>
      <c r="AO6" s="13">
        <v>0</v>
      </c>
      <c r="AP6" s="13">
        <v>9186.8014000000003</v>
      </c>
      <c r="AQ6" s="13">
        <v>225.85599999999999</v>
      </c>
      <c r="AR6" s="13">
        <v>8960.9454000000005</v>
      </c>
      <c r="AS6" s="13">
        <v>93</v>
      </c>
      <c r="AT6" s="13">
        <v>93</v>
      </c>
      <c r="AU6" s="13">
        <v>0</v>
      </c>
      <c r="AV6" s="13">
        <v>12010.260700000001</v>
      </c>
      <c r="AW6" s="13">
        <v>259.81989999999996</v>
      </c>
      <c r="AX6" s="13">
        <v>11750.4408</v>
      </c>
      <c r="AY6" s="13">
        <v>105</v>
      </c>
      <c r="AZ6" s="13">
        <v>105</v>
      </c>
      <c r="BA6" s="13">
        <v>0</v>
      </c>
      <c r="BB6" s="13">
        <v>9763.5100999999995</v>
      </c>
      <c r="BC6" s="13">
        <v>271.82</v>
      </c>
      <c r="BD6" s="13">
        <v>9491.6900999999998</v>
      </c>
      <c r="BE6" s="13">
        <v>181</v>
      </c>
      <c r="BF6" s="13">
        <v>181</v>
      </c>
      <c r="BG6" s="13">
        <v>0</v>
      </c>
      <c r="BH6" s="13">
        <v>10011.3454</v>
      </c>
      <c r="BI6" s="13">
        <v>408.56920000000002</v>
      </c>
      <c r="BJ6" s="13">
        <v>9602.7762000000002</v>
      </c>
      <c r="BK6" s="13">
        <v>101</v>
      </c>
      <c r="BL6" s="13">
        <v>101</v>
      </c>
      <c r="BM6" s="13">
        <v>0</v>
      </c>
      <c r="BN6" s="13">
        <v>13404.907999999999</v>
      </c>
      <c r="BO6" s="13">
        <v>296.7482</v>
      </c>
      <c r="BP6" s="13">
        <v>13108.159799999999</v>
      </c>
      <c r="BQ6" s="13">
        <v>103</v>
      </c>
      <c r="BR6" s="13">
        <v>103</v>
      </c>
      <c r="BS6" s="13">
        <v>0</v>
      </c>
      <c r="BT6" s="13">
        <v>10254.0692</v>
      </c>
      <c r="BU6" s="13">
        <v>256.3202</v>
      </c>
      <c r="BV6" s="13">
        <v>9997.7489999999998</v>
      </c>
      <c r="BW6" s="13">
        <v>95</v>
      </c>
      <c r="BX6" s="13">
        <v>95</v>
      </c>
      <c r="BY6" s="13">
        <v>0</v>
      </c>
      <c r="BZ6" s="13">
        <v>10891.757799999999</v>
      </c>
      <c r="CA6" s="13">
        <v>190.46350000000001</v>
      </c>
      <c r="CB6" s="13">
        <v>10701.2943</v>
      </c>
      <c r="CC6" s="13">
        <v>134</v>
      </c>
      <c r="CD6" s="13">
        <v>134</v>
      </c>
      <c r="CE6" s="13">
        <v>0</v>
      </c>
      <c r="CF6" s="13">
        <v>12365.4254</v>
      </c>
      <c r="CG6" s="13">
        <v>355.78370000000001</v>
      </c>
      <c r="CH6" s="13">
        <v>12009.6417</v>
      </c>
      <c r="CI6" s="13">
        <v>99</v>
      </c>
      <c r="CJ6" s="13">
        <v>99</v>
      </c>
      <c r="CK6" s="13">
        <v>0</v>
      </c>
      <c r="CL6" s="13">
        <v>11455.043900000001</v>
      </c>
      <c r="CM6" s="13">
        <v>321.74810000000002</v>
      </c>
      <c r="CN6" s="13">
        <v>11133.2958</v>
      </c>
      <c r="CO6" s="13">
        <v>113</v>
      </c>
      <c r="CP6" s="13">
        <v>113</v>
      </c>
      <c r="CQ6" s="13">
        <v>0</v>
      </c>
      <c r="CR6" s="13">
        <v>11082.3634</v>
      </c>
      <c r="CS6" s="13">
        <v>381.06909999999999</v>
      </c>
      <c r="CT6" s="13">
        <v>10701.2943</v>
      </c>
      <c r="CU6" s="13">
        <f>SUM(AA6,AG6,AM6,AS6,AY6,BE6,BK6,BQ6,BW6,CC6,CI6,CO6)</f>
        <v>1341</v>
      </c>
      <c r="CV6" s="13">
        <f t="shared" ref="CV6:CZ21" si="0">SUM(AB6,AH6,AN6,AT6,AZ6,BF6,BL6,BR6,BX6,CD6,CJ6,CP6)</f>
        <v>1341</v>
      </c>
      <c r="CW6" s="13">
        <f t="shared" si="0"/>
        <v>0</v>
      </c>
      <c r="CX6" s="13">
        <f t="shared" si="0"/>
        <v>132602.89189999999</v>
      </c>
      <c r="CY6" s="13">
        <f t="shared" si="0"/>
        <v>3681.3013999999998</v>
      </c>
      <c r="CZ6" s="13">
        <f>SUM(AF6,AL6,AR6,AX6,BD6,BJ6,BP6,BV6,CB6,CH6,CN6,CT6)</f>
        <v>128921.59049999998</v>
      </c>
      <c r="DA6" s="13">
        <f>SUM(CC6,CI6,CO6)</f>
        <v>346</v>
      </c>
      <c r="DB6" s="13">
        <f t="shared" ref="DB6:DF21" si="1">SUM(CD6,CJ6,CP6)</f>
        <v>346</v>
      </c>
      <c r="DC6" s="13">
        <f t="shared" si="1"/>
        <v>0</v>
      </c>
      <c r="DD6" s="13">
        <f t="shared" si="1"/>
        <v>34902.832699999999</v>
      </c>
      <c r="DE6" s="13">
        <f t="shared" si="1"/>
        <v>1058.6008999999999</v>
      </c>
      <c r="DF6" s="13">
        <f t="shared" si="1"/>
        <v>33844.231800000001</v>
      </c>
      <c r="DG6" s="13">
        <f>SUM(BK6,BQ6,BW6)</f>
        <v>299</v>
      </c>
      <c r="DH6" s="13">
        <f t="shared" ref="DH6:DL21" si="2">SUM(BL6,BR6,BX6)</f>
        <v>299</v>
      </c>
      <c r="DI6" s="13">
        <f t="shared" si="2"/>
        <v>0</v>
      </c>
      <c r="DJ6" s="13">
        <f t="shared" si="2"/>
        <v>34550.735000000001</v>
      </c>
      <c r="DK6" s="13">
        <f t="shared" si="2"/>
        <v>743.53189999999995</v>
      </c>
      <c r="DL6" s="13">
        <f t="shared" si="2"/>
        <v>33807.203099999999</v>
      </c>
      <c r="DM6" s="13">
        <f>SUM(CI6,CO6)</f>
        <v>212</v>
      </c>
      <c r="DN6" s="13">
        <f t="shared" ref="DN6:DR21" si="3">SUM(CJ6,CP6)</f>
        <v>212</v>
      </c>
      <c r="DO6" s="13">
        <f t="shared" si="3"/>
        <v>0</v>
      </c>
      <c r="DP6" s="13">
        <f t="shared" si="3"/>
        <v>22537.407299999999</v>
      </c>
      <c r="DQ6" s="13">
        <f t="shared" si="3"/>
        <v>702.81719999999996</v>
      </c>
      <c r="DR6" s="13">
        <f t="shared" si="3"/>
        <v>21834.590100000001</v>
      </c>
      <c r="DS6" s="14" t="s">
        <v>60</v>
      </c>
      <c r="DT6" s="14" t="s">
        <v>61</v>
      </c>
      <c r="DU6" s="14" t="s">
        <v>62</v>
      </c>
      <c r="DV6" s="14" t="s">
        <v>63</v>
      </c>
      <c r="DW6" s="14" t="s">
        <v>64</v>
      </c>
    </row>
    <row r="7" spans="2:127" x14ac:dyDescent="0.3">
      <c r="B7" s="11" t="s">
        <v>65</v>
      </c>
      <c r="C7" s="12">
        <v>5001338575</v>
      </c>
      <c r="D7" s="11" t="s">
        <v>66</v>
      </c>
      <c r="E7" s="11" t="s">
        <v>55</v>
      </c>
      <c r="F7" s="11" t="s">
        <v>67</v>
      </c>
      <c r="G7" s="11" t="s">
        <v>68</v>
      </c>
      <c r="H7" s="11" t="s">
        <v>69</v>
      </c>
      <c r="I7" s="11">
        <v>21044</v>
      </c>
      <c r="J7" s="11" t="s">
        <v>70</v>
      </c>
      <c r="K7" s="11"/>
      <c r="L7" s="11"/>
      <c r="M7" s="11"/>
      <c r="N7" s="11"/>
      <c r="O7" s="13">
        <v>1131</v>
      </c>
      <c r="P7" s="13">
        <v>1131</v>
      </c>
      <c r="Q7" s="13">
        <v>0</v>
      </c>
      <c r="R7" s="13">
        <v>83874.502399999998</v>
      </c>
      <c r="S7" s="13">
        <v>2954.45</v>
      </c>
      <c r="T7" s="13">
        <v>80920.0524</v>
      </c>
      <c r="U7" s="13">
        <v>53</v>
      </c>
      <c r="V7" s="13">
        <v>53</v>
      </c>
      <c r="W7" s="13">
        <v>0</v>
      </c>
      <c r="X7" s="13">
        <v>6598.2074000000002</v>
      </c>
      <c r="Y7" s="13">
        <v>155.21359999999999</v>
      </c>
      <c r="Z7" s="13">
        <v>6442.9938000000002</v>
      </c>
      <c r="AA7" s="13">
        <v>91</v>
      </c>
      <c r="AB7" s="13">
        <v>91</v>
      </c>
      <c r="AC7" s="13">
        <v>0</v>
      </c>
      <c r="AD7" s="13">
        <v>7195.6867999999995</v>
      </c>
      <c r="AE7" s="13">
        <v>271.31989999999996</v>
      </c>
      <c r="AF7" s="13">
        <v>6924.3669</v>
      </c>
      <c r="AG7" s="13">
        <v>105</v>
      </c>
      <c r="AH7" s="13">
        <v>105</v>
      </c>
      <c r="AI7" s="13">
        <v>0</v>
      </c>
      <c r="AJ7" s="13">
        <v>5639.0538000000006</v>
      </c>
      <c r="AK7" s="13">
        <v>208.17779999999999</v>
      </c>
      <c r="AL7" s="13">
        <v>5430.8760000000002</v>
      </c>
      <c r="AM7" s="13">
        <v>68</v>
      </c>
      <c r="AN7" s="13">
        <v>68</v>
      </c>
      <c r="AO7" s="13">
        <v>0</v>
      </c>
      <c r="AP7" s="13">
        <v>5328.9667999999992</v>
      </c>
      <c r="AQ7" s="13">
        <v>194.32040000000001</v>
      </c>
      <c r="AR7" s="13">
        <v>5134.6463999999996</v>
      </c>
      <c r="AS7" s="13">
        <v>101</v>
      </c>
      <c r="AT7" s="13">
        <v>101</v>
      </c>
      <c r="AU7" s="13">
        <v>0</v>
      </c>
      <c r="AV7" s="13">
        <v>6839.0642000000007</v>
      </c>
      <c r="AW7" s="13">
        <v>272.64139999999998</v>
      </c>
      <c r="AX7" s="13">
        <v>6566.4228000000003</v>
      </c>
      <c r="AY7" s="13">
        <v>41</v>
      </c>
      <c r="AZ7" s="13">
        <v>41</v>
      </c>
      <c r="BA7" s="13">
        <v>0</v>
      </c>
      <c r="BB7" s="13">
        <v>5262.4305999999997</v>
      </c>
      <c r="BC7" s="13">
        <v>189.49870000000001</v>
      </c>
      <c r="BD7" s="13">
        <v>5072.9318999999996</v>
      </c>
      <c r="BE7" s="13">
        <v>40</v>
      </c>
      <c r="BF7" s="13">
        <v>40</v>
      </c>
      <c r="BG7" s="13">
        <v>0</v>
      </c>
      <c r="BH7" s="13">
        <v>5441.5601999999999</v>
      </c>
      <c r="BI7" s="13">
        <v>171.14189999999999</v>
      </c>
      <c r="BJ7" s="13">
        <v>5270.4183000000003</v>
      </c>
      <c r="BK7" s="13">
        <v>43</v>
      </c>
      <c r="BL7" s="13">
        <v>43</v>
      </c>
      <c r="BM7" s="13">
        <v>0</v>
      </c>
      <c r="BN7" s="13">
        <v>7605.1459000000004</v>
      </c>
      <c r="BO7" s="13">
        <v>211.74879999999999</v>
      </c>
      <c r="BP7" s="13">
        <v>7393.3971000000001</v>
      </c>
      <c r="BQ7" s="13">
        <v>79</v>
      </c>
      <c r="BR7" s="13">
        <v>79</v>
      </c>
      <c r="BS7" s="13">
        <v>0</v>
      </c>
      <c r="BT7" s="13">
        <v>6716.7786999999998</v>
      </c>
      <c r="BU7" s="13">
        <v>212.07040000000001</v>
      </c>
      <c r="BV7" s="13">
        <v>6504.7083000000002</v>
      </c>
      <c r="BW7" s="13">
        <v>91</v>
      </c>
      <c r="BX7" s="13">
        <v>91</v>
      </c>
      <c r="BY7" s="13">
        <v>0</v>
      </c>
      <c r="BZ7" s="13">
        <v>6040.6617999999999</v>
      </c>
      <c r="CA7" s="13">
        <v>239.49879999999999</v>
      </c>
      <c r="CB7" s="13">
        <v>5801.1629999999996</v>
      </c>
      <c r="CC7" s="13">
        <v>129</v>
      </c>
      <c r="CD7" s="13">
        <v>129</v>
      </c>
      <c r="CE7" s="13">
        <v>0</v>
      </c>
      <c r="CF7" s="13">
        <v>9011.8361000000004</v>
      </c>
      <c r="CG7" s="13">
        <v>297.74869999999999</v>
      </c>
      <c r="CH7" s="13">
        <v>8714.0874000000003</v>
      </c>
      <c r="CI7" s="13">
        <v>157</v>
      </c>
      <c r="CJ7" s="13">
        <v>157</v>
      </c>
      <c r="CK7" s="13">
        <v>0</v>
      </c>
      <c r="CL7" s="13">
        <v>5534.0671000000002</v>
      </c>
      <c r="CM7" s="13">
        <v>300.67750000000001</v>
      </c>
      <c r="CN7" s="13">
        <v>5233.3896000000004</v>
      </c>
      <c r="CO7" s="13">
        <v>133</v>
      </c>
      <c r="CP7" s="13">
        <v>133</v>
      </c>
      <c r="CQ7" s="13">
        <v>0</v>
      </c>
      <c r="CR7" s="13">
        <v>6661.0429999999997</v>
      </c>
      <c r="CS7" s="13">
        <v>230.3921</v>
      </c>
      <c r="CT7" s="13">
        <v>6430.6508999999996</v>
      </c>
      <c r="CU7" s="13">
        <f t="shared" ref="CU7:CZ61" si="4">SUM(AA7,AG7,AM7,AS7,AY7,BE7,BK7,BQ7,BW7,CC7,CI7,CO7)</f>
        <v>1078</v>
      </c>
      <c r="CV7" s="13">
        <f t="shared" si="0"/>
        <v>1078</v>
      </c>
      <c r="CW7" s="13">
        <f t="shared" si="0"/>
        <v>0</v>
      </c>
      <c r="CX7" s="13">
        <f t="shared" si="0"/>
        <v>77276.295000000013</v>
      </c>
      <c r="CY7" s="13">
        <f t="shared" si="0"/>
        <v>2799.2364000000007</v>
      </c>
      <c r="CZ7" s="13">
        <f t="shared" si="0"/>
        <v>74477.058599999989</v>
      </c>
      <c r="DA7" s="13">
        <f t="shared" ref="DA7:DF61" si="5">SUM(CC7,CI7,CO7)</f>
        <v>419</v>
      </c>
      <c r="DB7" s="13">
        <f t="shared" si="1"/>
        <v>419</v>
      </c>
      <c r="DC7" s="13">
        <f t="shared" si="1"/>
        <v>0</v>
      </c>
      <c r="DD7" s="13">
        <f t="shared" si="1"/>
        <v>21206.946199999998</v>
      </c>
      <c r="DE7" s="13">
        <f t="shared" si="1"/>
        <v>828.81830000000002</v>
      </c>
      <c r="DF7" s="13">
        <f t="shared" si="1"/>
        <v>20378.127899999999</v>
      </c>
      <c r="DG7" s="13">
        <f t="shared" ref="DG7:DL61" si="6">SUM(BK7,BQ7,BW7)</f>
        <v>213</v>
      </c>
      <c r="DH7" s="13">
        <f t="shared" si="2"/>
        <v>213</v>
      </c>
      <c r="DI7" s="13">
        <f t="shared" si="2"/>
        <v>0</v>
      </c>
      <c r="DJ7" s="13">
        <f t="shared" si="2"/>
        <v>20362.5864</v>
      </c>
      <c r="DK7" s="13">
        <f t="shared" si="2"/>
        <v>663.31799999999998</v>
      </c>
      <c r="DL7" s="13">
        <f t="shared" si="2"/>
        <v>19699.268400000001</v>
      </c>
      <c r="DM7" s="13">
        <f t="shared" ref="DM7:DR61" si="7">SUM(CI7,CO7)</f>
        <v>290</v>
      </c>
      <c r="DN7" s="13">
        <f t="shared" si="3"/>
        <v>290</v>
      </c>
      <c r="DO7" s="13">
        <f t="shared" si="3"/>
        <v>0</v>
      </c>
      <c r="DP7" s="13">
        <f t="shared" si="3"/>
        <v>12195.1101</v>
      </c>
      <c r="DQ7" s="13">
        <f t="shared" si="3"/>
        <v>531.06960000000004</v>
      </c>
      <c r="DR7" s="13">
        <f t="shared" si="3"/>
        <v>11664.040499999999</v>
      </c>
      <c r="DS7" s="14" t="s">
        <v>71</v>
      </c>
      <c r="DT7" s="14" t="s">
        <v>72</v>
      </c>
      <c r="DU7" s="14" t="s">
        <v>73</v>
      </c>
      <c r="DV7" s="14" t="s">
        <v>63</v>
      </c>
      <c r="DW7" s="14" t="s">
        <v>74</v>
      </c>
    </row>
    <row r="8" spans="2:127" x14ac:dyDescent="0.3">
      <c r="B8" s="11" t="s">
        <v>75</v>
      </c>
      <c r="C8" s="12">
        <v>5001338827</v>
      </c>
      <c r="D8" s="11" t="s">
        <v>76</v>
      </c>
      <c r="E8" s="11" t="s">
        <v>55</v>
      </c>
      <c r="F8" s="11" t="s">
        <v>77</v>
      </c>
      <c r="G8" s="11" t="s">
        <v>78</v>
      </c>
      <c r="H8" s="11" t="s">
        <v>79</v>
      </c>
      <c r="I8" s="11">
        <v>70118</v>
      </c>
      <c r="J8" s="11" t="s">
        <v>80</v>
      </c>
      <c r="K8" s="11"/>
      <c r="L8" s="11"/>
      <c r="M8" s="11"/>
      <c r="N8" s="11"/>
      <c r="O8" s="13">
        <v>359</v>
      </c>
      <c r="P8" s="13">
        <v>359</v>
      </c>
      <c r="Q8" s="13">
        <v>0</v>
      </c>
      <c r="R8" s="13">
        <v>21457.428400000001</v>
      </c>
      <c r="S8" s="13">
        <v>2437.0194999999999</v>
      </c>
      <c r="T8" s="13">
        <v>19020.408899999999</v>
      </c>
      <c r="U8" s="13">
        <v>22</v>
      </c>
      <c r="V8" s="13">
        <v>22</v>
      </c>
      <c r="W8" s="13">
        <v>0</v>
      </c>
      <c r="X8" s="13">
        <v>1321.6681000000001</v>
      </c>
      <c r="Y8" s="13">
        <v>75.035200000000003</v>
      </c>
      <c r="Z8" s="13">
        <v>1246.6329000000001</v>
      </c>
      <c r="AA8" s="13">
        <v>22</v>
      </c>
      <c r="AB8" s="13">
        <v>22</v>
      </c>
      <c r="AC8" s="13">
        <v>0</v>
      </c>
      <c r="AD8" s="13">
        <v>1769.8697999999999</v>
      </c>
      <c r="AE8" s="13">
        <v>78.892499999999998</v>
      </c>
      <c r="AF8" s="13">
        <v>1690.9773</v>
      </c>
      <c r="AG8" s="13">
        <v>21</v>
      </c>
      <c r="AH8" s="13">
        <v>21</v>
      </c>
      <c r="AI8" s="13">
        <v>0</v>
      </c>
      <c r="AJ8" s="13">
        <v>1559.8114</v>
      </c>
      <c r="AK8" s="13">
        <v>128.035</v>
      </c>
      <c r="AL8" s="13">
        <v>1431.7764</v>
      </c>
      <c r="AM8" s="13">
        <v>22</v>
      </c>
      <c r="AN8" s="13">
        <v>22</v>
      </c>
      <c r="AO8" s="13">
        <v>0</v>
      </c>
      <c r="AP8" s="13">
        <v>1335.3601999999998</v>
      </c>
      <c r="AQ8" s="13">
        <v>162.78469999999999</v>
      </c>
      <c r="AR8" s="13">
        <v>1172.5754999999999</v>
      </c>
      <c r="AS8" s="13">
        <v>14</v>
      </c>
      <c r="AT8" s="13">
        <v>14</v>
      </c>
      <c r="AU8" s="13">
        <v>0</v>
      </c>
      <c r="AV8" s="13">
        <v>1837.8528000000001</v>
      </c>
      <c r="AW8" s="13">
        <v>319.67610000000002</v>
      </c>
      <c r="AX8" s="13">
        <v>1518.1767</v>
      </c>
      <c r="AY8" s="13">
        <v>14</v>
      </c>
      <c r="AZ8" s="13">
        <v>14</v>
      </c>
      <c r="BA8" s="13">
        <v>0</v>
      </c>
      <c r="BB8" s="13">
        <v>1741.4242999999999</v>
      </c>
      <c r="BC8" s="13">
        <v>284.96210000000002</v>
      </c>
      <c r="BD8" s="13">
        <v>1456.4621999999999</v>
      </c>
      <c r="BE8" s="13">
        <v>67</v>
      </c>
      <c r="BF8" s="13">
        <v>67</v>
      </c>
      <c r="BG8" s="13">
        <v>0</v>
      </c>
      <c r="BH8" s="13">
        <v>1721.7172</v>
      </c>
      <c r="BI8" s="13">
        <v>302.28370000000001</v>
      </c>
      <c r="BJ8" s="13">
        <v>1419.4335000000001</v>
      </c>
      <c r="BK8" s="13">
        <v>56</v>
      </c>
      <c r="BL8" s="13">
        <v>56</v>
      </c>
      <c r="BM8" s="13">
        <v>0</v>
      </c>
      <c r="BN8" s="13">
        <v>2031.0538999999999</v>
      </c>
      <c r="BO8" s="13">
        <v>315.39080000000001</v>
      </c>
      <c r="BP8" s="13">
        <v>1715.6631</v>
      </c>
      <c r="BQ8" s="13">
        <v>30</v>
      </c>
      <c r="BR8" s="13">
        <v>30</v>
      </c>
      <c r="BS8" s="13">
        <v>0</v>
      </c>
      <c r="BT8" s="13">
        <v>1506.7105000000001</v>
      </c>
      <c r="BU8" s="13">
        <v>173.6773</v>
      </c>
      <c r="BV8" s="13">
        <v>1333.0332000000001</v>
      </c>
      <c r="BW8" s="13">
        <v>8</v>
      </c>
      <c r="BX8" s="13">
        <v>8</v>
      </c>
      <c r="BY8" s="13">
        <v>0</v>
      </c>
      <c r="BZ8" s="13">
        <v>1438.0384999999999</v>
      </c>
      <c r="CA8" s="13">
        <v>203.74850000000001</v>
      </c>
      <c r="CB8" s="13">
        <v>1234.29</v>
      </c>
      <c r="CC8" s="13">
        <v>16</v>
      </c>
      <c r="CD8" s="13">
        <v>16</v>
      </c>
      <c r="CE8" s="13">
        <v>0</v>
      </c>
      <c r="CF8" s="13">
        <v>1911.9832999999999</v>
      </c>
      <c r="CG8" s="13">
        <v>196.3202</v>
      </c>
      <c r="CH8" s="13">
        <v>1715.6631</v>
      </c>
      <c r="CI8" s="13">
        <v>16</v>
      </c>
      <c r="CJ8" s="13">
        <v>16</v>
      </c>
      <c r="CK8" s="13">
        <v>0</v>
      </c>
      <c r="CL8" s="13">
        <v>1541.6976</v>
      </c>
      <c r="CM8" s="13">
        <v>72.892499999999998</v>
      </c>
      <c r="CN8" s="13">
        <v>1468.8051</v>
      </c>
      <c r="CO8" s="13">
        <v>51</v>
      </c>
      <c r="CP8" s="13">
        <v>51</v>
      </c>
      <c r="CQ8" s="13">
        <v>0</v>
      </c>
      <c r="CR8" s="13">
        <v>1740.2408</v>
      </c>
      <c r="CS8" s="13">
        <v>123.32089999999999</v>
      </c>
      <c r="CT8" s="13">
        <v>1616.9199000000001</v>
      </c>
      <c r="CU8" s="13">
        <f t="shared" si="4"/>
        <v>337</v>
      </c>
      <c r="CV8" s="13">
        <f t="shared" si="0"/>
        <v>337</v>
      </c>
      <c r="CW8" s="13">
        <f t="shared" si="0"/>
        <v>0</v>
      </c>
      <c r="CX8" s="13">
        <f t="shared" si="0"/>
        <v>20135.760300000002</v>
      </c>
      <c r="CY8" s="13">
        <f t="shared" si="0"/>
        <v>2361.9843000000001</v>
      </c>
      <c r="CZ8" s="13">
        <f t="shared" si="0"/>
        <v>17773.776000000002</v>
      </c>
      <c r="DA8" s="13">
        <f t="shared" si="5"/>
        <v>83</v>
      </c>
      <c r="DB8" s="13">
        <f t="shared" si="1"/>
        <v>83</v>
      </c>
      <c r="DC8" s="13">
        <f t="shared" si="1"/>
        <v>0</v>
      </c>
      <c r="DD8" s="13">
        <f t="shared" si="1"/>
        <v>5193.9216999999999</v>
      </c>
      <c r="DE8" s="13">
        <f t="shared" si="1"/>
        <v>392.53359999999998</v>
      </c>
      <c r="DF8" s="13">
        <f t="shared" si="1"/>
        <v>4801.3881000000001</v>
      </c>
      <c r="DG8" s="13">
        <f t="shared" si="6"/>
        <v>94</v>
      </c>
      <c r="DH8" s="13">
        <f t="shared" si="2"/>
        <v>94</v>
      </c>
      <c r="DI8" s="13">
        <f t="shared" si="2"/>
        <v>0</v>
      </c>
      <c r="DJ8" s="13">
        <f t="shared" si="2"/>
        <v>4975.8028999999997</v>
      </c>
      <c r="DK8" s="13">
        <f t="shared" si="2"/>
        <v>692.81659999999999</v>
      </c>
      <c r="DL8" s="13">
        <f t="shared" si="2"/>
        <v>4282.9863000000005</v>
      </c>
      <c r="DM8" s="13">
        <f t="shared" si="7"/>
        <v>67</v>
      </c>
      <c r="DN8" s="13">
        <f t="shared" si="3"/>
        <v>67</v>
      </c>
      <c r="DO8" s="13">
        <f t="shared" si="3"/>
        <v>0</v>
      </c>
      <c r="DP8" s="13">
        <f t="shared" si="3"/>
        <v>3281.9384</v>
      </c>
      <c r="DQ8" s="13">
        <f t="shared" si="3"/>
        <v>196.21339999999998</v>
      </c>
      <c r="DR8" s="13">
        <f t="shared" si="3"/>
        <v>3085.7250000000004</v>
      </c>
      <c r="DS8" s="14" t="s">
        <v>71</v>
      </c>
      <c r="DT8" s="14" t="s">
        <v>81</v>
      </c>
      <c r="DU8" s="14" t="s">
        <v>73</v>
      </c>
      <c r="DV8" s="14" t="s">
        <v>82</v>
      </c>
      <c r="DW8" s="14" t="s">
        <v>74</v>
      </c>
    </row>
    <row r="9" spans="2:127" x14ac:dyDescent="0.3">
      <c r="B9" s="11" t="s">
        <v>83</v>
      </c>
      <c r="C9" s="12">
        <v>5001338885</v>
      </c>
      <c r="D9" s="11" t="s">
        <v>84</v>
      </c>
      <c r="E9" s="11" t="s">
        <v>55</v>
      </c>
      <c r="F9" s="11" t="s">
        <v>85</v>
      </c>
      <c r="G9" s="11" t="s">
        <v>86</v>
      </c>
      <c r="H9" s="11" t="s">
        <v>87</v>
      </c>
      <c r="I9" s="11">
        <v>63017</v>
      </c>
      <c r="J9" s="11" t="s">
        <v>80</v>
      </c>
      <c r="K9" s="11"/>
      <c r="L9" s="11"/>
      <c r="M9" s="11"/>
      <c r="N9" s="11"/>
      <c r="O9" s="13">
        <v>348</v>
      </c>
      <c r="P9" s="13">
        <v>348</v>
      </c>
      <c r="Q9" s="13">
        <v>0</v>
      </c>
      <c r="R9" s="13">
        <v>10716.036</v>
      </c>
      <c r="S9" s="13">
        <v>348</v>
      </c>
      <c r="T9" s="13">
        <v>10368.036</v>
      </c>
      <c r="U9" s="13">
        <v>36</v>
      </c>
      <c r="V9" s="13">
        <v>36</v>
      </c>
      <c r="W9" s="13">
        <v>0</v>
      </c>
      <c r="X9" s="13">
        <v>690.17370000000005</v>
      </c>
      <c r="Y9" s="13">
        <v>36</v>
      </c>
      <c r="Z9" s="13">
        <v>654.17370000000005</v>
      </c>
      <c r="AA9" s="13">
        <v>36</v>
      </c>
      <c r="AB9" s="13">
        <v>36</v>
      </c>
      <c r="AC9" s="13">
        <v>0</v>
      </c>
      <c r="AD9" s="13">
        <v>739.5453</v>
      </c>
      <c r="AE9" s="13">
        <v>36</v>
      </c>
      <c r="AF9" s="13">
        <v>703.5453</v>
      </c>
      <c r="AG9" s="13">
        <v>18</v>
      </c>
      <c r="AH9" s="13">
        <v>18</v>
      </c>
      <c r="AI9" s="13">
        <v>0</v>
      </c>
      <c r="AJ9" s="13">
        <v>511.71600000000001</v>
      </c>
      <c r="AK9" s="13">
        <v>18</v>
      </c>
      <c r="AL9" s="13">
        <v>493.71600000000001</v>
      </c>
      <c r="AM9" s="13">
        <v>18</v>
      </c>
      <c r="AN9" s="13">
        <v>18</v>
      </c>
      <c r="AO9" s="13">
        <v>0</v>
      </c>
      <c r="AP9" s="13">
        <v>412.97280000000001</v>
      </c>
      <c r="AQ9" s="13">
        <v>18</v>
      </c>
      <c r="AR9" s="13">
        <v>394.97280000000001</v>
      </c>
      <c r="AS9" s="13">
        <v>18</v>
      </c>
      <c r="AT9" s="13">
        <v>18</v>
      </c>
      <c r="AU9" s="13">
        <v>0</v>
      </c>
      <c r="AV9" s="13">
        <v>598.11630000000002</v>
      </c>
      <c r="AW9" s="13">
        <v>18</v>
      </c>
      <c r="AX9" s="13">
        <v>580.11630000000002</v>
      </c>
      <c r="AY9" s="13">
        <v>18</v>
      </c>
      <c r="AZ9" s="13">
        <v>18</v>
      </c>
      <c r="BA9" s="13">
        <v>0</v>
      </c>
      <c r="BB9" s="13">
        <v>647.48789999999997</v>
      </c>
      <c r="BC9" s="13">
        <v>18</v>
      </c>
      <c r="BD9" s="13">
        <v>629.48789999999997</v>
      </c>
      <c r="BE9" s="13">
        <v>11</v>
      </c>
      <c r="BF9" s="13">
        <v>11</v>
      </c>
      <c r="BG9" s="13">
        <v>0</v>
      </c>
      <c r="BH9" s="13">
        <v>973.74620000000004</v>
      </c>
      <c r="BI9" s="13">
        <v>11</v>
      </c>
      <c r="BJ9" s="13">
        <v>962.74620000000004</v>
      </c>
      <c r="BK9" s="13">
        <v>22</v>
      </c>
      <c r="BL9" s="13">
        <v>22</v>
      </c>
      <c r="BM9" s="13">
        <v>0</v>
      </c>
      <c r="BN9" s="13">
        <v>1219.2612999999999</v>
      </c>
      <c r="BO9" s="13">
        <v>22</v>
      </c>
      <c r="BP9" s="13">
        <v>1197.2612999999999</v>
      </c>
      <c r="BQ9" s="13">
        <v>52</v>
      </c>
      <c r="BR9" s="13">
        <v>52</v>
      </c>
      <c r="BS9" s="13">
        <v>0</v>
      </c>
      <c r="BT9" s="13">
        <v>1064.1178</v>
      </c>
      <c r="BU9" s="13">
        <v>52</v>
      </c>
      <c r="BV9" s="13">
        <v>1012.1178</v>
      </c>
      <c r="BW9" s="13">
        <v>36</v>
      </c>
      <c r="BX9" s="13">
        <v>36</v>
      </c>
      <c r="BY9" s="13">
        <v>0</v>
      </c>
      <c r="BZ9" s="13">
        <v>1011.0891</v>
      </c>
      <c r="CA9" s="13">
        <v>36</v>
      </c>
      <c r="CB9" s="13">
        <v>975.08910000000003</v>
      </c>
      <c r="CC9" s="13">
        <v>38</v>
      </c>
      <c r="CD9" s="13">
        <v>38</v>
      </c>
      <c r="CE9" s="13">
        <v>0</v>
      </c>
      <c r="CF9" s="13">
        <v>1173.5468000000001</v>
      </c>
      <c r="CG9" s="13">
        <v>38</v>
      </c>
      <c r="CH9" s="13">
        <v>1135.5468000000001</v>
      </c>
      <c r="CI9" s="13">
        <v>27</v>
      </c>
      <c r="CJ9" s="13">
        <v>27</v>
      </c>
      <c r="CK9" s="13">
        <v>0</v>
      </c>
      <c r="CL9" s="13">
        <v>866.31719999999996</v>
      </c>
      <c r="CM9" s="13">
        <v>27</v>
      </c>
      <c r="CN9" s="13">
        <v>839.31719999999996</v>
      </c>
      <c r="CO9" s="13">
        <v>18</v>
      </c>
      <c r="CP9" s="13">
        <v>18</v>
      </c>
      <c r="CQ9" s="13">
        <v>0</v>
      </c>
      <c r="CR9" s="13">
        <v>807.94560000000001</v>
      </c>
      <c r="CS9" s="13">
        <v>18</v>
      </c>
      <c r="CT9" s="13">
        <v>789.94560000000001</v>
      </c>
      <c r="CU9" s="13">
        <f t="shared" si="4"/>
        <v>312</v>
      </c>
      <c r="CV9" s="13">
        <f t="shared" si="0"/>
        <v>312</v>
      </c>
      <c r="CW9" s="13">
        <f t="shared" si="0"/>
        <v>0</v>
      </c>
      <c r="CX9" s="13">
        <f t="shared" si="0"/>
        <v>10025.862300000001</v>
      </c>
      <c r="CY9" s="13">
        <f t="shared" si="0"/>
        <v>312</v>
      </c>
      <c r="CZ9" s="13">
        <f t="shared" si="0"/>
        <v>9713.8623000000007</v>
      </c>
      <c r="DA9" s="13">
        <f t="shared" si="5"/>
        <v>83</v>
      </c>
      <c r="DB9" s="13">
        <f t="shared" si="1"/>
        <v>83</v>
      </c>
      <c r="DC9" s="13">
        <f t="shared" si="1"/>
        <v>0</v>
      </c>
      <c r="DD9" s="13">
        <f t="shared" si="1"/>
        <v>2847.8096</v>
      </c>
      <c r="DE9" s="13">
        <f t="shared" si="1"/>
        <v>83</v>
      </c>
      <c r="DF9" s="13">
        <f t="shared" si="1"/>
        <v>2764.8096</v>
      </c>
      <c r="DG9" s="13">
        <f t="shared" si="6"/>
        <v>110</v>
      </c>
      <c r="DH9" s="13">
        <f t="shared" si="2"/>
        <v>110</v>
      </c>
      <c r="DI9" s="13">
        <f t="shared" si="2"/>
        <v>0</v>
      </c>
      <c r="DJ9" s="13">
        <f t="shared" si="2"/>
        <v>3294.4682000000003</v>
      </c>
      <c r="DK9" s="13">
        <f t="shared" si="2"/>
        <v>110</v>
      </c>
      <c r="DL9" s="13">
        <f t="shared" si="2"/>
        <v>3184.4682000000003</v>
      </c>
      <c r="DM9" s="13">
        <f t="shared" si="7"/>
        <v>45</v>
      </c>
      <c r="DN9" s="13">
        <f t="shared" si="3"/>
        <v>45</v>
      </c>
      <c r="DO9" s="13">
        <f t="shared" si="3"/>
        <v>0</v>
      </c>
      <c r="DP9" s="13">
        <f t="shared" si="3"/>
        <v>1674.2628</v>
      </c>
      <c r="DQ9" s="13">
        <f t="shared" si="3"/>
        <v>45</v>
      </c>
      <c r="DR9" s="13">
        <f t="shared" si="3"/>
        <v>1629.2628</v>
      </c>
      <c r="DS9" s="14" t="s">
        <v>60</v>
      </c>
      <c r="DT9" s="14" t="s">
        <v>81</v>
      </c>
      <c r="DU9" s="14" t="s">
        <v>73</v>
      </c>
      <c r="DV9" s="14" t="s">
        <v>63</v>
      </c>
      <c r="DW9" s="14" t="s">
        <v>74</v>
      </c>
    </row>
    <row r="10" spans="2:127" x14ac:dyDescent="0.3">
      <c r="B10" s="11" t="s">
        <v>83</v>
      </c>
      <c r="C10" s="12">
        <v>5001339291</v>
      </c>
      <c r="D10" s="11" t="s">
        <v>88</v>
      </c>
      <c r="E10" s="11" t="s">
        <v>55</v>
      </c>
      <c r="F10" s="11" t="s">
        <v>89</v>
      </c>
      <c r="G10" s="11" t="s">
        <v>90</v>
      </c>
      <c r="H10" s="11" t="s">
        <v>91</v>
      </c>
      <c r="I10" s="11">
        <v>72205</v>
      </c>
      <c r="J10" s="11" t="s">
        <v>80</v>
      </c>
      <c r="K10" s="11"/>
      <c r="L10" s="11"/>
      <c r="M10" s="11"/>
      <c r="N10" s="11"/>
      <c r="O10" s="13">
        <v>996</v>
      </c>
      <c r="P10" s="13">
        <v>996</v>
      </c>
      <c r="Q10" s="13">
        <v>0</v>
      </c>
      <c r="R10" s="13">
        <v>31447.468099999998</v>
      </c>
      <c r="S10" s="13">
        <v>1836.8510000000001</v>
      </c>
      <c r="T10" s="13">
        <v>29610.617099999999</v>
      </c>
      <c r="U10" s="13">
        <v>68</v>
      </c>
      <c r="V10" s="13">
        <v>68</v>
      </c>
      <c r="W10" s="13">
        <v>0</v>
      </c>
      <c r="X10" s="13">
        <v>2042.8633</v>
      </c>
      <c r="Y10" s="13">
        <v>129.71379999999999</v>
      </c>
      <c r="Z10" s="13">
        <v>1913.1495</v>
      </c>
      <c r="AA10" s="13">
        <v>107</v>
      </c>
      <c r="AB10" s="13">
        <v>107</v>
      </c>
      <c r="AC10" s="13">
        <v>0</v>
      </c>
      <c r="AD10" s="13">
        <v>2892.6376</v>
      </c>
      <c r="AE10" s="13">
        <v>164.85669999999999</v>
      </c>
      <c r="AF10" s="13">
        <v>2727.7809000000002</v>
      </c>
      <c r="AG10" s="13">
        <v>77</v>
      </c>
      <c r="AH10" s="13">
        <v>77</v>
      </c>
      <c r="AI10" s="13">
        <v>0</v>
      </c>
      <c r="AJ10" s="13">
        <v>2303.1572999999999</v>
      </c>
      <c r="AK10" s="13">
        <v>118.464</v>
      </c>
      <c r="AL10" s="13">
        <v>2184.6932999999999</v>
      </c>
      <c r="AM10" s="13">
        <v>89</v>
      </c>
      <c r="AN10" s="13">
        <v>89</v>
      </c>
      <c r="AO10" s="13">
        <v>0</v>
      </c>
      <c r="AP10" s="13">
        <v>2169.7426</v>
      </c>
      <c r="AQ10" s="13">
        <v>120.8212</v>
      </c>
      <c r="AR10" s="13">
        <v>2048.9214000000002</v>
      </c>
      <c r="AS10" s="13">
        <v>89</v>
      </c>
      <c r="AT10" s="13">
        <v>89</v>
      </c>
      <c r="AU10" s="13">
        <v>0</v>
      </c>
      <c r="AV10" s="13">
        <v>2777.4375</v>
      </c>
      <c r="AW10" s="13">
        <v>123.714</v>
      </c>
      <c r="AX10" s="13">
        <v>2653.7235000000001</v>
      </c>
      <c r="AY10" s="13">
        <v>83</v>
      </c>
      <c r="AZ10" s="13">
        <v>83</v>
      </c>
      <c r="BA10" s="13">
        <v>0</v>
      </c>
      <c r="BB10" s="13">
        <v>1681.5979</v>
      </c>
      <c r="BC10" s="13">
        <v>126.3925</v>
      </c>
      <c r="BD10" s="13">
        <v>1555.2054000000001</v>
      </c>
      <c r="BE10" s="13">
        <v>96</v>
      </c>
      <c r="BF10" s="13">
        <v>96</v>
      </c>
      <c r="BG10" s="13">
        <v>0</v>
      </c>
      <c r="BH10" s="13">
        <v>2873.9227000000001</v>
      </c>
      <c r="BI10" s="13">
        <v>207.8563</v>
      </c>
      <c r="BJ10" s="13">
        <v>2666.0664000000002</v>
      </c>
      <c r="BK10" s="13">
        <v>104</v>
      </c>
      <c r="BL10" s="13">
        <v>104</v>
      </c>
      <c r="BM10" s="13">
        <v>0</v>
      </c>
      <c r="BN10" s="13">
        <v>2788.5783999999999</v>
      </c>
      <c r="BO10" s="13">
        <v>319.9984</v>
      </c>
      <c r="BP10" s="13">
        <v>2468.58</v>
      </c>
      <c r="BQ10" s="13">
        <v>62</v>
      </c>
      <c r="BR10" s="13">
        <v>62</v>
      </c>
      <c r="BS10" s="13">
        <v>0</v>
      </c>
      <c r="BT10" s="13">
        <v>2059.8133000000003</v>
      </c>
      <c r="BU10" s="13">
        <v>134.32089999999999</v>
      </c>
      <c r="BV10" s="13">
        <v>1925.4924000000001</v>
      </c>
      <c r="BW10" s="13">
        <v>47</v>
      </c>
      <c r="BX10" s="13">
        <v>47</v>
      </c>
      <c r="BY10" s="13">
        <v>0</v>
      </c>
      <c r="BZ10" s="13">
        <v>2244.6144000000004</v>
      </c>
      <c r="CA10" s="13">
        <v>84.606899999999996</v>
      </c>
      <c r="CB10" s="13">
        <v>2160.0075000000002</v>
      </c>
      <c r="CC10" s="13">
        <v>93</v>
      </c>
      <c r="CD10" s="13">
        <v>93</v>
      </c>
      <c r="CE10" s="13">
        <v>0</v>
      </c>
      <c r="CF10" s="13">
        <v>3046.4241999999999</v>
      </c>
      <c r="CG10" s="13">
        <v>133.49979999999999</v>
      </c>
      <c r="CH10" s="13">
        <v>2912.9243999999999</v>
      </c>
      <c r="CI10" s="13">
        <v>23</v>
      </c>
      <c r="CJ10" s="13">
        <v>23</v>
      </c>
      <c r="CK10" s="13">
        <v>0</v>
      </c>
      <c r="CL10" s="13">
        <v>2335.7503000000002</v>
      </c>
      <c r="CM10" s="13">
        <v>76.999600000000001</v>
      </c>
      <c r="CN10" s="13">
        <v>2258.7507000000001</v>
      </c>
      <c r="CO10" s="13">
        <v>58</v>
      </c>
      <c r="CP10" s="13">
        <v>58</v>
      </c>
      <c r="CQ10" s="13">
        <v>0</v>
      </c>
      <c r="CR10" s="13">
        <v>2230.9286000000002</v>
      </c>
      <c r="CS10" s="13">
        <v>95.606899999999996</v>
      </c>
      <c r="CT10" s="13">
        <v>2135.3217</v>
      </c>
      <c r="CU10" s="13">
        <f t="shared" si="4"/>
        <v>928</v>
      </c>
      <c r="CV10" s="13">
        <f t="shared" si="0"/>
        <v>928</v>
      </c>
      <c r="CW10" s="13">
        <f t="shared" si="0"/>
        <v>0</v>
      </c>
      <c r="CX10" s="13">
        <f t="shared" si="0"/>
        <v>29404.604800000001</v>
      </c>
      <c r="CY10" s="13">
        <f t="shared" si="0"/>
        <v>1707.1372000000001</v>
      </c>
      <c r="CZ10" s="13">
        <f t="shared" si="0"/>
        <v>27697.4676</v>
      </c>
      <c r="DA10" s="13">
        <f t="shared" si="5"/>
        <v>174</v>
      </c>
      <c r="DB10" s="13">
        <f t="shared" si="1"/>
        <v>174</v>
      </c>
      <c r="DC10" s="13">
        <f t="shared" si="1"/>
        <v>0</v>
      </c>
      <c r="DD10" s="13">
        <f t="shared" si="1"/>
        <v>7613.1031000000003</v>
      </c>
      <c r="DE10" s="13">
        <f t="shared" si="1"/>
        <v>306.10629999999998</v>
      </c>
      <c r="DF10" s="13">
        <f t="shared" si="1"/>
        <v>7306.9968000000008</v>
      </c>
      <c r="DG10" s="13">
        <f t="shared" si="6"/>
        <v>213</v>
      </c>
      <c r="DH10" s="13">
        <f t="shared" si="2"/>
        <v>213</v>
      </c>
      <c r="DI10" s="13">
        <f t="shared" si="2"/>
        <v>0</v>
      </c>
      <c r="DJ10" s="13">
        <f t="shared" si="2"/>
        <v>7093.0061000000005</v>
      </c>
      <c r="DK10" s="13">
        <f t="shared" si="2"/>
        <v>538.92619999999999</v>
      </c>
      <c r="DL10" s="13">
        <f t="shared" si="2"/>
        <v>6554.0799000000006</v>
      </c>
      <c r="DM10" s="13">
        <f t="shared" si="7"/>
        <v>81</v>
      </c>
      <c r="DN10" s="13">
        <f t="shared" si="3"/>
        <v>81</v>
      </c>
      <c r="DO10" s="13">
        <f t="shared" si="3"/>
        <v>0</v>
      </c>
      <c r="DP10" s="13">
        <f t="shared" si="3"/>
        <v>4566.6789000000008</v>
      </c>
      <c r="DQ10" s="13">
        <f t="shared" si="3"/>
        <v>172.60649999999998</v>
      </c>
      <c r="DR10" s="13">
        <f t="shared" si="3"/>
        <v>4394.0724</v>
      </c>
      <c r="DS10" s="14" t="s">
        <v>60</v>
      </c>
      <c r="DT10" s="14" t="s">
        <v>92</v>
      </c>
      <c r="DU10" s="14" t="s">
        <v>73</v>
      </c>
      <c r="DV10" s="14" t="s">
        <v>82</v>
      </c>
      <c r="DW10" s="14" t="s">
        <v>74</v>
      </c>
    </row>
    <row r="11" spans="2:127" x14ac:dyDescent="0.3">
      <c r="B11" s="11" t="s">
        <v>83</v>
      </c>
      <c r="C11" s="12">
        <v>5001339502</v>
      </c>
      <c r="D11" s="11" t="s">
        <v>93</v>
      </c>
      <c r="E11" s="11" t="s">
        <v>55</v>
      </c>
      <c r="F11" s="11" t="s">
        <v>94</v>
      </c>
      <c r="G11" s="11" t="s">
        <v>95</v>
      </c>
      <c r="H11" s="11" t="s">
        <v>96</v>
      </c>
      <c r="I11" s="11">
        <v>54401</v>
      </c>
      <c r="J11" s="11" t="s">
        <v>80</v>
      </c>
      <c r="K11" s="11"/>
      <c r="L11" s="11"/>
      <c r="M11" s="11"/>
      <c r="N11" s="11"/>
      <c r="O11" s="13">
        <v>286</v>
      </c>
      <c r="P11" s="13">
        <v>286</v>
      </c>
      <c r="Q11" s="13">
        <v>0</v>
      </c>
      <c r="R11" s="13">
        <v>19404.7644</v>
      </c>
      <c r="S11" s="13">
        <v>446.07</v>
      </c>
      <c r="T11" s="13">
        <v>18958.6944</v>
      </c>
      <c r="U11" s="13">
        <v>19</v>
      </c>
      <c r="V11" s="13">
        <v>19</v>
      </c>
      <c r="W11" s="13">
        <v>0</v>
      </c>
      <c r="X11" s="13">
        <v>1466.2048</v>
      </c>
      <c r="Y11" s="13">
        <v>34.428399999999996</v>
      </c>
      <c r="Z11" s="13">
        <v>1431.7764</v>
      </c>
      <c r="AA11" s="13">
        <v>29</v>
      </c>
      <c r="AB11" s="13">
        <v>29</v>
      </c>
      <c r="AC11" s="13">
        <v>0</v>
      </c>
      <c r="AD11" s="13">
        <v>1760.6695999999999</v>
      </c>
      <c r="AE11" s="13">
        <v>82.035200000000003</v>
      </c>
      <c r="AF11" s="13">
        <v>1678.6343999999999</v>
      </c>
      <c r="AG11" s="13">
        <v>24</v>
      </c>
      <c r="AH11" s="13">
        <v>24</v>
      </c>
      <c r="AI11" s="13">
        <v>0</v>
      </c>
      <c r="AJ11" s="13">
        <v>1306.1183999999998</v>
      </c>
      <c r="AK11" s="13">
        <v>47.142600000000002</v>
      </c>
      <c r="AL11" s="13">
        <v>1258.9757999999999</v>
      </c>
      <c r="AM11" s="13">
        <v>27</v>
      </c>
      <c r="AN11" s="13">
        <v>27</v>
      </c>
      <c r="AO11" s="13">
        <v>0</v>
      </c>
      <c r="AP11" s="13">
        <v>1296.5828999999999</v>
      </c>
      <c r="AQ11" s="13">
        <v>37.607100000000003</v>
      </c>
      <c r="AR11" s="13">
        <v>1258.9757999999999</v>
      </c>
      <c r="AS11" s="13">
        <v>43</v>
      </c>
      <c r="AT11" s="13">
        <v>43</v>
      </c>
      <c r="AU11" s="13">
        <v>0</v>
      </c>
      <c r="AV11" s="13">
        <v>1644.1053999999999</v>
      </c>
      <c r="AW11" s="13">
        <v>64.214200000000005</v>
      </c>
      <c r="AX11" s="13">
        <v>1579.8912</v>
      </c>
      <c r="AY11" s="13">
        <v>14</v>
      </c>
      <c r="AZ11" s="13">
        <v>14</v>
      </c>
      <c r="BA11" s="13">
        <v>0</v>
      </c>
      <c r="BB11" s="13">
        <v>1100.1751999999999</v>
      </c>
      <c r="BC11" s="13">
        <v>14</v>
      </c>
      <c r="BD11" s="13">
        <v>1086.1751999999999</v>
      </c>
      <c r="BE11" s="13">
        <v>9</v>
      </c>
      <c r="BF11" s="13">
        <v>9</v>
      </c>
      <c r="BG11" s="13">
        <v>0</v>
      </c>
      <c r="BH11" s="13">
        <v>1528.3337000000001</v>
      </c>
      <c r="BI11" s="13">
        <v>22.4999</v>
      </c>
      <c r="BJ11" s="13">
        <v>1505.8338000000001</v>
      </c>
      <c r="BK11" s="13">
        <v>24</v>
      </c>
      <c r="BL11" s="13">
        <v>24</v>
      </c>
      <c r="BM11" s="13">
        <v>0</v>
      </c>
      <c r="BN11" s="13">
        <v>1566.8625</v>
      </c>
      <c r="BO11" s="13">
        <v>24</v>
      </c>
      <c r="BP11" s="13">
        <v>1542.8625</v>
      </c>
      <c r="BQ11" s="13">
        <v>8</v>
      </c>
      <c r="BR11" s="13">
        <v>8</v>
      </c>
      <c r="BS11" s="13">
        <v>0</v>
      </c>
      <c r="BT11" s="13">
        <v>1304.0045</v>
      </c>
      <c r="BU11" s="13">
        <v>8</v>
      </c>
      <c r="BV11" s="13">
        <v>1296.0045</v>
      </c>
      <c r="BW11" s="13">
        <v>17</v>
      </c>
      <c r="BX11" s="13">
        <v>17</v>
      </c>
      <c r="BY11" s="13">
        <v>0</v>
      </c>
      <c r="BZ11" s="13">
        <v>1226.6042</v>
      </c>
      <c r="CA11" s="13">
        <v>17</v>
      </c>
      <c r="CB11" s="13">
        <v>1209.6042</v>
      </c>
      <c r="CC11" s="13">
        <v>24</v>
      </c>
      <c r="CD11" s="13">
        <v>24</v>
      </c>
      <c r="CE11" s="13">
        <v>0</v>
      </c>
      <c r="CF11" s="13">
        <v>2023.5498</v>
      </c>
      <c r="CG11" s="13">
        <v>24</v>
      </c>
      <c r="CH11" s="13">
        <v>1999.5498</v>
      </c>
      <c r="CI11" s="13">
        <v>20</v>
      </c>
      <c r="CJ11" s="13">
        <v>20</v>
      </c>
      <c r="CK11" s="13">
        <v>0</v>
      </c>
      <c r="CL11" s="13">
        <v>1475.6906000000001</v>
      </c>
      <c r="CM11" s="13">
        <v>31.571300000000001</v>
      </c>
      <c r="CN11" s="13">
        <v>1444.1193000000001</v>
      </c>
      <c r="CO11" s="13">
        <v>28</v>
      </c>
      <c r="CP11" s="13">
        <v>28</v>
      </c>
      <c r="CQ11" s="13">
        <v>0</v>
      </c>
      <c r="CR11" s="13">
        <v>1705.8628000000001</v>
      </c>
      <c r="CS11" s="13">
        <v>39.571300000000001</v>
      </c>
      <c r="CT11" s="13">
        <v>1666.2915</v>
      </c>
      <c r="CU11" s="13">
        <f t="shared" si="4"/>
        <v>267</v>
      </c>
      <c r="CV11" s="13">
        <f t="shared" si="0"/>
        <v>267</v>
      </c>
      <c r="CW11" s="13">
        <f t="shared" si="0"/>
        <v>0</v>
      </c>
      <c r="CX11" s="13">
        <f t="shared" si="0"/>
        <v>17938.559599999997</v>
      </c>
      <c r="CY11" s="13">
        <f t="shared" si="0"/>
        <v>411.64160000000004</v>
      </c>
      <c r="CZ11" s="13">
        <f t="shared" si="0"/>
        <v>17526.917999999998</v>
      </c>
      <c r="DA11" s="13">
        <f t="shared" si="5"/>
        <v>72</v>
      </c>
      <c r="DB11" s="13">
        <f t="shared" si="1"/>
        <v>72</v>
      </c>
      <c r="DC11" s="13">
        <f t="shared" si="1"/>
        <v>0</v>
      </c>
      <c r="DD11" s="13">
        <f t="shared" si="1"/>
        <v>5205.1032000000005</v>
      </c>
      <c r="DE11" s="13">
        <f t="shared" si="1"/>
        <v>95.142600000000002</v>
      </c>
      <c r="DF11" s="13">
        <f t="shared" si="1"/>
        <v>5109.9606000000003</v>
      </c>
      <c r="DG11" s="13">
        <f t="shared" si="6"/>
        <v>49</v>
      </c>
      <c r="DH11" s="13">
        <f t="shared" si="2"/>
        <v>49</v>
      </c>
      <c r="DI11" s="13">
        <f t="shared" si="2"/>
        <v>0</v>
      </c>
      <c r="DJ11" s="13">
        <f t="shared" si="2"/>
        <v>4097.4712</v>
      </c>
      <c r="DK11" s="13">
        <f t="shared" si="2"/>
        <v>49</v>
      </c>
      <c r="DL11" s="13">
        <f t="shared" si="2"/>
        <v>4048.4712</v>
      </c>
      <c r="DM11" s="13">
        <f t="shared" si="7"/>
        <v>48</v>
      </c>
      <c r="DN11" s="13">
        <f t="shared" si="3"/>
        <v>48</v>
      </c>
      <c r="DO11" s="13">
        <f t="shared" si="3"/>
        <v>0</v>
      </c>
      <c r="DP11" s="13">
        <f t="shared" si="3"/>
        <v>3181.5534000000002</v>
      </c>
      <c r="DQ11" s="13">
        <f t="shared" si="3"/>
        <v>71.142600000000002</v>
      </c>
      <c r="DR11" s="13">
        <f t="shared" si="3"/>
        <v>3110.4108000000001</v>
      </c>
      <c r="DS11" s="14" t="s">
        <v>60</v>
      </c>
      <c r="DT11" s="14" t="s">
        <v>81</v>
      </c>
      <c r="DU11" s="14" t="s">
        <v>73</v>
      </c>
      <c r="DV11" s="14" t="s">
        <v>97</v>
      </c>
      <c r="DW11" s="14" t="s">
        <v>74</v>
      </c>
    </row>
    <row r="12" spans="2:127" x14ac:dyDescent="0.3">
      <c r="B12" s="11" t="s">
        <v>53</v>
      </c>
      <c r="C12" s="12">
        <v>5001339544</v>
      </c>
      <c r="D12" s="11" t="s">
        <v>98</v>
      </c>
      <c r="E12" s="11" t="s">
        <v>55</v>
      </c>
      <c r="F12" s="11" t="s">
        <v>99</v>
      </c>
      <c r="G12" s="11" t="s">
        <v>100</v>
      </c>
      <c r="H12" s="11" t="s">
        <v>58</v>
      </c>
      <c r="I12" s="11">
        <v>90089</v>
      </c>
      <c r="J12" s="11" t="s">
        <v>59</v>
      </c>
      <c r="K12" s="11"/>
      <c r="L12" s="11"/>
      <c r="M12" s="11"/>
      <c r="N12" s="11"/>
      <c r="O12" s="13">
        <v>381</v>
      </c>
      <c r="P12" s="13">
        <v>381</v>
      </c>
      <c r="Q12" s="13">
        <v>0</v>
      </c>
      <c r="R12" s="13">
        <v>16737.459500000001</v>
      </c>
      <c r="S12" s="13">
        <v>765.74689999999998</v>
      </c>
      <c r="T12" s="13">
        <v>15971.712600000001</v>
      </c>
      <c r="U12" s="13">
        <v>48</v>
      </c>
      <c r="V12" s="13">
        <v>48</v>
      </c>
      <c r="W12" s="13">
        <v>0</v>
      </c>
      <c r="X12" s="13">
        <v>1107.1747</v>
      </c>
      <c r="Y12" s="13">
        <v>82.713999999999999</v>
      </c>
      <c r="Z12" s="13">
        <v>1024.4607000000001</v>
      </c>
      <c r="AA12" s="13">
        <v>45</v>
      </c>
      <c r="AB12" s="13">
        <v>45</v>
      </c>
      <c r="AC12" s="13">
        <v>0</v>
      </c>
      <c r="AD12" s="13">
        <v>1343.7040000000002</v>
      </c>
      <c r="AE12" s="13">
        <v>97.071100000000001</v>
      </c>
      <c r="AF12" s="13">
        <v>1246.6329000000001</v>
      </c>
      <c r="AG12" s="13">
        <v>70</v>
      </c>
      <c r="AH12" s="13">
        <v>70</v>
      </c>
      <c r="AI12" s="13">
        <v>0</v>
      </c>
      <c r="AJ12" s="13">
        <v>1319.1395</v>
      </c>
      <c r="AK12" s="13">
        <v>109.53530000000001</v>
      </c>
      <c r="AL12" s="13">
        <v>1209.6042</v>
      </c>
      <c r="AM12" s="13">
        <v>0</v>
      </c>
      <c r="AN12" s="13">
        <v>0</v>
      </c>
      <c r="AO12" s="13">
        <v>0</v>
      </c>
      <c r="AP12" s="13">
        <v>848.38109999999995</v>
      </c>
      <c r="AQ12" s="13">
        <v>33.749699999999997</v>
      </c>
      <c r="AR12" s="13">
        <v>814.63139999999999</v>
      </c>
      <c r="AS12" s="13">
        <v>3</v>
      </c>
      <c r="AT12" s="13">
        <v>3</v>
      </c>
      <c r="AU12" s="13">
        <v>0</v>
      </c>
      <c r="AV12" s="13">
        <v>1508.8338000000001</v>
      </c>
      <c r="AW12" s="13">
        <v>3</v>
      </c>
      <c r="AX12" s="13">
        <v>1505.8338000000001</v>
      </c>
      <c r="AY12" s="13">
        <v>51</v>
      </c>
      <c r="AZ12" s="13">
        <v>51</v>
      </c>
      <c r="BA12" s="13">
        <v>0</v>
      </c>
      <c r="BB12" s="13">
        <v>1078.1601000000001</v>
      </c>
      <c r="BC12" s="13">
        <v>103.071</v>
      </c>
      <c r="BD12" s="13">
        <v>975.08910000000003</v>
      </c>
      <c r="BE12" s="13">
        <v>55</v>
      </c>
      <c r="BF12" s="13">
        <v>55</v>
      </c>
      <c r="BG12" s="13">
        <v>0</v>
      </c>
      <c r="BH12" s="13">
        <v>1247.6318999999999</v>
      </c>
      <c r="BI12" s="13">
        <v>124.428</v>
      </c>
      <c r="BJ12" s="13">
        <v>1123.2039</v>
      </c>
      <c r="BK12" s="13">
        <v>24</v>
      </c>
      <c r="BL12" s="13">
        <v>24</v>
      </c>
      <c r="BM12" s="13">
        <v>0</v>
      </c>
      <c r="BN12" s="13">
        <v>1577.855</v>
      </c>
      <c r="BO12" s="13">
        <v>59.6783</v>
      </c>
      <c r="BP12" s="13">
        <v>1518.1767</v>
      </c>
      <c r="BQ12" s="13">
        <v>16</v>
      </c>
      <c r="BR12" s="13">
        <v>16</v>
      </c>
      <c r="BS12" s="13">
        <v>0</v>
      </c>
      <c r="BT12" s="13">
        <v>1731.2769999999998</v>
      </c>
      <c r="BU12" s="13">
        <v>52.642600000000002</v>
      </c>
      <c r="BV12" s="13">
        <v>1678.6343999999999</v>
      </c>
      <c r="BW12" s="13">
        <v>16</v>
      </c>
      <c r="BX12" s="13">
        <v>16</v>
      </c>
      <c r="BY12" s="13">
        <v>0</v>
      </c>
      <c r="BZ12" s="13">
        <v>1116.6393999999998</v>
      </c>
      <c r="CA12" s="13">
        <v>30.464199999999998</v>
      </c>
      <c r="CB12" s="13">
        <v>1086.1751999999999</v>
      </c>
      <c r="CC12" s="13">
        <v>21</v>
      </c>
      <c r="CD12" s="13">
        <v>21</v>
      </c>
      <c r="CE12" s="13">
        <v>0</v>
      </c>
      <c r="CF12" s="13">
        <v>1613.2340999999999</v>
      </c>
      <c r="CG12" s="13">
        <v>21</v>
      </c>
      <c r="CH12" s="13">
        <v>1592.2340999999999</v>
      </c>
      <c r="CI12" s="13">
        <v>16</v>
      </c>
      <c r="CJ12" s="13">
        <v>16</v>
      </c>
      <c r="CK12" s="13">
        <v>0</v>
      </c>
      <c r="CL12" s="13">
        <v>1015.7749</v>
      </c>
      <c r="CM12" s="13">
        <v>16</v>
      </c>
      <c r="CN12" s="13">
        <v>999.7749</v>
      </c>
      <c r="CO12" s="13">
        <v>16</v>
      </c>
      <c r="CP12" s="13">
        <v>16</v>
      </c>
      <c r="CQ12" s="13">
        <v>0</v>
      </c>
      <c r="CR12" s="13">
        <v>1229.654</v>
      </c>
      <c r="CS12" s="13">
        <v>32.392700000000005</v>
      </c>
      <c r="CT12" s="13">
        <v>1197.2612999999999</v>
      </c>
      <c r="CU12" s="13">
        <f t="shared" si="4"/>
        <v>333</v>
      </c>
      <c r="CV12" s="13">
        <f t="shared" si="0"/>
        <v>333</v>
      </c>
      <c r="CW12" s="13">
        <f t="shared" si="0"/>
        <v>0</v>
      </c>
      <c r="CX12" s="13">
        <f t="shared" si="0"/>
        <v>15630.284799999999</v>
      </c>
      <c r="CY12" s="13">
        <f t="shared" si="0"/>
        <v>683.03290000000004</v>
      </c>
      <c r="CZ12" s="13">
        <f t="shared" si="0"/>
        <v>14947.251900000001</v>
      </c>
      <c r="DA12" s="13">
        <f t="shared" si="5"/>
        <v>53</v>
      </c>
      <c r="DB12" s="13">
        <f t="shared" si="1"/>
        <v>53</v>
      </c>
      <c r="DC12" s="13">
        <f t="shared" si="1"/>
        <v>0</v>
      </c>
      <c r="DD12" s="13">
        <f t="shared" si="1"/>
        <v>3858.663</v>
      </c>
      <c r="DE12" s="13">
        <f t="shared" si="1"/>
        <v>69.392700000000005</v>
      </c>
      <c r="DF12" s="13">
        <f t="shared" si="1"/>
        <v>3789.2703000000001</v>
      </c>
      <c r="DG12" s="13">
        <f t="shared" si="6"/>
        <v>56</v>
      </c>
      <c r="DH12" s="13">
        <f t="shared" si="2"/>
        <v>56</v>
      </c>
      <c r="DI12" s="13">
        <f t="shared" si="2"/>
        <v>0</v>
      </c>
      <c r="DJ12" s="13">
        <f t="shared" si="2"/>
        <v>4425.7713999999996</v>
      </c>
      <c r="DK12" s="13">
        <f t="shared" si="2"/>
        <v>142.7851</v>
      </c>
      <c r="DL12" s="13">
        <f t="shared" si="2"/>
        <v>4282.9862999999996</v>
      </c>
      <c r="DM12" s="13">
        <f t="shared" si="7"/>
        <v>32</v>
      </c>
      <c r="DN12" s="13">
        <f t="shared" si="3"/>
        <v>32</v>
      </c>
      <c r="DO12" s="13">
        <f t="shared" si="3"/>
        <v>0</v>
      </c>
      <c r="DP12" s="13">
        <f t="shared" si="3"/>
        <v>2245.4288999999999</v>
      </c>
      <c r="DQ12" s="13">
        <f t="shared" si="3"/>
        <v>48.392700000000005</v>
      </c>
      <c r="DR12" s="13">
        <f t="shared" si="3"/>
        <v>2197.0362</v>
      </c>
      <c r="DS12" s="14" t="s">
        <v>60</v>
      </c>
      <c r="DT12" s="14" t="s">
        <v>92</v>
      </c>
      <c r="DU12" s="14" t="s">
        <v>73</v>
      </c>
      <c r="DV12" s="14" t="s">
        <v>82</v>
      </c>
      <c r="DW12" s="14" t="s">
        <v>64</v>
      </c>
    </row>
    <row r="13" spans="2:127" x14ac:dyDescent="0.3">
      <c r="B13" s="11" t="s">
        <v>75</v>
      </c>
      <c r="C13" s="12">
        <v>5001339636</v>
      </c>
      <c r="D13" s="11" t="s">
        <v>101</v>
      </c>
      <c r="E13" s="11" t="s">
        <v>55</v>
      </c>
      <c r="F13" s="11" t="s">
        <v>102</v>
      </c>
      <c r="G13" s="11" t="s">
        <v>103</v>
      </c>
      <c r="H13" s="11" t="s">
        <v>104</v>
      </c>
      <c r="I13" s="11">
        <v>33136</v>
      </c>
      <c r="J13" s="11" t="s">
        <v>59</v>
      </c>
      <c r="K13" s="11"/>
      <c r="L13" s="11"/>
      <c r="M13" s="11"/>
      <c r="N13" s="11"/>
      <c r="O13" s="13">
        <v>1288</v>
      </c>
      <c r="P13" s="13">
        <v>1288</v>
      </c>
      <c r="Q13" s="13">
        <v>0</v>
      </c>
      <c r="R13" s="13">
        <v>64053.376499999998</v>
      </c>
      <c r="S13" s="13">
        <v>1771.1031</v>
      </c>
      <c r="T13" s="13">
        <v>62282.273399999998</v>
      </c>
      <c r="U13" s="13">
        <v>139</v>
      </c>
      <c r="V13" s="13">
        <v>139</v>
      </c>
      <c r="W13" s="13">
        <v>0</v>
      </c>
      <c r="X13" s="13">
        <v>4169.9207999999999</v>
      </c>
      <c r="Y13" s="13">
        <v>170.8212</v>
      </c>
      <c r="Z13" s="13">
        <v>3999.0996</v>
      </c>
      <c r="AA13" s="13">
        <v>225</v>
      </c>
      <c r="AB13" s="13">
        <v>225</v>
      </c>
      <c r="AC13" s="13">
        <v>0</v>
      </c>
      <c r="AD13" s="13">
        <v>5605.3467000000001</v>
      </c>
      <c r="AE13" s="13">
        <v>273.21390000000002</v>
      </c>
      <c r="AF13" s="13">
        <v>5332.1328000000003</v>
      </c>
      <c r="AG13" s="13">
        <v>67</v>
      </c>
      <c r="AH13" s="13">
        <v>67</v>
      </c>
      <c r="AI13" s="13">
        <v>0</v>
      </c>
      <c r="AJ13" s="13">
        <v>4347.6714999999995</v>
      </c>
      <c r="AK13" s="13">
        <v>101.7139</v>
      </c>
      <c r="AL13" s="13">
        <v>4245.9575999999997</v>
      </c>
      <c r="AM13" s="13">
        <v>106</v>
      </c>
      <c r="AN13" s="13">
        <v>106</v>
      </c>
      <c r="AO13" s="13">
        <v>0</v>
      </c>
      <c r="AP13" s="13">
        <v>4789.1659</v>
      </c>
      <c r="AQ13" s="13">
        <v>135.89260000000002</v>
      </c>
      <c r="AR13" s="13">
        <v>4653.2732999999998</v>
      </c>
      <c r="AS13" s="13">
        <v>134</v>
      </c>
      <c r="AT13" s="13">
        <v>134</v>
      </c>
      <c r="AU13" s="13">
        <v>0</v>
      </c>
      <c r="AV13" s="13">
        <v>5340.5817999999999</v>
      </c>
      <c r="AW13" s="13">
        <v>181.24959999999999</v>
      </c>
      <c r="AX13" s="13">
        <v>5159.3321999999998</v>
      </c>
      <c r="AY13" s="13">
        <v>127</v>
      </c>
      <c r="AZ13" s="13">
        <v>127</v>
      </c>
      <c r="BA13" s="13">
        <v>0</v>
      </c>
      <c r="BB13" s="13">
        <v>4233.9067000000005</v>
      </c>
      <c r="BC13" s="13">
        <v>160.74969999999999</v>
      </c>
      <c r="BD13" s="13">
        <v>4073.1570000000002</v>
      </c>
      <c r="BE13" s="13">
        <v>89</v>
      </c>
      <c r="BF13" s="13">
        <v>89</v>
      </c>
      <c r="BG13" s="13">
        <v>0</v>
      </c>
      <c r="BH13" s="13">
        <v>4537.8433999999997</v>
      </c>
      <c r="BI13" s="13">
        <v>131.4281</v>
      </c>
      <c r="BJ13" s="13">
        <v>4406.4152999999997</v>
      </c>
      <c r="BK13" s="13">
        <v>97</v>
      </c>
      <c r="BL13" s="13">
        <v>97</v>
      </c>
      <c r="BM13" s="13">
        <v>0</v>
      </c>
      <c r="BN13" s="13">
        <v>6653.5866999999998</v>
      </c>
      <c r="BO13" s="13">
        <v>136.53550000000001</v>
      </c>
      <c r="BP13" s="13">
        <v>6517.0511999999999</v>
      </c>
      <c r="BQ13" s="13">
        <v>75</v>
      </c>
      <c r="BR13" s="13">
        <v>75</v>
      </c>
      <c r="BS13" s="13">
        <v>0</v>
      </c>
      <c r="BT13" s="13">
        <v>4654.0223999999998</v>
      </c>
      <c r="BU13" s="13">
        <v>124.1781</v>
      </c>
      <c r="BV13" s="13">
        <v>4529.8442999999997</v>
      </c>
      <c r="BW13" s="13">
        <v>32</v>
      </c>
      <c r="BX13" s="13">
        <v>32</v>
      </c>
      <c r="BY13" s="13">
        <v>0</v>
      </c>
      <c r="BZ13" s="13">
        <v>4449.2150000000001</v>
      </c>
      <c r="CA13" s="13">
        <v>55.142600000000002</v>
      </c>
      <c r="CB13" s="13">
        <v>4394.0724</v>
      </c>
      <c r="CC13" s="13">
        <v>76</v>
      </c>
      <c r="CD13" s="13">
        <v>76</v>
      </c>
      <c r="CE13" s="13">
        <v>0</v>
      </c>
      <c r="CF13" s="13">
        <v>6016.5987999999998</v>
      </c>
      <c r="CG13" s="13">
        <v>129.03550000000001</v>
      </c>
      <c r="CH13" s="13">
        <v>5887.5632999999998</v>
      </c>
      <c r="CI13" s="13">
        <v>60</v>
      </c>
      <c r="CJ13" s="13">
        <v>60</v>
      </c>
      <c r="CK13" s="13">
        <v>0</v>
      </c>
      <c r="CL13" s="13">
        <v>4612.9868999999999</v>
      </c>
      <c r="CM13" s="13">
        <v>83.142600000000002</v>
      </c>
      <c r="CN13" s="13">
        <v>4529.8442999999997</v>
      </c>
      <c r="CO13" s="13">
        <v>61</v>
      </c>
      <c r="CP13" s="13">
        <v>61</v>
      </c>
      <c r="CQ13" s="13">
        <v>0</v>
      </c>
      <c r="CR13" s="13">
        <v>4642.5298999999995</v>
      </c>
      <c r="CS13" s="13">
        <v>87.999799999999993</v>
      </c>
      <c r="CT13" s="13">
        <v>4554.5300999999999</v>
      </c>
      <c r="CU13" s="13">
        <f t="shared" si="4"/>
        <v>1149</v>
      </c>
      <c r="CV13" s="13">
        <f t="shared" si="0"/>
        <v>1149</v>
      </c>
      <c r="CW13" s="13">
        <f t="shared" si="0"/>
        <v>0</v>
      </c>
      <c r="CX13" s="13">
        <f t="shared" si="0"/>
        <v>59883.455699999999</v>
      </c>
      <c r="CY13" s="13">
        <f t="shared" si="0"/>
        <v>1600.2819</v>
      </c>
      <c r="CZ13" s="13">
        <f t="shared" si="0"/>
        <v>58283.17379999999</v>
      </c>
      <c r="DA13" s="13">
        <f t="shared" si="5"/>
        <v>197</v>
      </c>
      <c r="DB13" s="13">
        <f t="shared" si="1"/>
        <v>197</v>
      </c>
      <c r="DC13" s="13">
        <f t="shared" si="1"/>
        <v>0</v>
      </c>
      <c r="DD13" s="13">
        <f t="shared" si="1"/>
        <v>15272.115599999999</v>
      </c>
      <c r="DE13" s="13">
        <f t="shared" si="1"/>
        <v>300.17790000000002</v>
      </c>
      <c r="DF13" s="13">
        <f t="shared" si="1"/>
        <v>14971.937699999999</v>
      </c>
      <c r="DG13" s="13">
        <f t="shared" si="6"/>
        <v>204</v>
      </c>
      <c r="DH13" s="13">
        <f t="shared" si="2"/>
        <v>204</v>
      </c>
      <c r="DI13" s="13">
        <f t="shared" si="2"/>
        <v>0</v>
      </c>
      <c r="DJ13" s="13">
        <f t="shared" si="2"/>
        <v>15756.8241</v>
      </c>
      <c r="DK13" s="13">
        <f t="shared" si="2"/>
        <v>315.85620000000006</v>
      </c>
      <c r="DL13" s="13">
        <f t="shared" si="2"/>
        <v>15440.9679</v>
      </c>
      <c r="DM13" s="13">
        <f t="shared" si="7"/>
        <v>121</v>
      </c>
      <c r="DN13" s="13">
        <f t="shared" si="3"/>
        <v>121</v>
      </c>
      <c r="DO13" s="13">
        <f t="shared" si="3"/>
        <v>0</v>
      </c>
      <c r="DP13" s="13">
        <f t="shared" si="3"/>
        <v>9255.5167999999994</v>
      </c>
      <c r="DQ13" s="13">
        <f t="shared" si="3"/>
        <v>171.14240000000001</v>
      </c>
      <c r="DR13" s="13">
        <f t="shared" si="3"/>
        <v>9084.3744000000006</v>
      </c>
      <c r="DS13" s="14" t="s">
        <v>60</v>
      </c>
      <c r="DT13" s="14" t="s">
        <v>61</v>
      </c>
      <c r="DU13" s="14" t="s">
        <v>62</v>
      </c>
      <c r="DV13" s="14" t="s">
        <v>82</v>
      </c>
      <c r="DW13" s="14" t="s">
        <v>64</v>
      </c>
    </row>
    <row r="14" spans="2:127" x14ac:dyDescent="0.3">
      <c r="B14" s="11" t="s">
        <v>75</v>
      </c>
      <c r="C14" s="12">
        <v>5001339812</v>
      </c>
      <c r="D14" s="11" t="s">
        <v>105</v>
      </c>
      <c r="E14" s="11" t="s">
        <v>55</v>
      </c>
      <c r="F14" s="11" t="s">
        <v>106</v>
      </c>
      <c r="G14" s="11" t="s">
        <v>107</v>
      </c>
      <c r="H14" s="11" t="s">
        <v>108</v>
      </c>
      <c r="I14" s="11">
        <v>29414</v>
      </c>
      <c r="J14" s="11" t="s">
        <v>109</v>
      </c>
      <c r="K14" s="11"/>
      <c r="L14" s="11"/>
      <c r="M14" s="11"/>
      <c r="N14" s="11"/>
      <c r="O14" s="13">
        <v>326</v>
      </c>
      <c r="P14" s="13">
        <v>326</v>
      </c>
      <c r="Q14" s="13">
        <v>0</v>
      </c>
      <c r="R14" s="13">
        <v>8040.3125</v>
      </c>
      <c r="S14" s="13">
        <v>326</v>
      </c>
      <c r="T14" s="13">
        <v>7714.3125</v>
      </c>
      <c r="U14" s="13">
        <v>29</v>
      </c>
      <c r="V14" s="13">
        <v>29</v>
      </c>
      <c r="W14" s="13">
        <v>0</v>
      </c>
      <c r="X14" s="13">
        <v>596.77340000000004</v>
      </c>
      <c r="Y14" s="13">
        <v>29</v>
      </c>
      <c r="Z14" s="13">
        <v>567.77340000000004</v>
      </c>
      <c r="AA14" s="13">
        <v>47</v>
      </c>
      <c r="AB14" s="13">
        <v>47</v>
      </c>
      <c r="AC14" s="13">
        <v>0</v>
      </c>
      <c r="AD14" s="13">
        <v>725.85950000000003</v>
      </c>
      <c r="AE14" s="13">
        <v>47</v>
      </c>
      <c r="AF14" s="13">
        <v>678.85950000000003</v>
      </c>
      <c r="AG14" s="13">
        <v>24</v>
      </c>
      <c r="AH14" s="13">
        <v>24</v>
      </c>
      <c r="AI14" s="13">
        <v>0</v>
      </c>
      <c r="AJ14" s="13">
        <v>567.08759999999995</v>
      </c>
      <c r="AK14" s="13">
        <v>24</v>
      </c>
      <c r="AL14" s="13">
        <v>543.08759999999995</v>
      </c>
      <c r="AM14" s="13">
        <v>24</v>
      </c>
      <c r="AN14" s="13">
        <v>24</v>
      </c>
      <c r="AO14" s="13">
        <v>0</v>
      </c>
      <c r="AP14" s="13">
        <v>418.97280000000001</v>
      </c>
      <c r="AQ14" s="13">
        <v>24</v>
      </c>
      <c r="AR14" s="13">
        <v>394.97280000000001</v>
      </c>
      <c r="AS14" s="13">
        <v>37</v>
      </c>
      <c r="AT14" s="13">
        <v>37</v>
      </c>
      <c r="AU14" s="13">
        <v>0</v>
      </c>
      <c r="AV14" s="13">
        <v>604.77340000000004</v>
      </c>
      <c r="AW14" s="13">
        <v>37</v>
      </c>
      <c r="AX14" s="13">
        <v>567.77340000000004</v>
      </c>
      <c r="AY14" s="13">
        <v>32</v>
      </c>
      <c r="AZ14" s="13">
        <v>32</v>
      </c>
      <c r="BA14" s="13">
        <v>0</v>
      </c>
      <c r="BB14" s="13">
        <v>550.40179999999998</v>
      </c>
      <c r="BC14" s="13">
        <v>32</v>
      </c>
      <c r="BD14" s="13">
        <v>518.40179999999998</v>
      </c>
      <c r="BE14" s="13">
        <v>30</v>
      </c>
      <c r="BF14" s="13">
        <v>30</v>
      </c>
      <c r="BG14" s="13">
        <v>0</v>
      </c>
      <c r="BH14" s="13">
        <v>424.97280000000001</v>
      </c>
      <c r="BI14" s="13">
        <v>30</v>
      </c>
      <c r="BJ14" s="13">
        <v>394.97280000000001</v>
      </c>
      <c r="BK14" s="13">
        <v>32</v>
      </c>
      <c r="BL14" s="13">
        <v>32</v>
      </c>
      <c r="BM14" s="13">
        <v>0</v>
      </c>
      <c r="BN14" s="13">
        <v>649.14499999999998</v>
      </c>
      <c r="BO14" s="13">
        <v>32</v>
      </c>
      <c r="BP14" s="13">
        <v>617.14499999999998</v>
      </c>
      <c r="BQ14" s="13">
        <v>13</v>
      </c>
      <c r="BR14" s="13">
        <v>13</v>
      </c>
      <c r="BS14" s="13">
        <v>0</v>
      </c>
      <c r="BT14" s="13">
        <v>531.40179999999998</v>
      </c>
      <c r="BU14" s="13">
        <v>13</v>
      </c>
      <c r="BV14" s="13">
        <v>518.40179999999998</v>
      </c>
      <c r="BW14" s="13">
        <v>23</v>
      </c>
      <c r="BX14" s="13">
        <v>23</v>
      </c>
      <c r="BY14" s="13">
        <v>0</v>
      </c>
      <c r="BZ14" s="13">
        <v>615.45920000000001</v>
      </c>
      <c r="CA14" s="13">
        <v>23</v>
      </c>
      <c r="CB14" s="13">
        <v>592.45920000000001</v>
      </c>
      <c r="CC14" s="13">
        <v>19</v>
      </c>
      <c r="CD14" s="13">
        <v>19</v>
      </c>
      <c r="CE14" s="13">
        <v>0</v>
      </c>
      <c r="CF14" s="13">
        <v>722.5453</v>
      </c>
      <c r="CG14" s="13">
        <v>19</v>
      </c>
      <c r="CH14" s="13">
        <v>703.5453</v>
      </c>
      <c r="CI14" s="13">
        <v>8</v>
      </c>
      <c r="CJ14" s="13">
        <v>8</v>
      </c>
      <c r="CK14" s="13">
        <v>0</v>
      </c>
      <c r="CL14" s="13">
        <v>662.17370000000005</v>
      </c>
      <c r="CM14" s="13">
        <v>8</v>
      </c>
      <c r="CN14" s="13">
        <v>654.17370000000005</v>
      </c>
      <c r="CO14" s="13">
        <v>8</v>
      </c>
      <c r="CP14" s="13">
        <v>8</v>
      </c>
      <c r="CQ14" s="13">
        <v>0</v>
      </c>
      <c r="CR14" s="13">
        <v>970.74620000000004</v>
      </c>
      <c r="CS14" s="13">
        <v>8</v>
      </c>
      <c r="CT14" s="13">
        <v>962.74620000000004</v>
      </c>
      <c r="CU14" s="13">
        <f t="shared" si="4"/>
        <v>297</v>
      </c>
      <c r="CV14" s="13">
        <f t="shared" si="0"/>
        <v>297</v>
      </c>
      <c r="CW14" s="13">
        <f t="shared" si="0"/>
        <v>0</v>
      </c>
      <c r="CX14" s="13">
        <f t="shared" si="0"/>
        <v>7443.5391</v>
      </c>
      <c r="CY14" s="13">
        <f t="shared" si="0"/>
        <v>297</v>
      </c>
      <c r="CZ14" s="13">
        <f t="shared" si="0"/>
        <v>7146.5391</v>
      </c>
      <c r="DA14" s="13">
        <f t="shared" si="5"/>
        <v>35</v>
      </c>
      <c r="DB14" s="13">
        <f t="shared" si="1"/>
        <v>35</v>
      </c>
      <c r="DC14" s="13">
        <f t="shared" si="1"/>
        <v>0</v>
      </c>
      <c r="DD14" s="13">
        <f t="shared" si="1"/>
        <v>2355.4652000000001</v>
      </c>
      <c r="DE14" s="13">
        <f t="shared" si="1"/>
        <v>35</v>
      </c>
      <c r="DF14" s="13">
        <f t="shared" si="1"/>
        <v>2320.4652000000001</v>
      </c>
      <c r="DG14" s="13">
        <f t="shared" si="6"/>
        <v>68</v>
      </c>
      <c r="DH14" s="13">
        <f t="shared" si="2"/>
        <v>68</v>
      </c>
      <c r="DI14" s="13">
        <f t="shared" si="2"/>
        <v>0</v>
      </c>
      <c r="DJ14" s="13">
        <f t="shared" si="2"/>
        <v>1796.0060000000001</v>
      </c>
      <c r="DK14" s="13">
        <f t="shared" si="2"/>
        <v>68</v>
      </c>
      <c r="DL14" s="13">
        <f t="shared" si="2"/>
        <v>1728.0060000000001</v>
      </c>
      <c r="DM14" s="13">
        <f t="shared" si="7"/>
        <v>16</v>
      </c>
      <c r="DN14" s="13">
        <f t="shared" si="3"/>
        <v>16</v>
      </c>
      <c r="DO14" s="13">
        <f t="shared" si="3"/>
        <v>0</v>
      </c>
      <c r="DP14" s="13">
        <f t="shared" si="3"/>
        <v>1632.9199000000001</v>
      </c>
      <c r="DQ14" s="13">
        <f t="shared" si="3"/>
        <v>16</v>
      </c>
      <c r="DR14" s="13">
        <f t="shared" si="3"/>
        <v>1616.9199000000001</v>
      </c>
      <c r="DS14" s="14" t="s">
        <v>60</v>
      </c>
      <c r="DT14" s="14" t="s">
        <v>81</v>
      </c>
      <c r="DU14" s="14" t="s">
        <v>73</v>
      </c>
      <c r="DV14" s="14" t="s">
        <v>82</v>
      </c>
      <c r="DW14" s="14" t="s">
        <v>74</v>
      </c>
    </row>
    <row r="15" spans="2:127" x14ac:dyDescent="0.3">
      <c r="B15" s="11" t="s">
        <v>75</v>
      </c>
      <c r="C15" s="12">
        <v>5001339963</v>
      </c>
      <c r="D15" s="11" t="s">
        <v>110</v>
      </c>
      <c r="E15" s="11" t="s">
        <v>55</v>
      </c>
      <c r="F15" s="11" t="s">
        <v>111</v>
      </c>
      <c r="G15" s="11" t="s">
        <v>112</v>
      </c>
      <c r="H15" s="11" t="s">
        <v>104</v>
      </c>
      <c r="I15" s="11">
        <v>33612</v>
      </c>
      <c r="J15" s="11" t="s">
        <v>59</v>
      </c>
      <c r="K15" s="11"/>
      <c r="L15" s="11"/>
      <c r="M15" s="11"/>
      <c r="N15" s="11"/>
      <c r="O15" s="13">
        <v>1082</v>
      </c>
      <c r="P15" s="13">
        <v>1082</v>
      </c>
      <c r="Q15" s="13">
        <v>0</v>
      </c>
      <c r="R15" s="13">
        <v>56615.983099999998</v>
      </c>
      <c r="S15" s="13">
        <v>1295.1052999999999</v>
      </c>
      <c r="T15" s="13">
        <v>55320.877800000002</v>
      </c>
      <c r="U15" s="13">
        <v>41</v>
      </c>
      <c r="V15" s="13">
        <v>41</v>
      </c>
      <c r="W15" s="13">
        <v>0</v>
      </c>
      <c r="X15" s="13">
        <v>3409.8400999999999</v>
      </c>
      <c r="Y15" s="13">
        <v>52.571300000000001</v>
      </c>
      <c r="Z15" s="13">
        <v>3357.2687999999998</v>
      </c>
      <c r="AA15" s="13">
        <v>75</v>
      </c>
      <c r="AB15" s="13">
        <v>75</v>
      </c>
      <c r="AC15" s="13">
        <v>0</v>
      </c>
      <c r="AD15" s="13">
        <v>4702.8158999999996</v>
      </c>
      <c r="AE15" s="13">
        <v>86.571300000000008</v>
      </c>
      <c r="AF15" s="13">
        <v>4616.2446</v>
      </c>
      <c r="AG15" s="13">
        <v>40</v>
      </c>
      <c r="AH15" s="13">
        <v>40</v>
      </c>
      <c r="AI15" s="13">
        <v>0</v>
      </c>
      <c r="AJ15" s="13">
        <v>3017.7243999999996</v>
      </c>
      <c r="AK15" s="13">
        <v>55.428399999999996</v>
      </c>
      <c r="AL15" s="13">
        <v>2962.2959999999998</v>
      </c>
      <c r="AM15" s="13">
        <v>41</v>
      </c>
      <c r="AN15" s="13">
        <v>41</v>
      </c>
      <c r="AO15" s="13">
        <v>0</v>
      </c>
      <c r="AP15" s="13">
        <v>3900.6633000000002</v>
      </c>
      <c r="AQ15" s="13">
        <v>49.6785</v>
      </c>
      <c r="AR15" s="13">
        <v>3850.9848000000002</v>
      </c>
      <c r="AS15" s="13">
        <v>104</v>
      </c>
      <c r="AT15" s="13">
        <v>104</v>
      </c>
      <c r="AU15" s="13">
        <v>0</v>
      </c>
      <c r="AV15" s="13">
        <v>5411.6396999999997</v>
      </c>
      <c r="AW15" s="13">
        <v>116.5356</v>
      </c>
      <c r="AX15" s="13">
        <v>5295.1040999999996</v>
      </c>
      <c r="AY15" s="13">
        <v>105</v>
      </c>
      <c r="AZ15" s="13">
        <v>105</v>
      </c>
      <c r="BA15" s="13">
        <v>0</v>
      </c>
      <c r="BB15" s="13">
        <v>4491.1648999999998</v>
      </c>
      <c r="BC15" s="13">
        <v>146.4641</v>
      </c>
      <c r="BD15" s="13">
        <v>4344.7007999999996</v>
      </c>
      <c r="BE15" s="13">
        <v>114</v>
      </c>
      <c r="BF15" s="13">
        <v>114</v>
      </c>
      <c r="BG15" s="13">
        <v>0</v>
      </c>
      <c r="BH15" s="13">
        <v>4335.4645</v>
      </c>
      <c r="BI15" s="13">
        <v>126.5356</v>
      </c>
      <c r="BJ15" s="13">
        <v>4208.9288999999999</v>
      </c>
      <c r="BK15" s="13">
        <v>177</v>
      </c>
      <c r="BL15" s="13">
        <v>177</v>
      </c>
      <c r="BM15" s="13">
        <v>0</v>
      </c>
      <c r="BN15" s="13">
        <v>6225.2137000000002</v>
      </c>
      <c r="BO15" s="13">
        <v>189.53559999999999</v>
      </c>
      <c r="BP15" s="13">
        <v>6035.6781000000001</v>
      </c>
      <c r="BQ15" s="13">
        <v>121</v>
      </c>
      <c r="BR15" s="13">
        <v>121</v>
      </c>
      <c r="BS15" s="13">
        <v>0</v>
      </c>
      <c r="BT15" s="13">
        <v>3926.8558000000003</v>
      </c>
      <c r="BU15" s="13">
        <v>149.92840000000001</v>
      </c>
      <c r="BV15" s="13">
        <v>3776.9274</v>
      </c>
      <c r="BW15" s="13">
        <v>38</v>
      </c>
      <c r="BX15" s="13">
        <v>38</v>
      </c>
      <c r="BY15" s="13">
        <v>0</v>
      </c>
      <c r="BZ15" s="13">
        <v>4048.6709000000001</v>
      </c>
      <c r="CA15" s="13">
        <v>49.571300000000001</v>
      </c>
      <c r="CB15" s="13">
        <v>3999.0996</v>
      </c>
      <c r="CC15" s="13">
        <v>119</v>
      </c>
      <c r="CD15" s="13">
        <v>119</v>
      </c>
      <c r="CE15" s="13">
        <v>0</v>
      </c>
      <c r="CF15" s="13">
        <v>5549.1043999999993</v>
      </c>
      <c r="CG15" s="13">
        <v>130.57130000000001</v>
      </c>
      <c r="CH15" s="13">
        <v>5418.5330999999996</v>
      </c>
      <c r="CI15" s="13">
        <v>83</v>
      </c>
      <c r="CJ15" s="13">
        <v>83</v>
      </c>
      <c r="CK15" s="13">
        <v>0</v>
      </c>
      <c r="CL15" s="13">
        <v>3180.2963</v>
      </c>
      <c r="CM15" s="13">
        <v>94.571300000000008</v>
      </c>
      <c r="CN15" s="13">
        <v>3085.7249999999999</v>
      </c>
      <c r="CO15" s="13">
        <v>24</v>
      </c>
      <c r="CP15" s="13">
        <v>24</v>
      </c>
      <c r="CQ15" s="13">
        <v>0</v>
      </c>
      <c r="CR15" s="13">
        <v>4416.5291999999999</v>
      </c>
      <c r="CS15" s="13">
        <v>47.142600000000002</v>
      </c>
      <c r="CT15" s="13">
        <v>4369.3865999999998</v>
      </c>
      <c r="CU15" s="13">
        <f t="shared" si="4"/>
        <v>1041</v>
      </c>
      <c r="CV15" s="13">
        <f t="shared" si="0"/>
        <v>1041</v>
      </c>
      <c r="CW15" s="13">
        <f t="shared" si="0"/>
        <v>0</v>
      </c>
      <c r="CX15" s="13">
        <f t="shared" si="0"/>
        <v>53206.142999999989</v>
      </c>
      <c r="CY15" s="13">
        <f t="shared" si="0"/>
        <v>1242.5339999999999</v>
      </c>
      <c r="CZ15" s="13">
        <f t="shared" si="0"/>
        <v>51963.608999999997</v>
      </c>
      <c r="DA15" s="13">
        <f t="shared" si="5"/>
        <v>226</v>
      </c>
      <c r="DB15" s="13">
        <f t="shared" si="1"/>
        <v>226</v>
      </c>
      <c r="DC15" s="13">
        <f t="shared" si="1"/>
        <v>0</v>
      </c>
      <c r="DD15" s="13">
        <f t="shared" si="1"/>
        <v>13145.929899999999</v>
      </c>
      <c r="DE15" s="13">
        <f t="shared" si="1"/>
        <v>272.28520000000003</v>
      </c>
      <c r="DF15" s="13">
        <f t="shared" si="1"/>
        <v>12873.644699999999</v>
      </c>
      <c r="DG15" s="13">
        <f t="shared" si="6"/>
        <v>336</v>
      </c>
      <c r="DH15" s="13">
        <f t="shared" si="2"/>
        <v>336</v>
      </c>
      <c r="DI15" s="13">
        <f t="shared" si="2"/>
        <v>0</v>
      </c>
      <c r="DJ15" s="13">
        <f t="shared" si="2"/>
        <v>14200.740400000002</v>
      </c>
      <c r="DK15" s="13">
        <f t="shared" si="2"/>
        <v>389.03530000000001</v>
      </c>
      <c r="DL15" s="13">
        <f t="shared" si="2"/>
        <v>13811.705099999999</v>
      </c>
      <c r="DM15" s="13">
        <f t="shared" si="7"/>
        <v>107</v>
      </c>
      <c r="DN15" s="13">
        <f t="shared" si="3"/>
        <v>107</v>
      </c>
      <c r="DO15" s="13">
        <f t="shared" si="3"/>
        <v>0</v>
      </c>
      <c r="DP15" s="13">
        <f t="shared" si="3"/>
        <v>7596.8254999999999</v>
      </c>
      <c r="DQ15" s="13">
        <f t="shared" si="3"/>
        <v>141.71390000000002</v>
      </c>
      <c r="DR15" s="13">
        <f t="shared" si="3"/>
        <v>7455.1116000000002</v>
      </c>
      <c r="DS15" s="14" t="s">
        <v>60</v>
      </c>
      <c r="DT15" s="14" t="s">
        <v>61</v>
      </c>
      <c r="DU15" s="14" t="s">
        <v>113</v>
      </c>
      <c r="DV15" s="14" t="s">
        <v>97</v>
      </c>
      <c r="DW15" s="14" t="s">
        <v>64</v>
      </c>
    </row>
    <row r="16" spans="2:127" x14ac:dyDescent="0.3">
      <c r="B16" s="11" t="s">
        <v>83</v>
      </c>
      <c r="C16" s="12">
        <v>5001340142</v>
      </c>
      <c r="D16" s="11" t="s">
        <v>114</v>
      </c>
      <c r="E16" s="11" t="s">
        <v>55</v>
      </c>
      <c r="F16" s="11" t="s">
        <v>115</v>
      </c>
      <c r="G16" s="11" t="s">
        <v>116</v>
      </c>
      <c r="H16" s="11" t="s">
        <v>96</v>
      </c>
      <c r="I16" s="11">
        <v>53226</v>
      </c>
      <c r="J16" s="11" t="s">
        <v>80</v>
      </c>
      <c r="K16" s="11"/>
      <c r="L16" s="11"/>
      <c r="M16" s="11"/>
      <c r="N16" s="11"/>
      <c r="O16" s="13">
        <v>450</v>
      </c>
      <c r="P16" s="13">
        <v>450</v>
      </c>
      <c r="Q16" s="13">
        <v>0</v>
      </c>
      <c r="R16" s="13">
        <v>38738.056900000003</v>
      </c>
      <c r="S16" s="13">
        <v>845.35390000000007</v>
      </c>
      <c r="T16" s="13">
        <v>37892.703000000001</v>
      </c>
      <c r="U16" s="13">
        <v>26</v>
      </c>
      <c r="V16" s="13">
        <v>26</v>
      </c>
      <c r="W16" s="13">
        <v>0</v>
      </c>
      <c r="X16" s="13">
        <v>2719.8377999999998</v>
      </c>
      <c r="Y16" s="13">
        <v>41.4285</v>
      </c>
      <c r="Z16" s="13">
        <v>2678.4092999999998</v>
      </c>
      <c r="AA16" s="13">
        <v>50</v>
      </c>
      <c r="AB16" s="13">
        <v>50</v>
      </c>
      <c r="AC16" s="13">
        <v>0</v>
      </c>
      <c r="AD16" s="13">
        <v>3257.8036000000002</v>
      </c>
      <c r="AE16" s="13">
        <v>85.678300000000007</v>
      </c>
      <c r="AF16" s="13">
        <v>3172.1253000000002</v>
      </c>
      <c r="AG16" s="13">
        <v>29</v>
      </c>
      <c r="AH16" s="13">
        <v>29</v>
      </c>
      <c r="AI16" s="13">
        <v>0</v>
      </c>
      <c r="AJ16" s="13">
        <v>2179.7500999999997</v>
      </c>
      <c r="AK16" s="13">
        <v>44.428399999999996</v>
      </c>
      <c r="AL16" s="13">
        <v>2135.3217</v>
      </c>
      <c r="AM16" s="13">
        <v>17</v>
      </c>
      <c r="AN16" s="13">
        <v>17</v>
      </c>
      <c r="AO16" s="13">
        <v>0</v>
      </c>
      <c r="AP16" s="13">
        <v>2668.4088000000002</v>
      </c>
      <c r="AQ16" s="13">
        <v>51.713999999999999</v>
      </c>
      <c r="AR16" s="13">
        <v>2616.6948000000002</v>
      </c>
      <c r="AS16" s="13">
        <v>36</v>
      </c>
      <c r="AT16" s="13">
        <v>36</v>
      </c>
      <c r="AU16" s="13">
        <v>0</v>
      </c>
      <c r="AV16" s="13">
        <v>3839.1556</v>
      </c>
      <c r="AW16" s="13">
        <v>74.571100000000001</v>
      </c>
      <c r="AX16" s="13">
        <v>3764.5844999999999</v>
      </c>
      <c r="AY16" s="13">
        <v>50</v>
      </c>
      <c r="AZ16" s="13">
        <v>50</v>
      </c>
      <c r="BA16" s="13">
        <v>0</v>
      </c>
      <c r="BB16" s="13">
        <v>2915.0951</v>
      </c>
      <c r="BC16" s="13">
        <v>88.570999999999998</v>
      </c>
      <c r="BD16" s="13">
        <v>2826.5241000000001</v>
      </c>
      <c r="BE16" s="13">
        <v>18</v>
      </c>
      <c r="BF16" s="13">
        <v>18</v>
      </c>
      <c r="BG16" s="13">
        <v>0</v>
      </c>
      <c r="BH16" s="13">
        <v>2607.6944000000003</v>
      </c>
      <c r="BI16" s="13">
        <v>52.714100000000002</v>
      </c>
      <c r="BJ16" s="13">
        <v>2554.9803000000002</v>
      </c>
      <c r="BK16" s="13">
        <v>81</v>
      </c>
      <c r="BL16" s="13">
        <v>81</v>
      </c>
      <c r="BM16" s="13">
        <v>0</v>
      </c>
      <c r="BN16" s="13">
        <v>3197.5817999999999</v>
      </c>
      <c r="BO16" s="13">
        <v>111.85679999999999</v>
      </c>
      <c r="BP16" s="13">
        <v>3085.7249999999999</v>
      </c>
      <c r="BQ16" s="13">
        <v>29</v>
      </c>
      <c r="BR16" s="13">
        <v>29</v>
      </c>
      <c r="BS16" s="13">
        <v>0</v>
      </c>
      <c r="BT16" s="13">
        <v>3033.7240999999999</v>
      </c>
      <c r="BU16" s="13">
        <v>71.428100000000001</v>
      </c>
      <c r="BV16" s="13">
        <v>2962.2959999999998</v>
      </c>
      <c r="BW16" s="13">
        <v>18</v>
      </c>
      <c r="BX16" s="13">
        <v>18</v>
      </c>
      <c r="BY16" s="13">
        <v>0</v>
      </c>
      <c r="BZ16" s="13">
        <v>3345.1828999999998</v>
      </c>
      <c r="CA16" s="13">
        <v>37.285699999999999</v>
      </c>
      <c r="CB16" s="13">
        <v>3307.8971999999999</v>
      </c>
      <c r="CC16" s="13">
        <v>27</v>
      </c>
      <c r="CD16" s="13">
        <v>27</v>
      </c>
      <c r="CE16" s="13">
        <v>0</v>
      </c>
      <c r="CF16" s="13">
        <v>2713.7015999999999</v>
      </c>
      <c r="CG16" s="13">
        <v>72.320999999999998</v>
      </c>
      <c r="CH16" s="13">
        <v>2641.3806</v>
      </c>
      <c r="CI16" s="13">
        <v>21</v>
      </c>
      <c r="CJ16" s="13">
        <v>21</v>
      </c>
      <c r="CK16" s="13">
        <v>0</v>
      </c>
      <c r="CL16" s="13">
        <v>3513.2691</v>
      </c>
      <c r="CM16" s="13">
        <v>32.571300000000001</v>
      </c>
      <c r="CN16" s="13">
        <v>3480.6977999999999</v>
      </c>
      <c r="CO16" s="13">
        <v>48</v>
      </c>
      <c r="CP16" s="13">
        <v>48</v>
      </c>
      <c r="CQ16" s="13">
        <v>0</v>
      </c>
      <c r="CR16" s="13">
        <v>2746.8520000000003</v>
      </c>
      <c r="CS16" s="13">
        <v>80.785600000000002</v>
      </c>
      <c r="CT16" s="13">
        <v>2666.0664000000002</v>
      </c>
      <c r="CU16" s="13">
        <f t="shared" si="4"/>
        <v>424</v>
      </c>
      <c r="CV16" s="13">
        <f t="shared" si="0"/>
        <v>424</v>
      </c>
      <c r="CW16" s="13">
        <f t="shared" si="0"/>
        <v>0</v>
      </c>
      <c r="CX16" s="13">
        <f t="shared" si="0"/>
        <v>36018.219099999995</v>
      </c>
      <c r="CY16" s="13">
        <f t="shared" si="0"/>
        <v>803.92540000000008</v>
      </c>
      <c r="CZ16" s="13">
        <f t="shared" si="0"/>
        <v>35214.293700000002</v>
      </c>
      <c r="DA16" s="13">
        <f t="shared" si="5"/>
        <v>96</v>
      </c>
      <c r="DB16" s="13">
        <f t="shared" si="1"/>
        <v>96</v>
      </c>
      <c r="DC16" s="13">
        <f t="shared" si="1"/>
        <v>0</v>
      </c>
      <c r="DD16" s="13">
        <f t="shared" si="1"/>
        <v>8973.8227000000006</v>
      </c>
      <c r="DE16" s="13">
        <f t="shared" si="1"/>
        <v>185.67790000000002</v>
      </c>
      <c r="DF16" s="13">
        <f t="shared" si="1"/>
        <v>8788.1448</v>
      </c>
      <c r="DG16" s="13">
        <f t="shared" si="6"/>
        <v>128</v>
      </c>
      <c r="DH16" s="13">
        <f t="shared" si="2"/>
        <v>128</v>
      </c>
      <c r="DI16" s="13">
        <f t="shared" si="2"/>
        <v>0</v>
      </c>
      <c r="DJ16" s="13">
        <f t="shared" si="2"/>
        <v>9576.4887999999992</v>
      </c>
      <c r="DK16" s="13">
        <f t="shared" si="2"/>
        <v>220.57059999999998</v>
      </c>
      <c r="DL16" s="13">
        <f t="shared" si="2"/>
        <v>9355.9182000000001</v>
      </c>
      <c r="DM16" s="13">
        <f t="shared" si="7"/>
        <v>69</v>
      </c>
      <c r="DN16" s="13">
        <f t="shared" si="3"/>
        <v>69</v>
      </c>
      <c r="DO16" s="13">
        <f t="shared" si="3"/>
        <v>0</v>
      </c>
      <c r="DP16" s="13">
        <f t="shared" si="3"/>
        <v>6260.1211000000003</v>
      </c>
      <c r="DQ16" s="13">
        <f t="shared" si="3"/>
        <v>113.3569</v>
      </c>
      <c r="DR16" s="13">
        <f t="shared" si="3"/>
        <v>6146.7641999999996</v>
      </c>
      <c r="DS16" s="14" t="s">
        <v>60</v>
      </c>
      <c r="DT16" s="14" t="s">
        <v>81</v>
      </c>
      <c r="DU16" s="14" t="s">
        <v>62</v>
      </c>
      <c r="DV16" s="14" t="s">
        <v>82</v>
      </c>
      <c r="DW16" s="14" t="s">
        <v>64</v>
      </c>
    </row>
    <row r="17" spans="2:127" x14ac:dyDescent="0.3">
      <c r="B17" s="11" t="s">
        <v>75</v>
      </c>
      <c r="C17" s="12">
        <v>5001340232</v>
      </c>
      <c r="D17" s="11" t="s">
        <v>117</v>
      </c>
      <c r="E17" s="11" t="s">
        <v>55</v>
      </c>
      <c r="F17" s="11" t="s">
        <v>118</v>
      </c>
      <c r="G17" s="11" t="s">
        <v>119</v>
      </c>
      <c r="H17" s="11" t="s">
        <v>120</v>
      </c>
      <c r="I17" s="11">
        <v>37915</v>
      </c>
      <c r="J17" s="11" t="s">
        <v>70</v>
      </c>
      <c r="K17" s="11"/>
      <c r="L17" s="11"/>
      <c r="M17" s="11"/>
      <c r="N17" s="11"/>
      <c r="O17" s="13">
        <v>2412</v>
      </c>
      <c r="P17" s="13">
        <v>2412</v>
      </c>
      <c r="Q17" s="13">
        <v>0</v>
      </c>
      <c r="R17" s="13">
        <v>41692.504500000003</v>
      </c>
      <c r="S17" s="13">
        <v>2762.9978999999998</v>
      </c>
      <c r="T17" s="13">
        <v>38929.506600000001</v>
      </c>
      <c r="U17" s="13">
        <v>135</v>
      </c>
      <c r="V17" s="13">
        <v>135</v>
      </c>
      <c r="W17" s="13">
        <v>0</v>
      </c>
      <c r="X17" s="13">
        <v>2519.3009999999999</v>
      </c>
      <c r="Y17" s="13">
        <v>149.46420000000001</v>
      </c>
      <c r="Z17" s="13">
        <v>2369.8368</v>
      </c>
      <c r="AA17" s="13">
        <v>183</v>
      </c>
      <c r="AB17" s="13">
        <v>183</v>
      </c>
      <c r="AC17" s="13">
        <v>0</v>
      </c>
      <c r="AD17" s="13">
        <v>3137.1957000000002</v>
      </c>
      <c r="AE17" s="13">
        <v>211.92840000000001</v>
      </c>
      <c r="AF17" s="13">
        <v>2925.2673</v>
      </c>
      <c r="AG17" s="13">
        <v>85</v>
      </c>
      <c r="AH17" s="13">
        <v>85</v>
      </c>
      <c r="AI17" s="13">
        <v>0</v>
      </c>
      <c r="AJ17" s="13">
        <v>2742.9660999999996</v>
      </c>
      <c r="AK17" s="13">
        <v>113.9284</v>
      </c>
      <c r="AL17" s="13">
        <v>2629.0376999999999</v>
      </c>
      <c r="AM17" s="13">
        <v>155</v>
      </c>
      <c r="AN17" s="13">
        <v>155</v>
      </c>
      <c r="AO17" s="13">
        <v>0</v>
      </c>
      <c r="AP17" s="13">
        <v>2883.5518999999999</v>
      </c>
      <c r="AQ17" s="13">
        <v>205.14260000000002</v>
      </c>
      <c r="AR17" s="13">
        <v>2678.4092999999998</v>
      </c>
      <c r="AS17" s="13">
        <v>266</v>
      </c>
      <c r="AT17" s="13">
        <v>266</v>
      </c>
      <c r="AU17" s="13">
        <v>0</v>
      </c>
      <c r="AV17" s="13">
        <v>3543.2324000000003</v>
      </c>
      <c r="AW17" s="13">
        <v>309.39260000000002</v>
      </c>
      <c r="AX17" s="13">
        <v>3233.8398000000002</v>
      </c>
      <c r="AY17" s="13">
        <v>196</v>
      </c>
      <c r="AZ17" s="13">
        <v>196</v>
      </c>
      <c r="BA17" s="13">
        <v>0</v>
      </c>
      <c r="BB17" s="13">
        <v>3059.5527999999999</v>
      </c>
      <c r="BC17" s="13">
        <v>196</v>
      </c>
      <c r="BD17" s="13">
        <v>2863.5527999999999</v>
      </c>
      <c r="BE17" s="13">
        <v>145</v>
      </c>
      <c r="BF17" s="13">
        <v>145</v>
      </c>
      <c r="BG17" s="13">
        <v>0</v>
      </c>
      <c r="BH17" s="13">
        <v>2537.0151999999998</v>
      </c>
      <c r="BI17" s="13">
        <v>167.17840000000001</v>
      </c>
      <c r="BJ17" s="13">
        <v>2369.8368</v>
      </c>
      <c r="BK17" s="13">
        <v>256</v>
      </c>
      <c r="BL17" s="13">
        <v>256</v>
      </c>
      <c r="BM17" s="13">
        <v>0</v>
      </c>
      <c r="BN17" s="13">
        <v>4063.5916000000002</v>
      </c>
      <c r="BO17" s="13">
        <v>274.32130000000001</v>
      </c>
      <c r="BP17" s="13">
        <v>3789.2703000000001</v>
      </c>
      <c r="BQ17" s="13">
        <v>221</v>
      </c>
      <c r="BR17" s="13">
        <v>221</v>
      </c>
      <c r="BS17" s="13">
        <v>0</v>
      </c>
      <c r="BT17" s="13">
        <v>2755.5371000000005</v>
      </c>
      <c r="BU17" s="13">
        <v>249.92840000000001</v>
      </c>
      <c r="BV17" s="13">
        <v>2505.6087000000002</v>
      </c>
      <c r="BW17" s="13">
        <v>173</v>
      </c>
      <c r="BX17" s="13">
        <v>173</v>
      </c>
      <c r="BY17" s="13">
        <v>0</v>
      </c>
      <c r="BZ17" s="13">
        <v>3077.8240999999998</v>
      </c>
      <c r="CA17" s="13">
        <v>201.92840000000001</v>
      </c>
      <c r="CB17" s="13">
        <v>2875.8957</v>
      </c>
      <c r="CC17" s="13">
        <v>242</v>
      </c>
      <c r="CD17" s="13">
        <v>242</v>
      </c>
      <c r="CE17" s="13">
        <v>0</v>
      </c>
      <c r="CF17" s="13">
        <v>4677.3436999999994</v>
      </c>
      <c r="CG17" s="13">
        <v>270.92840000000001</v>
      </c>
      <c r="CH17" s="13">
        <v>4406.4152999999997</v>
      </c>
      <c r="CI17" s="13">
        <v>177</v>
      </c>
      <c r="CJ17" s="13">
        <v>177</v>
      </c>
      <c r="CK17" s="13">
        <v>0</v>
      </c>
      <c r="CL17" s="13">
        <v>3069.4812000000002</v>
      </c>
      <c r="CM17" s="13">
        <v>205.92840000000001</v>
      </c>
      <c r="CN17" s="13">
        <v>2863.5527999999999</v>
      </c>
      <c r="CO17" s="13">
        <v>178</v>
      </c>
      <c r="CP17" s="13">
        <v>178</v>
      </c>
      <c r="CQ17" s="13">
        <v>0</v>
      </c>
      <c r="CR17" s="13">
        <v>3625.9116999999997</v>
      </c>
      <c r="CS17" s="13">
        <v>206.92840000000001</v>
      </c>
      <c r="CT17" s="13">
        <v>3418.9832999999999</v>
      </c>
      <c r="CU17" s="13">
        <f t="shared" si="4"/>
        <v>2277</v>
      </c>
      <c r="CV17" s="13">
        <f t="shared" si="0"/>
        <v>2277</v>
      </c>
      <c r="CW17" s="13">
        <f t="shared" si="0"/>
        <v>0</v>
      </c>
      <c r="CX17" s="13">
        <f t="shared" si="0"/>
        <v>39173.203499999996</v>
      </c>
      <c r="CY17" s="13">
        <f t="shared" si="0"/>
        <v>2613.5337</v>
      </c>
      <c r="CZ17" s="13">
        <f t="shared" si="0"/>
        <v>36559.669800000003</v>
      </c>
      <c r="DA17" s="13">
        <f t="shared" si="5"/>
        <v>597</v>
      </c>
      <c r="DB17" s="13">
        <f t="shared" si="1"/>
        <v>597</v>
      </c>
      <c r="DC17" s="13">
        <f t="shared" si="1"/>
        <v>0</v>
      </c>
      <c r="DD17" s="13">
        <f t="shared" si="1"/>
        <v>11372.7366</v>
      </c>
      <c r="DE17" s="13">
        <f t="shared" si="1"/>
        <v>683.78520000000003</v>
      </c>
      <c r="DF17" s="13">
        <f t="shared" si="1"/>
        <v>10688.9514</v>
      </c>
      <c r="DG17" s="13">
        <f t="shared" si="6"/>
        <v>650</v>
      </c>
      <c r="DH17" s="13">
        <f t="shared" si="2"/>
        <v>650</v>
      </c>
      <c r="DI17" s="13">
        <f t="shared" si="2"/>
        <v>0</v>
      </c>
      <c r="DJ17" s="13">
        <f t="shared" si="2"/>
        <v>9896.9528000000009</v>
      </c>
      <c r="DK17" s="13">
        <f t="shared" si="2"/>
        <v>726.17810000000009</v>
      </c>
      <c r="DL17" s="13">
        <f t="shared" si="2"/>
        <v>9170.7747000000018</v>
      </c>
      <c r="DM17" s="13">
        <f t="shared" si="7"/>
        <v>355</v>
      </c>
      <c r="DN17" s="13">
        <f t="shared" si="3"/>
        <v>355</v>
      </c>
      <c r="DO17" s="13">
        <f t="shared" si="3"/>
        <v>0</v>
      </c>
      <c r="DP17" s="13">
        <f t="shared" si="3"/>
        <v>6695.3928999999998</v>
      </c>
      <c r="DQ17" s="13">
        <f t="shared" si="3"/>
        <v>412.85680000000002</v>
      </c>
      <c r="DR17" s="13">
        <f t="shared" si="3"/>
        <v>6282.5360999999994</v>
      </c>
      <c r="DS17" s="14" t="s">
        <v>71</v>
      </c>
      <c r="DT17" s="14" t="s">
        <v>72</v>
      </c>
      <c r="DU17" s="14" t="s">
        <v>73</v>
      </c>
      <c r="DV17" s="14" t="s">
        <v>63</v>
      </c>
      <c r="DW17" s="14" t="s">
        <v>64</v>
      </c>
    </row>
    <row r="18" spans="2:127" x14ac:dyDescent="0.3">
      <c r="B18" s="11" t="s">
        <v>53</v>
      </c>
      <c r="C18" s="12">
        <v>5001340236</v>
      </c>
      <c r="D18" s="11" t="s">
        <v>121</v>
      </c>
      <c r="E18" s="11" t="s">
        <v>55</v>
      </c>
      <c r="F18" s="11" t="s">
        <v>122</v>
      </c>
      <c r="G18" s="11" t="s">
        <v>123</v>
      </c>
      <c r="H18" s="11" t="s">
        <v>124</v>
      </c>
      <c r="I18" s="11">
        <v>87106</v>
      </c>
      <c r="J18" s="11" t="s">
        <v>59</v>
      </c>
      <c r="K18" s="11"/>
      <c r="L18" s="11"/>
      <c r="M18" s="11"/>
      <c r="N18" s="11"/>
      <c r="O18" s="13">
        <v>99</v>
      </c>
      <c r="P18" s="13">
        <v>99</v>
      </c>
      <c r="Q18" s="13">
        <v>0</v>
      </c>
      <c r="R18" s="13">
        <v>11238.4563</v>
      </c>
      <c r="S18" s="13">
        <v>1055.5637999999999</v>
      </c>
      <c r="T18" s="13">
        <v>10182.8925</v>
      </c>
      <c r="U18" s="13">
        <v>9</v>
      </c>
      <c r="V18" s="13">
        <v>9</v>
      </c>
      <c r="W18" s="13">
        <v>0</v>
      </c>
      <c r="X18" s="13">
        <v>935.68100000000004</v>
      </c>
      <c r="Y18" s="13">
        <v>71.677999999999997</v>
      </c>
      <c r="Z18" s="13">
        <v>864.00300000000004</v>
      </c>
      <c r="AA18" s="13">
        <v>9</v>
      </c>
      <c r="AB18" s="13">
        <v>9</v>
      </c>
      <c r="AC18" s="13">
        <v>0</v>
      </c>
      <c r="AD18" s="13">
        <v>1372.5039999999999</v>
      </c>
      <c r="AE18" s="13">
        <v>76.499499999999998</v>
      </c>
      <c r="AF18" s="13">
        <v>1296.0045</v>
      </c>
      <c r="AG18" s="13">
        <v>9</v>
      </c>
      <c r="AH18" s="13">
        <v>9</v>
      </c>
      <c r="AI18" s="13">
        <v>0</v>
      </c>
      <c r="AJ18" s="13">
        <v>755.35900000000004</v>
      </c>
      <c r="AK18" s="13">
        <v>76.499499999999998</v>
      </c>
      <c r="AL18" s="13">
        <v>678.85950000000003</v>
      </c>
      <c r="AM18" s="13">
        <v>9</v>
      </c>
      <c r="AN18" s="13">
        <v>9</v>
      </c>
      <c r="AO18" s="13">
        <v>0</v>
      </c>
      <c r="AP18" s="13">
        <v>812.25199999999995</v>
      </c>
      <c r="AQ18" s="13">
        <v>71.677999999999997</v>
      </c>
      <c r="AR18" s="13">
        <v>740.57399999999996</v>
      </c>
      <c r="AS18" s="13">
        <v>0</v>
      </c>
      <c r="AT18" s="13">
        <v>0</v>
      </c>
      <c r="AU18" s="13">
        <v>0</v>
      </c>
      <c r="AV18" s="13">
        <v>1145.5745000000002</v>
      </c>
      <c r="AW18" s="13">
        <v>96.427999999999997</v>
      </c>
      <c r="AX18" s="13">
        <v>1049.1465000000001</v>
      </c>
      <c r="AY18" s="13">
        <v>9</v>
      </c>
      <c r="AZ18" s="13">
        <v>9</v>
      </c>
      <c r="BA18" s="13">
        <v>0</v>
      </c>
      <c r="BB18" s="13">
        <v>772.71529999999996</v>
      </c>
      <c r="BC18" s="13">
        <v>155.5703</v>
      </c>
      <c r="BD18" s="13">
        <v>617.14499999999998</v>
      </c>
      <c r="BE18" s="13">
        <v>9</v>
      </c>
      <c r="BF18" s="13">
        <v>9</v>
      </c>
      <c r="BG18" s="13">
        <v>0</v>
      </c>
      <c r="BH18" s="13">
        <v>750.53750000000002</v>
      </c>
      <c r="BI18" s="13">
        <v>71.677999999999997</v>
      </c>
      <c r="BJ18" s="13">
        <v>678.85950000000003</v>
      </c>
      <c r="BK18" s="13">
        <v>9</v>
      </c>
      <c r="BL18" s="13">
        <v>9</v>
      </c>
      <c r="BM18" s="13">
        <v>0</v>
      </c>
      <c r="BN18" s="13">
        <v>940.50250000000005</v>
      </c>
      <c r="BO18" s="13">
        <v>76.499499999999998</v>
      </c>
      <c r="BP18" s="13">
        <v>864.00300000000004</v>
      </c>
      <c r="BQ18" s="13">
        <v>0</v>
      </c>
      <c r="BR18" s="13">
        <v>0</v>
      </c>
      <c r="BS18" s="13">
        <v>0</v>
      </c>
      <c r="BT18" s="13">
        <v>679.82299999999998</v>
      </c>
      <c r="BU18" s="13">
        <v>62.677999999999997</v>
      </c>
      <c r="BV18" s="13">
        <v>617.14499999999998</v>
      </c>
      <c r="BW18" s="13">
        <v>9</v>
      </c>
      <c r="BX18" s="13">
        <v>9</v>
      </c>
      <c r="BY18" s="13">
        <v>0</v>
      </c>
      <c r="BZ18" s="13">
        <v>631.93000000000006</v>
      </c>
      <c r="CA18" s="13">
        <v>76.499499999999998</v>
      </c>
      <c r="CB18" s="13">
        <v>555.43050000000005</v>
      </c>
      <c r="CC18" s="13">
        <v>9</v>
      </c>
      <c r="CD18" s="13">
        <v>9</v>
      </c>
      <c r="CE18" s="13">
        <v>0</v>
      </c>
      <c r="CF18" s="13">
        <v>879.75149999999996</v>
      </c>
      <c r="CG18" s="13">
        <v>139.17750000000001</v>
      </c>
      <c r="CH18" s="13">
        <v>740.57399999999996</v>
      </c>
      <c r="CI18" s="13">
        <v>9</v>
      </c>
      <c r="CJ18" s="13">
        <v>9</v>
      </c>
      <c r="CK18" s="13">
        <v>0</v>
      </c>
      <c r="CL18" s="13">
        <v>707.14499999999998</v>
      </c>
      <c r="CM18" s="13">
        <v>28.285499999999999</v>
      </c>
      <c r="CN18" s="13">
        <v>678.85950000000003</v>
      </c>
      <c r="CO18" s="13">
        <v>9</v>
      </c>
      <c r="CP18" s="13">
        <v>9</v>
      </c>
      <c r="CQ18" s="13">
        <v>0</v>
      </c>
      <c r="CR18" s="13">
        <v>854.68100000000004</v>
      </c>
      <c r="CS18" s="13">
        <v>52.392499999999998</v>
      </c>
      <c r="CT18" s="13">
        <v>802.2885</v>
      </c>
      <c r="CU18" s="13">
        <f t="shared" si="4"/>
        <v>90</v>
      </c>
      <c r="CV18" s="13">
        <f t="shared" si="0"/>
        <v>90</v>
      </c>
      <c r="CW18" s="13">
        <f t="shared" si="0"/>
        <v>0</v>
      </c>
      <c r="CX18" s="13">
        <f t="shared" si="0"/>
        <v>10302.775300000003</v>
      </c>
      <c r="CY18" s="13">
        <f t="shared" si="0"/>
        <v>983.88580000000002</v>
      </c>
      <c r="CZ18" s="13">
        <f t="shared" si="0"/>
        <v>9318.8894999999993</v>
      </c>
      <c r="DA18" s="13">
        <f t="shared" si="5"/>
        <v>27</v>
      </c>
      <c r="DB18" s="13">
        <f t="shared" si="1"/>
        <v>27</v>
      </c>
      <c r="DC18" s="13">
        <f t="shared" si="1"/>
        <v>0</v>
      </c>
      <c r="DD18" s="13">
        <f t="shared" si="1"/>
        <v>2441.5774999999999</v>
      </c>
      <c r="DE18" s="13">
        <f t="shared" si="1"/>
        <v>219.85550000000001</v>
      </c>
      <c r="DF18" s="13">
        <f t="shared" si="1"/>
        <v>2221.7220000000002</v>
      </c>
      <c r="DG18" s="13">
        <f t="shared" si="6"/>
        <v>18</v>
      </c>
      <c r="DH18" s="13">
        <f t="shared" si="2"/>
        <v>18</v>
      </c>
      <c r="DI18" s="13">
        <f t="shared" si="2"/>
        <v>0</v>
      </c>
      <c r="DJ18" s="13">
        <f t="shared" si="2"/>
        <v>2252.2555000000002</v>
      </c>
      <c r="DK18" s="13">
        <f t="shared" si="2"/>
        <v>215.67700000000002</v>
      </c>
      <c r="DL18" s="13">
        <f t="shared" si="2"/>
        <v>2036.5785000000001</v>
      </c>
      <c r="DM18" s="13">
        <f t="shared" si="7"/>
        <v>18</v>
      </c>
      <c r="DN18" s="13">
        <f t="shared" si="3"/>
        <v>18</v>
      </c>
      <c r="DO18" s="13">
        <f t="shared" si="3"/>
        <v>0</v>
      </c>
      <c r="DP18" s="13">
        <f t="shared" si="3"/>
        <v>1561.826</v>
      </c>
      <c r="DQ18" s="13">
        <f t="shared" si="3"/>
        <v>80.677999999999997</v>
      </c>
      <c r="DR18" s="13">
        <f t="shared" si="3"/>
        <v>1481.1480000000001</v>
      </c>
      <c r="DS18" s="14" t="s">
        <v>60</v>
      </c>
      <c r="DT18" s="14" t="s">
        <v>125</v>
      </c>
      <c r="DU18" s="14" t="s">
        <v>113</v>
      </c>
      <c r="DV18" s="14" t="s">
        <v>82</v>
      </c>
      <c r="DW18" s="14" t="s">
        <v>126</v>
      </c>
    </row>
    <row r="19" spans="2:127" x14ac:dyDescent="0.3">
      <c r="B19" s="11" t="s">
        <v>75</v>
      </c>
      <c r="C19" s="12">
        <v>5001340346</v>
      </c>
      <c r="D19" s="11" t="s">
        <v>127</v>
      </c>
      <c r="E19" s="11" t="s">
        <v>55</v>
      </c>
      <c r="F19" s="11" t="s">
        <v>128</v>
      </c>
      <c r="G19" s="11" t="s">
        <v>129</v>
      </c>
      <c r="H19" s="11" t="s">
        <v>104</v>
      </c>
      <c r="I19" s="11">
        <v>33916</v>
      </c>
      <c r="J19" s="11" t="s">
        <v>70</v>
      </c>
      <c r="K19" s="11"/>
      <c r="L19" s="11"/>
      <c r="M19" s="11"/>
      <c r="N19" s="11"/>
      <c r="O19" s="13">
        <v>13005</v>
      </c>
      <c r="P19" s="13">
        <v>13005</v>
      </c>
      <c r="Q19" s="13">
        <v>0</v>
      </c>
      <c r="R19" s="13">
        <v>456410.26919999998</v>
      </c>
      <c r="S19" s="13">
        <v>21767.388599999998</v>
      </c>
      <c r="T19" s="13">
        <v>434642.88059999997</v>
      </c>
      <c r="U19" s="13">
        <v>779</v>
      </c>
      <c r="V19" s="13">
        <v>779</v>
      </c>
      <c r="W19" s="13">
        <v>0</v>
      </c>
      <c r="X19" s="13">
        <v>24279.1008</v>
      </c>
      <c r="Y19" s="13">
        <v>1592.8506</v>
      </c>
      <c r="Z19" s="13">
        <v>22686.250199999999</v>
      </c>
      <c r="AA19" s="13">
        <v>1251</v>
      </c>
      <c r="AB19" s="13">
        <v>1251</v>
      </c>
      <c r="AC19" s="13">
        <v>0</v>
      </c>
      <c r="AD19" s="13">
        <v>46998.791700000002</v>
      </c>
      <c r="AE19" s="13">
        <v>2070.6356999999998</v>
      </c>
      <c r="AF19" s="13">
        <v>44928.156000000003</v>
      </c>
      <c r="AG19" s="13">
        <v>650</v>
      </c>
      <c r="AH19" s="13">
        <v>650</v>
      </c>
      <c r="AI19" s="13">
        <v>0</v>
      </c>
      <c r="AJ19" s="13">
        <v>23705.754499999999</v>
      </c>
      <c r="AK19" s="13">
        <v>1587.2777000000001</v>
      </c>
      <c r="AL19" s="13">
        <v>22118.4768</v>
      </c>
      <c r="AM19" s="13">
        <v>686</v>
      </c>
      <c r="AN19" s="13">
        <v>686</v>
      </c>
      <c r="AO19" s="13">
        <v>0</v>
      </c>
      <c r="AP19" s="13">
        <v>23325.763200000001</v>
      </c>
      <c r="AQ19" s="13">
        <v>1367.7440999999999</v>
      </c>
      <c r="AR19" s="13">
        <v>21958.019100000001</v>
      </c>
      <c r="AS19" s="13">
        <v>1560</v>
      </c>
      <c r="AT19" s="13">
        <v>1560</v>
      </c>
      <c r="AU19" s="13">
        <v>0</v>
      </c>
      <c r="AV19" s="13">
        <v>58932.296000000002</v>
      </c>
      <c r="AW19" s="13">
        <v>2401.8139999999999</v>
      </c>
      <c r="AX19" s="13">
        <v>56530.482000000004</v>
      </c>
      <c r="AY19" s="13">
        <v>725</v>
      </c>
      <c r="AZ19" s="13">
        <v>725</v>
      </c>
      <c r="BA19" s="13">
        <v>0</v>
      </c>
      <c r="BB19" s="13">
        <v>26962.525300000001</v>
      </c>
      <c r="BC19" s="13">
        <v>1425.0652</v>
      </c>
      <c r="BD19" s="13">
        <v>25537.4601</v>
      </c>
      <c r="BE19" s="13">
        <v>699</v>
      </c>
      <c r="BF19" s="13">
        <v>699</v>
      </c>
      <c r="BG19" s="13">
        <v>0</v>
      </c>
      <c r="BH19" s="13">
        <v>28625.189600000002</v>
      </c>
      <c r="BI19" s="13">
        <v>1310.3519000000001</v>
      </c>
      <c r="BJ19" s="13">
        <v>27314.8377</v>
      </c>
      <c r="BK19" s="13">
        <v>1599</v>
      </c>
      <c r="BL19" s="13">
        <v>1599</v>
      </c>
      <c r="BM19" s="13">
        <v>0</v>
      </c>
      <c r="BN19" s="13">
        <v>60013.3079</v>
      </c>
      <c r="BO19" s="13">
        <v>2347.2790999999997</v>
      </c>
      <c r="BP19" s="13">
        <v>57666.0288</v>
      </c>
      <c r="BQ19" s="13">
        <v>844</v>
      </c>
      <c r="BR19" s="13">
        <v>844</v>
      </c>
      <c r="BS19" s="13">
        <v>0</v>
      </c>
      <c r="BT19" s="13">
        <v>26842.3832</v>
      </c>
      <c r="BU19" s="13">
        <v>1428.3521000000001</v>
      </c>
      <c r="BV19" s="13">
        <v>25414.0311</v>
      </c>
      <c r="BW19" s="13">
        <v>954</v>
      </c>
      <c r="BX19" s="13">
        <v>954</v>
      </c>
      <c r="BY19" s="13">
        <v>0</v>
      </c>
      <c r="BZ19" s="13">
        <v>25649.243200000001</v>
      </c>
      <c r="CA19" s="13">
        <v>1506.5308</v>
      </c>
      <c r="CB19" s="13">
        <v>24142.7124</v>
      </c>
      <c r="CC19" s="13">
        <v>1874</v>
      </c>
      <c r="CD19" s="13">
        <v>1874</v>
      </c>
      <c r="CE19" s="13">
        <v>0</v>
      </c>
      <c r="CF19" s="13">
        <v>61560.2071</v>
      </c>
      <c r="CG19" s="13">
        <v>2474.7447999999999</v>
      </c>
      <c r="CH19" s="13">
        <v>59085.462299999999</v>
      </c>
      <c r="CI19" s="13">
        <v>741</v>
      </c>
      <c r="CJ19" s="13">
        <v>741</v>
      </c>
      <c r="CK19" s="13">
        <v>0</v>
      </c>
      <c r="CL19" s="13">
        <v>24379.190699999999</v>
      </c>
      <c r="CM19" s="13">
        <v>1211.5673999999999</v>
      </c>
      <c r="CN19" s="13">
        <v>23167.623299999999</v>
      </c>
      <c r="CO19" s="13">
        <v>643</v>
      </c>
      <c r="CP19" s="13">
        <v>643</v>
      </c>
      <c r="CQ19" s="13">
        <v>0</v>
      </c>
      <c r="CR19" s="13">
        <v>25136.516000000003</v>
      </c>
      <c r="CS19" s="13">
        <v>1043.1752000000001</v>
      </c>
      <c r="CT19" s="13">
        <v>24093.340800000002</v>
      </c>
      <c r="CU19" s="13">
        <f t="shared" si="4"/>
        <v>12226</v>
      </c>
      <c r="CV19" s="13">
        <f t="shared" si="0"/>
        <v>12226</v>
      </c>
      <c r="CW19" s="13">
        <f t="shared" si="0"/>
        <v>0</v>
      </c>
      <c r="CX19" s="13">
        <f t="shared" si="0"/>
        <v>432131.16840000002</v>
      </c>
      <c r="CY19" s="13">
        <f t="shared" si="0"/>
        <v>20174.538</v>
      </c>
      <c r="CZ19" s="13">
        <f t="shared" si="0"/>
        <v>411956.63040000002</v>
      </c>
      <c r="DA19" s="13">
        <f t="shared" si="5"/>
        <v>3258</v>
      </c>
      <c r="DB19" s="13">
        <f t="shared" si="1"/>
        <v>3258</v>
      </c>
      <c r="DC19" s="13">
        <f t="shared" si="1"/>
        <v>0</v>
      </c>
      <c r="DD19" s="13">
        <f t="shared" si="1"/>
        <v>111075.91380000001</v>
      </c>
      <c r="DE19" s="13">
        <f t="shared" si="1"/>
        <v>4729.4874</v>
      </c>
      <c r="DF19" s="13">
        <f t="shared" si="1"/>
        <v>106346.4264</v>
      </c>
      <c r="DG19" s="13">
        <f t="shared" si="6"/>
        <v>3397</v>
      </c>
      <c r="DH19" s="13">
        <f t="shared" si="2"/>
        <v>3397</v>
      </c>
      <c r="DI19" s="13">
        <f t="shared" si="2"/>
        <v>0</v>
      </c>
      <c r="DJ19" s="13">
        <f t="shared" si="2"/>
        <v>112504.93429999999</v>
      </c>
      <c r="DK19" s="13">
        <f t="shared" si="2"/>
        <v>5282.1620000000003</v>
      </c>
      <c r="DL19" s="13">
        <f t="shared" si="2"/>
        <v>107222.7723</v>
      </c>
      <c r="DM19" s="13">
        <f t="shared" si="7"/>
        <v>1384</v>
      </c>
      <c r="DN19" s="13">
        <f t="shared" si="3"/>
        <v>1384</v>
      </c>
      <c r="DO19" s="13">
        <f t="shared" si="3"/>
        <v>0</v>
      </c>
      <c r="DP19" s="13">
        <f t="shared" si="3"/>
        <v>49515.706700000002</v>
      </c>
      <c r="DQ19" s="13">
        <f t="shared" si="3"/>
        <v>2254.7426</v>
      </c>
      <c r="DR19" s="13">
        <f t="shared" si="3"/>
        <v>47260.964099999997</v>
      </c>
      <c r="DS19" s="14" t="s">
        <v>71</v>
      </c>
      <c r="DT19" s="14" t="s">
        <v>81</v>
      </c>
      <c r="DU19" s="14" t="s">
        <v>73</v>
      </c>
      <c r="DV19" s="14" t="s">
        <v>63</v>
      </c>
      <c r="DW19" s="14" t="s">
        <v>74</v>
      </c>
    </row>
    <row r="20" spans="2:127" x14ac:dyDescent="0.3">
      <c r="B20" s="11" t="s">
        <v>75</v>
      </c>
      <c r="C20" s="12">
        <v>5001340414</v>
      </c>
      <c r="D20" s="11" t="s">
        <v>130</v>
      </c>
      <c r="E20" s="11" t="s">
        <v>55</v>
      </c>
      <c r="F20" s="11" t="s">
        <v>131</v>
      </c>
      <c r="G20" s="11" t="s">
        <v>132</v>
      </c>
      <c r="H20" s="11" t="s">
        <v>133</v>
      </c>
      <c r="I20" s="11">
        <v>39202</v>
      </c>
      <c r="J20" s="11" t="s">
        <v>109</v>
      </c>
      <c r="K20" s="11"/>
      <c r="L20" s="11"/>
      <c r="M20" s="11"/>
      <c r="N20" s="11"/>
      <c r="O20" s="13">
        <v>4922</v>
      </c>
      <c r="P20" s="13">
        <v>4922</v>
      </c>
      <c r="Q20" s="13">
        <v>0</v>
      </c>
      <c r="R20" s="13">
        <v>22633.0946</v>
      </c>
      <c r="S20" s="13">
        <v>5106.1765999999998</v>
      </c>
      <c r="T20" s="13">
        <v>17526.918000000001</v>
      </c>
      <c r="U20" s="13">
        <v>398</v>
      </c>
      <c r="V20" s="13">
        <v>398</v>
      </c>
      <c r="W20" s="13">
        <v>0</v>
      </c>
      <c r="X20" s="13">
        <v>1786.5758000000001</v>
      </c>
      <c r="Y20" s="13">
        <v>428.85680000000002</v>
      </c>
      <c r="Z20" s="13">
        <v>1357.7190000000001</v>
      </c>
      <c r="AA20" s="13">
        <v>436</v>
      </c>
      <c r="AB20" s="13">
        <v>436</v>
      </c>
      <c r="AC20" s="13">
        <v>0</v>
      </c>
      <c r="AD20" s="13">
        <v>1796.8045</v>
      </c>
      <c r="AE20" s="13">
        <v>451.42840000000001</v>
      </c>
      <c r="AF20" s="13">
        <v>1345.3761</v>
      </c>
      <c r="AG20" s="13">
        <v>380</v>
      </c>
      <c r="AH20" s="13">
        <v>380</v>
      </c>
      <c r="AI20" s="13">
        <v>0</v>
      </c>
      <c r="AJ20" s="13">
        <v>1333.4888000000001</v>
      </c>
      <c r="AK20" s="13">
        <v>395.42840000000001</v>
      </c>
      <c r="AL20" s="13">
        <v>938.06039999999996</v>
      </c>
      <c r="AM20" s="13">
        <v>399</v>
      </c>
      <c r="AN20" s="13">
        <v>399</v>
      </c>
      <c r="AO20" s="13">
        <v>0</v>
      </c>
      <c r="AP20" s="13">
        <v>1524.3252000000002</v>
      </c>
      <c r="AQ20" s="13">
        <v>413.46420000000001</v>
      </c>
      <c r="AR20" s="13">
        <v>1110.8610000000001</v>
      </c>
      <c r="AS20" s="13">
        <v>395</v>
      </c>
      <c r="AT20" s="13">
        <v>395</v>
      </c>
      <c r="AU20" s="13">
        <v>0</v>
      </c>
      <c r="AV20" s="13">
        <v>1802.0906</v>
      </c>
      <c r="AW20" s="13">
        <v>395</v>
      </c>
      <c r="AX20" s="13">
        <v>1407.0906</v>
      </c>
      <c r="AY20" s="13">
        <v>334</v>
      </c>
      <c r="AZ20" s="13">
        <v>334</v>
      </c>
      <c r="BA20" s="13">
        <v>0</v>
      </c>
      <c r="BB20" s="13">
        <v>1374.6606999999999</v>
      </c>
      <c r="BC20" s="13">
        <v>337.8571</v>
      </c>
      <c r="BD20" s="13">
        <v>1036.8036</v>
      </c>
      <c r="BE20" s="13">
        <v>325</v>
      </c>
      <c r="BF20" s="13">
        <v>325</v>
      </c>
      <c r="BG20" s="13">
        <v>0</v>
      </c>
      <c r="BH20" s="13">
        <v>1460.5468000000001</v>
      </c>
      <c r="BI20" s="13">
        <v>325</v>
      </c>
      <c r="BJ20" s="13">
        <v>1135.5468000000001</v>
      </c>
      <c r="BK20" s="13">
        <v>398</v>
      </c>
      <c r="BL20" s="13">
        <v>398</v>
      </c>
      <c r="BM20" s="13">
        <v>0</v>
      </c>
      <c r="BN20" s="13">
        <v>2190.0344</v>
      </c>
      <c r="BO20" s="13">
        <v>424.99970000000002</v>
      </c>
      <c r="BP20" s="13">
        <v>1765.0346999999999</v>
      </c>
      <c r="BQ20" s="13">
        <v>354</v>
      </c>
      <c r="BR20" s="13">
        <v>354</v>
      </c>
      <c r="BS20" s="13">
        <v>0</v>
      </c>
      <c r="BT20" s="13">
        <v>1699.3761</v>
      </c>
      <c r="BU20" s="13">
        <v>354</v>
      </c>
      <c r="BV20" s="13">
        <v>1345.3761</v>
      </c>
      <c r="BW20" s="13">
        <v>343</v>
      </c>
      <c r="BX20" s="13">
        <v>343</v>
      </c>
      <c r="BY20" s="13">
        <v>0</v>
      </c>
      <c r="BZ20" s="13">
        <v>1716.1474000000001</v>
      </c>
      <c r="CA20" s="13">
        <v>358.42840000000001</v>
      </c>
      <c r="CB20" s="13">
        <v>1357.7190000000001</v>
      </c>
      <c r="CC20" s="13">
        <v>375</v>
      </c>
      <c r="CD20" s="13">
        <v>375</v>
      </c>
      <c r="CE20" s="13">
        <v>0</v>
      </c>
      <c r="CF20" s="13">
        <v>2072.1482999999998</v>
      </c>
      <c r="CG20" s="13">
        <v>405.85680000000002</v>
      </c>
      <c r="CH20" s="13">
        <v>1666.2915</v>
      </c>
      <c r="CI20" s="13">
        <v>385</v>
      </c>
      <c r="CJ20" s="13">
        <v>385</v>
      </c>
      <c r="CK20" s="13">
        <v>0</v>
      </c>
      <c r="CL20" s="13">
        <v>2042.0341000000001</v>
      </c>
      <c r="CM20" s="13">
        <v>400.42840000000001</v>
      </c>
      <c r="CN20" s="13">
        <v>1641.6057000000001</v>
      </c>
      <c r="CO20" s="13">
        <v>400</v>
      </c>
      <c r="CP20" s="13">
        <v>400</v>
      </c>
      <c r="CQ20" s="13">
        <v>0</v>
      </c>
      <c r="CR20" s="13">
        <v>1834.8619000000001</v>
      </c>
      <c r="CS20" s="13">
        <v>415.42840000000001</v>
      </c>
      <c r="CT20" s="13">
        <v>1419.4335000000001</v>
      </c>
      <c r="CU20" s="13">
        <f t="shared" si="4"/>
        <v>4524</v>
      </c>
      <c r="CV20" s="13">
        <f t="shared" si="0"/>
        <v>4524</v>
      </c>
      <c r="CW20" s="13">
        <f t="shared" si="0"/>
        <v>0</v>
      </c>
      <c r="CX20" s="13">
        <f t="shared" si="0"/>
        <v>20846.518800000002</v>
      </c>
      <c r="CY20" s="13">
        <f t="shared" si="0"/>
        <v>4677.3198000000002</v>
      </c>
      <c r="CZ20" s="13">
        <f t="shared" si="0"/>
        <v>16169.198999999997</v>
      </c>
      <c r="DA20" s="13">
        <f t="shared" si="5"/>
        <v>1160</v>
      </c>
      <c r="DB20" s="13">
        <f t="shared" si="1"/>
        <v>1160</v>
      </c>
      <c r="DC20" s="13">
        <f t="shared" si="1"/>
        <v>0</v>
      </c>
      <c r="DD20" s="13">
        <f t="shared" si="1"/>
        <v>5949.0442999999996</v>
      </c>
      <c r="DE20" s="13">
        <f t="shared" si="1"/>
        <v>1221.7136</v>
      </c>
      <c r="DF20" s="13">
        <f t="shared" si="1"/>
        <v>4727.3307000000004</v>
      </c>
      <c r="DG20" s="13">
        <f t="shared" si="6"/>
        <v>1095</v>
      </c>
      <c r="DH20" s="13">
        <f t="shared" si="2"/>
        <v>1095</v>
      </c>
      <c r="DI20" s="13">
        <f t="shared" si="2"/>
        <v>0</v>
      </c>
      <c r="DJ20" s="13">
        <f t="shared" si="2"/>
        <v>5605.5578999999998</v>
      </c>
      <c r="DK20" s="13">
        <f t="shared" si="2"/>
        <v>1137.4281000000001</v>
      </c>
      <c r="DL20" s="13">
        <f t="shared" si="2"/>
        <v>4468.1297999999997</v>
      </c>
      <c r="DM20" s="13">
        <f t="shared" si="7"/>
        <v>785</v>
      </c>
      <c r="DN20" s="13">
        <f t="shared" si="3"/>
        <v>785</v>
      </c>
      <c r="DO20" s="13">
        <f t="shared" si="3"/>
        <v>0</v>
      </c>
      <c r="DP20" s="13">
        <f t="shared" si="3"/>
        <v>3876.8960000000002</v>
      </c>
      <c r="DQ20" s="13">
        <f t="shared" si="3"/>
        <v>815.85680000000002</v>
      </c>
      <c r="DR20" s="13">
        <f t="shared" si="3"/>
        <v>3061.0392000000002</v>
      </c>
      <c r="DS20" s="14" t="s">
        <v>81</v>
      </c>
      <c r="DT20" s="14" t="s">
        <v>92</v>
      </c>
      <c r="DU20" s="14" t="s">
        <v>73</v>
      </c>
      <c r="DV20" s="14" t="s">
        <v>63</v>
      </c>
      <c r="DW20" s="14" t="s">
        <v>74</v>
      </c>
    </row>
    <row r="21" spans="2:127" x14ac:dyDescent="0.3">
      <c r="B21" s="11" t="s">
        <v>83</v>
      </c>
      <c r="C21" s="12">
        <v>5001340417</v>
      </c>
      <c r="D21" s="11" t="s">
        <v>134</v>
      </c>
      <c r="E21" s="11" t="s">
        <v>55</v>
      </c>
      <c r="F21" s="11" t="s">
        <v>135</v>
      </c>
      <c r="G21" s="11" t="s">
        <v>136</v>
      </c>
      <c r="H21" s="11" t="s">
        <v>137</v>
      </c>
      <c r="I21" s="11">
        <v>77024</v>
      </c>
      <c r="J21" s="11" t="s">
        <v>70</v>
      </c>
      <c r="K21" s="11"/>
      <c r="L21" s="11"/>
      <c r="M21" s="11"/>
      <c r="N21" s="11"/>
      <c r="O21" s="13">
        <v>966</v>
      </c>
      <c r="P21" s="13">
        <v>966</v>
      </c>
      <c r="Q21" s="13">
        <v>0</v>
      </c>
      <c r="R21" s="13">
        <v>28649.179800000002</v>
      </c>
      <c r="S21" s="13">
        <v>2260.0596</v>
      </c>
      <c r="T21" s="13">
        <v>26389.120200000001</v>
      </c>
      <c r="U21" s="13">
        <v>62</v>
      </c>
      <c r="V21" s="13">
        <v>62</v>
      </c>
      <c r="W21" s="13">
        <v>0</v>
      </c>
      <c r="X21" s="13">
        <v>1922.6902</v>
      </c>
      <c r="Y21" s="13">
        <v>231.71289999999999</v>
      </c>
      <c r="Z21" s="13">
        <v>1690.9773</v>
      </c>
      <c r="AA21" s="13">
        <v>52</v>
      </c>
      <c r="AB21" s="13">
        <v>52</v>
      </c>
      <c r="AC21" s="13">
        <v>0</v>
      </c>
      <c r="AD21" s="13">
        <v>2260.9915000000001</v>
      </c>
      <c r="AE21" s="13">
        <v>212.0701</v>
      </c>
      <c r="AF21" s="13">
        <v>2048.9214000000002</v>
      </c>
      <c r="AG21" s="13">
        <v>55</v>
      </c>
      <c r="AH21" s="13">
        <v>55</v>
      </c>
      <c r="AI21" s="13">
        <v>0</v>
      </c>
      <c r="AJ21" s="13">
        <v>2022.5336</v>
      </c>
      <c r="AK21" s="13">
        <v>195.78440000000001</v>
      </c>
      <c r="AL21" s="13">
        <v>1826.7492</v>
      </c>
      <c r="AM21" s="13">
        <v>82</v>
      </c>
      <c r="AN21" s="13">
        <v>82</v>
      </c>
      <c r="AO21" s="13">
        <v>0</v>
      </c>
      <c r="AP21" s="13">
        <v>2043.1698000000001</v>
      </c>
      <c r="AQ21" s="13">
        <v>179.39190000000002</v>
      </c>
      <c r="AR21" s="13">
        <v>1863.7779</v>
      </c>
      <c r="AS21" s="13">
        <v>82</v>
      </c>
      <c r="AT21" s="13">
        <v>82</v>
      </c>
      <c r="AU21" s="13">
        <v>0</v>
      </c>
      <c r="AV21" s="13">
        <v>2752.8861999999999</v>
      </c>
      <c r="AW21" s="13">
        <v>210.24879999999999</v>
      </c>
      <c r="AX21" s="13">
        <v>2542.6374000000001</v>
      </c>
      <c r="AY21" s="13">
        <v>49</v>
      </c>
      <c r="AZ21" s="13">
        <v>49</v>
      </c>
      <c r="BA21" s="13">
        <v>0</v>
      </c>
      <c r="BB21" s="13">
        <v>1396.4965</v>
      </c>
      <c r="BC21" s="13">
        <v>125.1778</v>
      </c>
      <c r="BD21" s="13">
        <v>1271.3187</v>
      </c>
      <c r="BE21" s="13">
        <v>55</v>
      </c>
      <c r="BF21" s="13">
        <v>55</v>
      </c>
      <c r="BG21" s="13">
        <v>0</v>
      </c>
      <c r="BH21" s="13">
        <v>1798.8199000000002</v>
      </c>
      <c r="BI21" s="13">
        <v>95.49969999999999</v>
      </c>
      <c r="BJ21" s="13">
        <v>1703.3202000000001</v>
      </c>
      <c r="BK21" s="13">
        <v>80</v>
      </c>
      <c r="BL21" s="13">
        <v>80</v>
      </c>
      <c r="BM21" s="13">
        <v>0</v>
      </c>
      <c r="BN21" s="13">
        <v>2229.3987999999999</v>
      </c>
      <c r="BO21" s="13">
        <v>192.8203</v>
      </c>
      <c r="BP21" s="13">
        <v>2036.5785000000001</v>
      </c>
      <c r="BQ21" s="13">
        <v>75</v>
      </c>
      <c r="BR21" s="13">
        <v>75</v>
      </c>
      <c r="BS21" s="13">
        <v>0</v>
      </c>
      <c r="BT21" s="13">
        <v>2199.9065000000001</v>
      </c>
      <c r="BU21" s="13">
        <v>138.6422</v>
      </c>
      <c r="BV21" s="13">
        <v>2061.2642999999998</v>
      </c>
      <c r="BW21" s="13">
        <v>145</v>
      </c>
      <c r="BX21" s="13">
        <v>145</v>
      </c>
      <c r="BY21" s="13">
        <v>0</v>
      </c>
      <c r="BZ21" s="13">
        <v>2731.0291999999999</v>
      </c>
      <c r="CA21" s="13">
        <v>250.1063</v>
      </c>
      <c r="CB21" s="13">
        <v>2480.9229</v>
      </c>
      <c r="CC21" s="13">
        <v>113</v>
      </c>
      <c r="CD21" s="13">
        <v>113</v>
      </c>
      <c r="CE21" s="13">
        <v>0</v>
      </c>
      <c r="CF21" s="13">
        <v>2711.3719000000001</v>
      </c>
      <c r="CG21" s="13">
        <v>218.1061</v>
      </c>
      <c r="CH21" s="13">
        <v>2493.2658000000001</v>
      </c>
      <c r="CI21" s="13">
        <v>66</v>
      </c>
      <c r="CJ21" s="13">
        <v>66</v>
      </c>
      <c r="CK21" s="13">
        <v>0</v>
      </c>
      <c r="CL21" s="13">
        <v>2291.1929</v>
      </c>
      <c r="CM21" s="13">
        <v>106.4996</v>
      </c>
      <c r="CN21" s="13">
        <v>2184.6932999999999</v>
      </c>
      <c r="CO21" s="13">
        <v>50</v>
      </c>
      <c r="CP21" s="13">
        <v>50</v>
      </c>
      <c r="CQ21" s="13">
        <v>0</v>
      </c>
      <c r="CR21" s="13">
        <v>2288.6927999999998</v>
      </c>
      <c r="CS21" s="13">
        <v>103.9995</v>
      </c>
      <c r="CT21" s="13">
        <v>2184.6932999999999</v>
      </c>
      <c r="CU21" s="13">
        <f t="shared" si="4"/>
        <v>904</v>
      </c>
      <c r="CV21" s="13">
        <f t="shared" si="0"/>
        <v>904</v>
      </c>
      <c r="CW21" s="13">
        <f t="shared" si="0"/>
        <v>0</v>
      </c>
      <c r="CX21" s="13">
        <f t="shared" si="0"/>
        <v>26726.489600000004</v>
      </c>
      <c r="CY21" s="13">
        <f t="shared" si="0"/>
        <v>2028.3466999999998</v>
      </c>
      <c r="CZ21" s="13">
        <f t="shared" si="0"/>
        <v>24698.142899999999</v>
      </c>
      <c r="DA21" s="13">
        <f t="shared" si="5"/>
        <v>229</v>
      </c>
      <c r="DB21" s="13">
        <f t="shared" si="1"/>
        <v>229</v>
      </c>
      <c r="DC21" s="13">
        <f t="shared" si="1"/>
        <v>0</v>
      </c>
      <c r="DD21" s="13">
        <f t="shared" si="1"/>
        <v>7291.2575999999999</v>
      </c>
      <c r="DE21" s="13">
        <f t="shared" si="1"/>
        <v>428.60520000000002</v>
      </c>
      <c r="DF21" s="13">
        <f t="shared" si="1"/>
        <v>6862.6523999999999</v>
      </c>
      <c r="DG21" s="13">
        <f t="shared" si="6"/>
        <v>300</v>
      </c>
      <c r="DH21" s="13">
        <f t="shared" si="2"/>
        <v>300</v>
      </c>
      <c r="DI21" s="13">
        <f t="shared" si="2"/>
        <v>0</v>
      </c>
      <c r="DJ21" s="13">
        <f t="shared" si="2"/>
        <v>7160.3344999999999</v>
      </c>
      <c r="DK21" s="13">
        <f t="shared" si="2"/>
        <v>581.56880000000001</v>
      </c>
      <c r="DL21" s="13">
        <f t="shared" si="2"/>
        <v>6578.7656999999999</v>
      </c>
      <c r="DM21" s="13">
        <f t="shared" si="7"/>
        <v>116</v>
      </c>
      <c r="DN21" s="13">
        <f t="shared" si="3"/>
        <v>116</v>
      </c>
      <c r="DO21" s="13">
        <f t="shared" si="3"/>
        <v>0</v>
      </c>
      <c r="DP21" s="13">
        <f t="shared" si="3"/>
        <v>4579.8856999999998</v>
      </c>
      <c r="DQ21" s="13">
        <f t="shared" si="3"/>
        <v>210.4991</v>
      </c>
      <c r="DR21" s="13">
        <f t="shared" si="3"/>
        <v>4369.3865999999998</v>
      </c>
      <c r="DS21" s="14" t="s">
        <v>138</v>
      </c>
      <c r="DT21" s="14" t="s">
        <v>81</v>
      </c>
      <c r="DU21" s="14" t="s">
        <v>73</v>
      </c>
      <c r="DV21" s="14" t="s">
        <v>63</v>
      </c>
      <c r="DW21" s="14" t="s">
        <v>74</v>
      </c>
    </row>
    <row r="22" spans="2:127" x14ac:dyDescent="0.3">
      <c r="B22" s="11" t="s">
        <v>83</v>
      </c>
      <c r="C22" s="12">
        <v>5001340421</v>
      </c>
      <c r="D22" s="11" t="s">
        <v>139</v>
      </c>
      <c r="E22" s="11" t="s">
        <v>55</v>
      </c>
      <c r="F22" s="11" t="s">
        <v>140</v>
      </c>
      <c r="G22" s="11" t="s">
        <v>141</v>
      </c>
      <c r="H22" s="11" t="s">
        <v>137</v>
      </c>
      <c r="I22" s="11">
        <v>78229</v>
      </c>
      <c r="J22" s="11" t="s">
        <v>109</v>
      </c>
      <c r="K22" s="11"/>
      <c r="L22" s="11"/>
      <c r="M22" s="11"/>
      <c r="N22" s="11"/>
      <c r="O22" s="13">
        <v>360</v>
      </c>
      <c r="P22" s="13">
        <v>360</v>
      </c>
      <c r="Q22" s="13">
        <v>0</v>
      </c>
      <c r="R22" s="13">
        <v>17831.1741</v>
      </c>
      <c r="S22" s="13">
        <v>1057.173</v>
      </c>
      <c r="T22" s="13">
        <v>16774.001100000001</v>
      </c>
      <c r="U22" s="13">
        <v>48</v>
      </c>
      <c r="V22" s="13">
        <v>48</v>
      </c>
      <c r="W22" s="13">
        <v>0</v>
      </c>
      <c r="X22" s="13">
        <v>1276.1175000000001</v>
      </c>
      <c r="Y22" s="13">
        <v>140.57069999999999</v>
      </c>
      <c r="Z22" s="13">
        <v>1135.5468000000001</v>
      </c>
      <c r="AA22" s="13">
        <v>54</v>
      </c>
      <c r="AB22" s="13">
        <v>54</v>
      </c>
      <c r="AC22" s="13">
        <v>0</v>
      </c>
      <c r="AD22" s="13">
        <v>1425.4109999999998</v>
      </c>
      <c r="AE22" s="13">
        <v>141.74939999999998</v>
      </c>
      <c r="AF22" s="13">
        <v>1283.6615999999999</v>
      </c>
      <c r="AG22" s="13">
        <v>36</v>
      </c>
      <c r="AH22" s="13">
        <v>36</v>
      </c>
      <c r="AI22" s="13">
        <v>0</v>
      </c>
      <c r="AJ22" s="13">
        <v>1175.5959</v>
      </c>
      <c r="AK22" s="13">
        <v>114.1065</v>
      </c>
      <c r="AL22" s="13">
        <v>1061.4893999999999</v>
      </c>
      <c r="AM22" s="13">
        <v>24</v>
      </c>
      <c r="AN22" s="13">
        <v>24</v>
      </c>
      <c r="AO22" s="13">
        <v>0</v>
      </c>
      <c r="AP22" s="13">
        <v>1164.5601999999999</v>
      </c>
      <c r="AQ22" s="13">
        <v>103.07080000000001</v>
      </c>
      <c r="AR22" s="13">
        <v>1061.4893999999999</v>
      </c>
      <c r="AS22" s="13">
        <v>30</v>
      </c>
      <c r="AT22" s="13">
        <v>30</v>
      </c>
      <c r="AU22" s="13">
        <v>0</v>
      </c>
      <c r="AV22" s="13">
        <v>1391.3827000000001</v>
      </c>
      <c r="AW22" s="13">
        <v>83.035300000000007</v>
      </c>
      <c r="AX22" s="13">
        <v>1308.3474000000001</v>
      </c>
      <c r="AY22" s="13">
        <v>54</v>
      </c>
      <c r="AZ22" s="13">
        <v>54</v>
      </c>
      <c r="BA22" s="13">
        <v>0</v>
      </c>
      <c r="BB22" s="13">
        <v>1450.4828</v>
      </c>
      <c r="BC22" s="13">
        <v>105.10669999999999</v>
      </c>
      <c r="BD22" s="13">
        <v>1345.3761</v>
      </c>
      <c r="BE22" s="13">
        <v>29</v>
      </c>
      <c r="BF22" s="13">
        <v>29</v>
      </c>
      <c r="BG22" s="13">
        <v>0</v>
      </c>
      <c r="BH22" s="13">
        <v>1166.0893000000001</v>
      </c>
      <c r="BI22" s="13">
        <v>67.571200000000005</v>
      </c>
      <c r="BJ22" s="13">
        <v>1098.5181</v>
      </c>
      <c r="BK22" s="13">
        <v>24</v>
      </c>
      <c r="BL22" s="13">
        <v>24</v>
      </c>
      <c r="BM22" s="13">
        <v>0</v>
      </c>
      <c r="BN22" s="13">
        <v>1617.9692</v>
      </c>
      <c r="BO22" s="13">
        <v>75.106699999999989</v>
      </c>
      <c r="BP22" s="13">
        <v>1542.8625</v>
      </c>
      <c r="BQ22" s="13">
        <v>5</v>
      </c>
      <c r="BR22" s="13">
        <v>5</v>
      </c>
      <c r="BS22" s="13">
        <v>0</v>
      </c>
      <c r="BT22" s="13">
        <v>1214.9896000000001</v>
      </c>
      <c r="BU22" s="13">
        <v>30.071200000000001</v>
      </c>
      <c r="BV22" s="13">
        <v>1184.9184</v>
      </c>
      <c r="BW22" s="13">
        <v>12</v>
      </c>
      <c r="BX22" s="13">
        <v>12</v>
      </c>
      <c r="BY22" s="13">
        <v>0</v>
      </c>
      <c r="BZ22" s="13">
        <v>1320.7328</v>
      </c>
      <c r="CA22" s="13">
        <v>37.071200000000005</v>
      </c>
      <c r="CB22" s="13">
        <v>1283.6615999999999</v>
      </c>
      <c r="CC22" s="13">
        <v>23</v>
      </c>
      <c r="CD22" s="13">
        <v>23</v>
      </c>
      <c r="CE22" s="13">
        <v>0</v>
      </c>
      <c r="CF22" s="13">
        <v>1690.8339000000001</v>
      </c>
      <c r="CG22" s="13">
        <v>61.571100000000001</v>
      </c>
      <c r="CH22" s="13">
        <v>1629.2628</v>
      </c>
      <c r="CI22" s="13">
        <v>7</v>
      </c>
      <c r="CJ22" s="13">
        <v>7</v>
      </c>
      <c r="CK22" s="13">
        <v>0</v>
      </c>
      <c r="CL22" s="13">
        <v>1415.6329999999998</v>
      </c>
      <c r="CM22" s="13">
        <v>45.571100000000001</v>
      </c>
      <c r="CN22" s="13">
        <v>1370.0618999999999</v>
      </c>
      <c r="CO22" s="13">
        <v>14</v>
      </c>
      <c r="CP22" s="13">
        <v>14</v>
      </c>
      <c r="CQ22" s="13">
        <v>0</v>
      </c>
      <c r="CR22" s="13">
        <v>1521.3762000000002</v>
      </c>
      <c r="CS22" s="13">
        <v>52.571100000000001</v>
      </c>
      <c r="CT22" s="13">
        <v>1468.8051</v>
      </c>
      <c r="CU22" s="13">
        <f t="shared" si="4"/>
        <v>312</v>
      </c>
      <c r="CV22" s="13">
        <f t="shared" si="4"/>
        <v>312</v>
      </c>
      <c r="CW22" s="13">
        <f t="shared" si="4"/>
        <v>0</v>
      </c>
      <c r="CX22" s="13">
        <f t="shared" si="4"/>
        <v>16555.0566</v>
      </c>
      <c r="CY22" s="13">
        <f t="shared" si="4"/>
        <v>916.6022999999999</v>
      </c>
      <c r="CZ22" s="13">
        <f t="shared" si="4"/>
        <v>15638.454300000001</v>
      </c>
      <c r="DA22" s="13">
        <f t="shared" si="5"/>
        <v>44</v>
      </c>
      <c r="DB22" s="13">
        <f t="shared" si="5"/>
        <v>44</v>
      </c>
      <c r="DC22" s="13">
        <f t="shared" si="5"/>
        <v>0</v>
      </c>
      <c r="DD22" s="13">
        <f t="shared" si="5"/>
        <v>4627.8431</v>
      </c>
      <c r="DE22" s="13">
        <f t="shared" si="5"/>
        <v>159.7133</v>
      </c>
      <c r="DF22" s="13">
        <f t="shared" si="5"/>
        <v>4468.1298000000006</v>
      </c>
      <c r="DG22" s="13">
        <f t="shared" si="6"/>
        <v>41</v>
      </c>
      <c r="DH22" s="13">
        <f t="shared" si="6"/>
        <v>41</v>
      </c>
      <c r="DI22" s="13">
        <f t="shared" si="6"/>
        <v>0</v>
      </c>
      <c r="DJ22" s="13">
        <f t="shared" si="6"/>
        <v>4153.6916000000001</v>
      </c>
      <c r="DK22" s="13">
        <f t="shared" si="6"/>
        <v>142.2491</v>
      </c>
      <c r="DL22" s="13">
        <f t="shared" si="6"/>
        <v>4011.4424999999997</v>
      </c>
      <c r="DM22" s="13">
        <f t="shared" si="7"/>
        <v>21</v>
      </c>
      <c r="DN22" s="13">
        <f t="shared" si="7"/>
        <v>21</v>
      </c>
      <c r="DO22" s="13">
        <f t="shared" si="7"/>
        <v>0</v>
      </c>
      <c r="DP22" s="13">
        <f t="shared" si="7"/>
        <v>2937.0092</v>
      </c>
      <c r="DQ22" s="13">
        <f t="shared" si="7"/>
        <v>98.142200000000003</v>
      </c>
      <c r="DR22" s="13">
        <f t="shared" si="7"/>
        <v>2838.8670000000002</v>
      </c>
      <c r="DS22" s="14" t="s">
        <v>60</v>
      </c>
      <c r="DT22" s="14" t="s">
        <v>81</v>
      </c>
      <c r="DU22" s="14" t="s">
        <v>73</v>
      </c>
      <c r="DV22" s="14" t="s">
        <v>63</v>
      </c>
      <c r="DW22" s="14" t="s">
        <v>74</v>
      </c>
    </row>
    <row r="23" spans="2:127" x14ac:dyDescent="0.3">
      <c r="B23" s="11" t="s">
        <v>75</v>
      </c>
      <c r="C23" s="12">
        <v>5001340508</v>
      </c>
      <c r="D23" s="11" t="s">
        <v>142</v>
      </c>
      <c r="E23" s="11" t="s">
        <v>55</v>
      </c>
      <c r="F23" s="11" t="s">
        <v>143</v>
      </c>
      <c r="G23" s="11" t="s">
        <v>144</v>
      </c>
      <c r="H23" s="11" t="s">
        <v>145</v>
      </c>
      <c r="I23" s="11">
        <v>35805</v>
      </c>
      <c r="J23" s="11" t="s">
        <v>70</v>
      </c>
      <c r="K23" s="11"/>
      <c r="L23" s="11"/>
      <c r="M23" s="11"/>
      <c r="N23" s="11"/>
      <c r="O23" s="13">
        <v>2304</v>
      </c>
      <c r="P23" s="13">
        <v>2304</v>
      </c>
      <c r="Q23" s="13">
        <v>0</v>
      </c>
      <c r="R23" s="13">
        <v>59765.590799999998</v>
      </c>
      <c r="S23" s="13">
        <v>3210.4229999999998</v>
      </c>
      <c r="T23" s="13">
        <v>56555.167800000003</v>
      </c>
      <c r="U23" s="13">
        <v>148</v>
      </c>
      <c r="V23" s="13">
        <v>148</v>
      </c>
      <c r="W23" s="13">
        <v>0</v>
      </c>
      <c r="X23" s="13">
        <v>3890.4047999999998</v>
      </c>
      <c r="Y23" s="13">
        <v>249.24930000000001</v>
      </c>
      <c r="Z23" s="13">
        <v>3641.1554999999998</v>
      </c>
      <c r="AA23" s="13">
        <v>214</v>
      </c>
      <c r="AB23" s="13">
        <v>214</v>
      </c>
      <c r="AC23" s="13">
        <v>0</v>
      </c>
      <c r="AD23" s="13">
        <v>5086.1657999999998</v>
      </c>
      <c r="AE23" s="13">
        <v>309.46350000000001</v>
      </c>
      <c r="AF23" s="13">
        <v>4776.7022999999999</v>
      </c>
      <c r="AG23" s="13">
        <v>133</v>
      </c>
      <c r="AH23" s="13">
        <v>133</v>
      </c>
      <c r="AI23" s="13">
        <v>0</v>
      </c>
      <c r="AJ23" s="13">
        <v>3823.1410999999998</v>
      </c>
      <c r="AK23" s="13">
        <v>169.64269999999999</v>
      </c>
      <c r="AL23" s="13">
        <v>3653.4983999999999</v>
      </c>
      <c r="AM23" s="13">
        <v>94</v>
      </c>
      <c r="AN23" s="13">
        <v>94</v>
      </c>
      <c r="AO23" s="13">
        <v>0</v>
      </c>
      <c r="AP23" s="13">
        <v>3808.248</v>
      </c>
      <c r="AQ23" s="13">
        <v>154.74959999999999</v>
      </c>
      <c r="AR23" s="13">
        <v>3653.4983999999999</v>
      </c>
      <c r="AS23" s="13">
        <v>144</v>
      </c>
      <c r="AT23" s="13">
        <v>144</v>
      </c>
      <c r="AU23" s="13">
        <v>0</v>
      </c>
      <c r="AV23" s="13">
        <v>5882.0974999999999</v>
      </c>
      <c r="AW23" s="13">
        <v>241.3922</v>
      </c>
      <c r="AX23" s="13">
        <v>5640.7052999999996</v>
      </c>
      <c r="AY23" s="13">
        <v>209</v>
      </c>
      <c r="AZ23" s="13">
        <v>209</v>
      </c>
      <c r="BA23" s="13">
        <v>0</v>
      </c>
      <c r="BB23" s="13">
        <v>5073.0663000000004</v>
      </c>
      <c r="BC23" s="13">
        <v>271.6782</v>
      </c>
      <c r="BD23" s="13">
        <v>4801.3881000000001</v>
      </c>
      <c r="BE23" s="13">
        <v>154</v>
      </c>
      <c r="BF23" s="13">
        <v>154</v>
      </c>
      <c r="BG23" s="13">
        <v>0</v>
      </c>
      <c r="BH23" s="13">
        <v>3819.8407000000002</v>
      </c>
      <c r="BI23" s="13">
        <v>215.7139</v>
      </c>
      <c r="BJ23" s="13">
        <v>3604.1268</v>
      </c>
      <c r="BK23" s="13">
        <v>245</v>
      </c>
      <c r="BL23" s="13">
        <v>245</v>
      </c>
      <c r="BM23" s="13">
        <v>0</v>
      </c>
      <c r="BN23" s="13">
        <v>5858.7042000000001</v>
      </c>
      <c r="BO23" s="13">
        <v>341.42790000000002</v>
      </c>
      <c r="BP23" s="13">
        <v>5517.2763000000004</v>
      </c>
      <c r="BQ23" s="13">
        <v>156</v>
      </c>
      <c r="BR23" s="13">
        <v>156</v>
      </c>
      <c r="BS23" s="13">
        <v>0</v>
      </c>
      <c r="BT23" s="13">
        <v>4006.7915999999996</v>
      </c>
      <c r="BU23" s="13">
        <v>205.17840000000001</v>
      </c>
      <c r="BV23" s="13">
        <v>3801.6131999999998</v>
      </c>
      <c r="BW23" s="13">
        <v>230</v>
      </c>
      <c r="BX23" s="13">
        <v>230</v>
      </c>
      <c r="BY23" s="13">
        <v>0</v>
      </c>
      <c r="BZ23" s="13">
        <v>4675.9501</v>
      </c>
      <c r="CA23" s="13">
        <v>331.24930000000001</v>
      </c>
      <c r="CB23" s="13">
        <v>4344.7007999999996</v>
      </c>
      <c r="CC23" s="13">
        <v>249</v>
      </c>
      <c r="CD23" s="13">
        <v>249</v>
      </c>
      <c r="CE23" s="13">
        <v>0</v>
      </c>
      <c r="CF23" s="13">
        <v>4994.6516000000001</v>
      </c>
      <c r="CG23" s="13">
        <v>329.03539999999998</v>
      </c>
      <c r="CH23" s="13">
        <v>4665.6162000000004</v>
      </c>
      <c r="CI23" s="13">
        <v>168</v>
      </c>
      <c r="CJ23" s="13">
        <v>168</v>
      </c>
      <c r="CK23" s="13">
        <v>0</v>
      </c>
      <c r="CL23" s="13">
        <v>4535.0721000000003</v>
      </c>
      <c r="CM23" s="13">
        <v>202.71420000000001</v>
      </c>
      <c r="CN23" s="13">
        <v>4332.3579</v>
      </c>
      <c r="CO23" s="13">
        <v>160</v>
      </c>
      <c r="CP23" s="13">
        <v>160</v>
      </c>
      <c r="CQ23" s="13">
        <v>0</v>
      </c>
      <c r="CR23" s="13">
        <v>4311.4569999999994</v>
      </c>
      <c r="CS23" s="13">
        <v>188.92840000000001</v>
      </c>
      <c r="CT23" s="13">
        <v>4122.5285999999996</v>
      </c>
      <c r="CU23" s="13">
        <f t="shared" si="4"/>
        <v>2156</v>
      </c>
      <c r="CV23" s="13">
        <f t="shared" si="4"/>
        <v>2156</v>
      </c>
      <c r="CW23" s="13">
        <f t="shared" si="4"/>
        <v>0</v>
      </c>
      <c r="CX23" s="13">
        <f t="shared" si="4"/>
        <v>55875.185999999994</v>
      </c>
      <c r="CY23" s="13">
        <f t="shared" si="4"/>
        <v>2961.1737000000003</v>
      </c>
      <c r="CZ23" s="13">
        <f t="shared" si="4"/>
        <v>52914.012299999995</v>
      </c>
      <c r="DA23" s="13">
        <f t="shared" si="5"/>
        <v>577</v>
      </c>
      <c r="DB23" s="13">
        <f t="shared" si="5"/>
        <v>577</v>
      </c>
      <c r="DC23" s="13">
        <f t="shared" si="5"/>
        <v>0</v>
      </c>
      <c r="DD23" s="13">
        <f t="shared" si="5"/>
        <v>13841.180700000001</v>
      </c>
      <c r="DE23" s="13">
        <f t="shared" si="5"/>
        <v>720.678</v>
      </c>
      <c r="DF23" s="13">
        <f t="shared" si="5"/>
        <v>13120.502699999999</v>
      </c>
      <c r="DG23" s="13">
        <f t="shared" si="6"/>
        <v>631</v>
      </c>
      <c r="DH23" s="13">
        <f t="shared" si="6"/>
        <v>631</v>
      </c>
      <c r="DI23" s="13">
        <f t="shared" si="6"/>
        <v>0</v>
      </c>
      <c r="DJ23" s="13">
        <f t="shared" si="6"/>
        <v>14541.445900000001</v>
      </c>
      <c r="DK23" s="13">
        <f t="shared" si="6"/>
        <v>877.85560000000009</v>
      </c>
      <c r="DL23" s="13">
        <f t="shared" si="6"/>
        <v>13663.5903</v>
      </c>
      <c r="DM23" s="13">
        <f t="shared" si="7"/>
        <v>328</v>
      </c>
      <c r="DN23" s="13">
        <f t="shared" si="7"/>
        <v>328</v>
      </c>
      <c r="DO23" s="13">
        <f t="shared" si="7"/>
        <v>0</v>
      </c>
      <c r="DP23" s="13">
        <f t="shared" si="7"/>
        <v>8846.5290999999997</v>
      </c>
      <c r="DQ23" s="13">
        <f t="shared" si="7"/>
        <v>391.64260000000002</v>
      </c>
      <c r="DR23" s="13">
        <f t="shared" si="7"/>
        <v>8454.8865000000005</v>
      </c>
      <c r="DS23" s="14" t="s">
        <v>71</v>
      </c>
      <c r="DT23" s="14" t="s">
        <v>125</v>
      </c>
      <c r="DU23" s="14" t="s">
        <v>146</v>
      </c>
      <c r="DV23" s="14" t="s">
        <v>63</v>
      </c>
      <c r="DW23" s="14" t="s">
        <v>74</v>
      </c>
    </row>
    <row r="24" spans="2:127" x14ac:dyDescent="0.3">
      <c r="B24" s="11" t="s">
        <v>65</v>
      </c>
      <c r="C24" s="12">
        <v>5001340509</v>
      </c>
      <c r="D24" s="11" t="s">
        <v>147</v>
      </c>
      <c r="E24" s="11" t="s">
        <v>55</v>
      </c>
      <c r="F24" s="11" t="s">
        <v>148</v>
      </c>
      <c r="G24" s="11" t="s">
        <v>149</v>
      </c>
      <c r="H24" s="11" t="s">
        <v>150</v>
      </c>
      <c r="I24" s="11">
        <v>46825</v>
      </c>
      <c r="J24" s="11" t="s">
        <v>109</v>
      </c>
      <c r="K24" s="11"/>
      <c r="L24" s="11"/>
      <c r="M24" s="11"/>
      <c r="N24" s="11"/>
      <c r="O24" s="13">
        <v>377</v>
      </c>
      <c r="P24" s="13">
        <v>377</v>
      </c>
      <c r="Q24" s="13">
        <v>0</v>
      </c>
      <c r="R24" s="13">
        <v>18674.7657</v>
      </c>
      <c r="S24" s="13">
        <v>863.96100000000001</v>
      </c>
      <c r="T24" s="13">
        <v>17810.804700000001</v>
      </c>
      <c r="U24" s="13">
        <v>49</v>
      </c>
      <c r="V24" s="13">
        <v>49</v>
      </c>
      <c r="W24" s="13">
        <v>0</v>
      </c>
      <c r="X24" s="13">
        <v>1595.5262</v>
      </c>
      <c r="Y24" s="13">
        <v>102.03530000000001</v>
      </c>
      <c r="Z24" s="13">
        <v>1493.4909</v>
      </c>
      <c r="AA24" s="13">
        <v>34</v>
      </c>
      <c r="AB24" s="13">
        <v>34</v>
      </c>
      <c r="AC24" s="13">
        <v>0</v>
      </c>
      <c r="AD24" s="13">
        <v>1578.4050000000002</v>
      </c>
      <c r="AE24" s="13">
        <v>72.571200000000005</v>
      </c>
      <c r="AF24" s="13">
        <v>1505.8338000000001</v>
      </c>
      <c r="AG24" s="13">
        <v>29</v>
      </c>
      <c r="AH24" s="13">
        <v>29</v>
      </c>
      <c r="AI24" s="13">
        <v>0</v>
      </c>
      <c r="AJ24" s="13">
        <v>1492.7903000000001</v>
      </c>
      <c r="AK24" s="13">
        <v>73.356799999999993</v>
      </c>
      <c r="AL24" s="13">
        <v>1419.4335000000001</v>
      </c>
      <c r="AM24" s="13">
        <v>36</v>
      </c>
      <c r="AN24" s="13">
        <v>36</v>
      </c>
      <c r="AO24" s="13">
        <v>0</v>
      </c>
      <c r="AP24" s="13">
        <v>1552.4402</v>
      </c>
      <c r="AQ24" s="13">
        <v>108.32089999999999</v>
      </c>
      <c r="AR24" s="13">
        <v>1444.1193000000001</v>
      </c>
      <c r="AS24" s="13">
        <v>25</v>
      </c>
      <c r="AT24" s="13">
        <v>25</v>
      </c>
      <c r="AU24" s="13">
        <v>0</v>
      </c>
      <c r="AV24" s="13">
        <v>1711.9268000000002</v>
      </c>
      <c r="AW24" s="13">
        <v>70.321100000000001</v>
      </c>
      <c r="AX24" s="13">
        <v>1641.6057000000001</v>
      </c>
      <c r="AY24" s="13">
        <v>36</v>
      </c>
      <c r="AZ24" s="13">
        <v>36</v>
      </c>
      <c r="BA24" s="13">
        <v>0</v>
      </c>
      <c r="BB24" s="13">
        <v>1251.5826</v>
      </c>
      <c r="BC24" s="13">
        <v>54.321300000000001</v>
      </c>
      <c r="BD24" s="13">
        <v>1197.2612999999999</v>
      </c>
      <c r="BE24" s="13">
        <v>25</v>
      </c>
      <c r="BF24" s="13">
        <v>25</v>
      </c>
      <c r="BG24" s="13">
        <v>0</v>
      </c>
      <c r="BH24" s="13">
        <v>1366.9045000000001</v>
      </c>
      <c r="BI24" s="13">
        <v>46.214200000000005</v>
      </c>
      <c r="BJ24" s="13">
        <v>1320.6903</v>
      </c>
      <c r="BK24" s="13">
        <v>33</v>
      </c>
      <c r="BL24" s="13">
        <v>33</v>
      </c>
      <c r="BM24" s="13">
        <v>0</v>
      </c>
      <c r="BN24" s="13">
        <v>1461.4974999999999</v>
      </c>
      <c r="BO24" s="13">
        <v>66.749799999999993</v>
      </c>
      <c r="BP24" s="13">
        <v>1394.7476999999999</v>
      </c>
      <c r="BQ24" s="13">
        <v>34</v>
      </c>
      <c r="BR24" s="13">
        <v>34</v>
      </c>
      <c r="BS24" s="13">
        <v>0</v>
      </c>
      <c r="BT24" s="13">
        <v>1183.4322000000002</v>
      </c>
      <c r="BU24" s="13">
        <v>72.571200000000005</v>
      </c>
      <c r="BV24" s="13">
        <v>1110.8610000000001</v>
      </c>
      <c r="BW24" s="13">
        <v>34</v>
      </c>
      <c r="BX24" s="13">
        <v>34</v>
      </c>
      <c r="BY24" s="13">
        <v>0</v>
      </c>
      <c r="BZ24" s="13">
        <v>1179.3823</v>
      </c>
      <c r="CA24" s="13">
        <v>56.178399999999996</v>
      </c>
      <c r="CB24" s="13">
        <v>1123.2039</v>
      </c>
      <c r="CC24" s="13">
        <v>18</v>
      </c>
      <c r="CD24" s="13">
        <v>18</v>
      </c>
      <c r="CE24" s="13">
        <v>0</v>
      </c>
      <c r="CF24" s="13">
        <v>1757.9628</v>
      </c>
      <c r="CG24" s="13">
        <v>54.642600000000002</v>
      </c>
      <c r="CH24" s="13">
        <v>1703.3202000000001</v>
      </c>
      <c r="CI24" s="13">
        <v>12</v>
      </c>
      <c r="CJ24" s="13">
        <v>12</v>
      </c>
      <c r="CK24" s="13">
        <v>0</v>
      </c>
      <c r="CL24" s="13">
        <v>1233.3682999999999</v>
      </c>
      <c r="CM24" s="13">
        <v>36.106999999999999</v>
      </c>
      <c r="CN24" s="13">
        <v>1197.2612999999999</v>
      </c>
      <c r="CO24" s="13">
        <v>12</v>
      </c>
      <c r="CP24" s="13">
        <v>12</v>
      </c>
      <c r="CQ24" s="13">
        <v>0</v>
      </c>
      <c r="CR24" s="13">
        <v>1309.547</v>
      </c>
      <c r="CS24" s="13">
        <v>50.571199999999997</v>
      </c>
      <c r="CT24" s="13">
        <v>1258.9757999999999</v>
      </c>
      <c r="CU24" s="13">
        <f t="shared" si="4"/>
        <v>328</v>
      </c>
      <c r="CV24" s="13">
        <f t="shared" si="4"/>
        <v>328</v>
      </c>
      <c r="CW24" s="13">
        <f t="shared" si="4"/>
        <v>0</v>
      </c>
      <c r="CX24" s="13">
        <f t="shared" si="4"/>
        <v>17079.2395</v>
      </c>
      <c r="CY24" s="13">
        <f t="shared" si="4"/>
        <v>761.92570000000001</v>
      </c>
      <c r="CZ24" s="13">
        <f t="shared" si="4"/>
        <v>16317.313800000002</v>
      </c>
      <c r="DA24" s="13">
        <f t="shared" si="5"/>
        <v>42</v>
      </c>
      <c r="DB24" s="13">
        <f t="shared" si="5"/>
        <v>42</v>
      </c>
      <c r="DC24" s="13">
        <f t="shared" si="5"/>
        <v>0</v>
      </c>
      <c r="DD24" s="13">
        <f t="shared" si="5"/>
        <v>4300.8780999999999</v>
      </c>
      <c r="DE24" s="13">
        <f t="shared" si="5"/>
        <v>141.32079999999999</v>
      </c>
      <c r="DF24" s="13">
        <f t="shared" si="5"/>
        <v>4159.5573000000004</v>
      </c>
      <c r="DG24" s="13">
        <f t="shared" si="6"/>
        <v>101</v>
      </c>
      <c r="DH24" s="13">
        <f t="shared" si="6"/>
        <v>101</v>
      </c>
      <c r="DI24" s="13">
        <f t="shared" si="6"/>
        <v>0</v>
      </c>
      <c r="DJ24" s="13">
        <f t="shared" si="6"/>
        <v>3824.3119999999999</v>
      </c>
      <c r="DK24" s="13">
        <f t="shared" si="6"/>
        <v>195.49939999999998</v>
      </c>
      <c r="DL24" s="13">
        <f t="shared" si="6"/>
        <v>3628.8125999999997</v>
      </c>
      <c r="DM24" s="13">
        <f t="shared" si="7"/>
        <v>24</v>
      </c>
      <c r="DN24" s="13">
        <f t="shared" si="7"/>
        <v>24</v>
      </c>
      <c r="DO24" s="13">
        <f t="shared" si="7"/>
        <v>0</v>
      </c>
      <c r="DP24" s="13">
        <f t="shared" si="7"/>
        <v>2542.9152999999997</v>
      </c>
      <c r="DQ24" s="13">
        <f t="shared" si="7"/>
        <v>86.678200000000004</v>
      </c>
      <c r="DR24" s="13">
        <f t="shared" si="7"/>
        <v>2456.2370999999998</v>
      </c>
      <c r="DS24" s="14" t="s">
        <v>71</v>
      </c>
      <c r="DT24" s="14" t="s">
        <v>81</v>
      </c>
      <c r="DU24" s="14" t="s">
        <v>73</v>
      </c>
      <c r="DV24" s="14" t="s">
        <v>63</v>
      </c>
      <c r="DW24" s="14" t="s">
        <v>74</v>
      </c>
    </row>
    <row r="25" spans="2:127" x14ac:dyDescent="0.3">
      <c r="B25" s="11" t="s">
        <v>83</v>
      </c>
      <c r="C25" s="12">
        <v>5001340554</v>
      </c>
      <c r="D25" s="11" t="s">
        <v>151</v>
      </c>
      <c r="E25" s="11" t="s">
        <v>55</v>
      </c>
      <c r="F25" s="11" t="s">
        <v>152</v>
      </c>
      <c r="G25" s="11" t="s">
        <v>153</v>
      </c>
      <c r="H25" s="11" t="s">
        <v>137</v>
      </c>
      <c r="I25" s="11">
        <v>75251</v>
      </c>
      <c r="J25" s="11" t="s">
        <v>70</v>
      </c>
      <c r="K25" s="11"/>
      <c r="L25" s="11"/>
      <c r="M25" s="11"/>
      <c r="N25" s="11"/>
      <c r="O25" s="13">
        <v>13018</v>
      </c>
      <c r="P25" s="13">
        <v>13018</v>
      </c>
      <c r="Q25" s="13">
        <v>0</v>
      </c>
      <c r="R25" s="13">
        <v>450454.8946</v>
      </c>
      <c r="S25" s="13">
        <v>39436.3246</v>
      </c>
      <c r="T25" s="13">
        <v>411018.57</v>
      </c>
      <c r="U25" s="13">
        <v>1062</v>
      </c>
      <c r="V25" s="13">
        <v>1062</v>
      </c>
      <c r="W25" s="13">
        <v>0</v>
      </c>
      <c r="X25" s="13">
        <v>28995.116600000001</v>
      </c>
      <c r="Y25" s="13">
        <v>3112.0553</v>
      </c>
      <c r="Z25" s="13">
        <v>25883.061300000001</v>
      </c>
      <c r="AA25" s="13">
        <v>1833</v>
      </c>
      <c r="AB25" s="13">
        <v>1833</v>
      </c>
      <c r="AC25" s="13">
        <v>0</v>
      </c>
      <c r="AD25" s="13">
        <v>38319.1613</v>
      </c>
      <c r="AE25" s="13">
        <v>4400.8721000000005</v>
      </c>
      <c r="AF25" s="13">
        <v>33918.289199999999</v>
      </c>
      <c r="AG25" s="13">
        <v>413</v>
      </c>
      <c r="AH25" s="13">
        <v>413</v>
      </c>
      <c r="AI25" s="13">
        <v>0</v>
      </c>
      <c r="AJ25" s="13">
        <v>29403.750400000001</v>
      </c>
      <c r="AK25" s="13">
        <v>2335.7707</v>
      </c>
      <c r="AL25" s="13">
        <v>27067.9797</v>
      </c>
      <c r="AM25" s="13">
        <v>976</v>
      </c>
      <c r="AN25" s="13">
        <v>976</v>
      </c>
      <c r="AO25" s="13">
        <v>0</v>
      </c>
      <c r="AP25" s="13">
        <v>31743.3547</v>
      </c>
      <c r="AQ25" s="13">
        <v>3033.7692999999999</v>
      </c>
      <c r="AR25" s="13">
        <v>28709.5854</v>
      </c>
      <c r="AS25" s="13">
        <v>1048</v>
      </c>
      <c r="AT25" s="13">
        <v>1048</v>
      </c>
      <c r="AU25" s="13">
        <v>0</v>
      </c>
      <c r="AV25" s="13">
        <v>36919.1397</v>
      </c>
      <c r="AW25" s="13">
        <v>3506.9094</v>
      </c>
      <c r="AX25" s="13">
        <v>33412.230300000003</v>
      </c>
      <c r="AY25" s="13">
        <v>865</v>
      </c>
      <c r="AZ25" s="13">
        <v>865</v>
      </c>
      <c r="BA25" s="13">
        <v>0</v>
      </c>
      <c r="BB25" s="13">
        <v>28769.767599999999</v>
      </c>
      <c r="BC25" s="13">
        <v>2738.5915</v>
      </c>
      <c r="BD25" s="13">
        <v>26031.176100000001</v>
      </c>
      <c r="BE25" s="13">
        <v>835</v>
      </c>
      <c r="BF25" s="13">
        <v>835</v>
      </c>
      <c r="BG25" s="13">
        <v>0</v>
      </c>
      <c r="BH25" s="13">
        <v>32452.469399999998</v>
      </c>
      <c r="BI25" s="13">
        <v>3101.0531999999998</v>
      </c>
      <c r="BJ25" s="13">
        <v>29351.4162</v>
      </c>
      <c r="BK25" s="13">
        <v>3119</v>
      </c>
      <c r="BL25" s="13">
        <v>3119</v>
      </c>
      <c r="BM25" s="13">
        <v>0</v>
      </c>
      <c r="BN25" s="13">
        <v>45676.133700000006</v>
      </c>
      <c r="BO25" s="13">
        <v>5512.3371000000006</v>
      </c>
      <c r="BP25" s="13">
        <v>40163.796600000001</v>
      </c>
      <c r="BQ25" s="13">
        <v>181</v>
      </c>
      <c r="BR25" s="13">
        <v>181</v>
      </c>
      <c r="BS25" s="13">
        <v>0</v>
      </c>
      <c r="BT25" s="13">
        <v>32708.3773</v>
      </c>
      <c r="BU25" s="13">
        <v>2036.2708</v>
      </c>
      <c r="BV25" s="13">
        <v>30672.106500000002</v>
      </c>
      <c r="BW25" s="13">
        <v>373</v>
      </c>
      <c r="BX25" s="13">
        <v>373</v>
      </c>
      <c r="BY25" s="13">
        <v>0</v>
      </c>
      <c r="BZ25" s="13">
        <v>31819.2196</v>
      </c>
      <c r="CA25" s="13">
        <v>1998.7732000000001</v>
      </c>
      <c r="CB25" s="13">
        <v>29820.446400000001</v>
      </c>
      <c r="CC25" s="13">
        <v>659</v>
      </c>
      <c r="CD25" s="13">
        <v>659</v>
      </c>
      <c r="CE25" s="13">
        <v>0</v>
      </c>
      <c r="CF25" s="13">
        <v>43956.710700000003</v>
      </c>
      <c r="CG25" s="13">
        <v>2867.1966000000002</v>
      </c>
      <c r="CH25" s="13">
        <v>41089.5141</v>
      </c>
      <c r="CI25" s="13">
        <v>768</v>
      </c>
      <c r="CJ25" s="13">
        <v>768</v>
      </c>
      <c r="CK25" s="13">
        <v>0</v>
      </c>
      <c r="CL25" s="13">
        <v>33626.131200000003</v>
      </c>
      <c r="CM25" s="13">
        <v>2398.5942</v>
      </c>
      <c r="CN25" s="13">
        <v>31227.537</v>
      </c>
      <c r="CO25" s="13">
        <v>886</v>
      </c>
      <c r="CP25" s="13">
        <v>886</v>
      </c>
      <c r="CQ25" s="13">
        <v>0</v>
      </c>
      <c r="CR25" s="13">
        <v>36065.562399999995</v>
      </c>
      <c r="CS25" s="13">
        <v>2394.1311999999998</v>
      </c>
      <c r="CT25" s="13">
        <v>33671.431199999999</v>
      </c>
      <c r="CU25" s="13">
        <f t="shared" si="4"/>
        <v>11956</v>
      </c>
      <c r="CV25" s="13">
        <f t="shared" si="4"/>
        <v>11956</v>
      </c>
      <c r="CW25" s="13">
        <f t="shared" si="4"/>
        <v>0</v>
      </c>
      <c r="CX25" s="13">
        <f t="shared" si="4"/>
        <v>421459.77799999999</v>
      </c>
      <c r="CY25" s="13">
        <f t="shared" si="4"/>
        <v>36324.2693</v>
      </c>
      <c r="CZ25" s="13">
        <f t="shared" si="4"/>
        <v>385135.50870000001</v>
      </c>
      <c r="DA25" s="13">
        <f t="shared" si="5"/>
        <v>2313</v>
      </c>
      <c r="DB25" s="13">
        <f t="shared" si="5"/>
        <v>2313</v>
      </c>
      <c r="DC25" s="13">
        <f t="shared" si="5"/>
        <v>0</v>
      </c>
      <c r="DD25" s="13">
        <f t="shared" si="5"/>
        <v>113648.40429999999</v>
      </c>
      <c r="DE25" s="13">
        <f t="shared" si="5"/>
        <v>7659.9220000000005</v>
      </c>
      <c r="DF25" s="13">
        <f t="shared" si="5"/>
        <v>105988.4823</v>
      </c>
      <c r="DG25" s="13">
        <f t="shared" si="6"/>
        <v>3673</v>
      </c>
      <c r="DH25" s="13">
        <f t="shared" si="6"/>
        <v>3673</v>
      </c>
      <c r="DI25" s="13">
        <f t="shared" si="6"/>
        <v>0</v>
      </c>
      <c r="DJ25" s="13">
        <f t="shared" si="6"/>
        <v>110203.7306</v>
      </c>
      <c r="DK25" s="13">
        <f t="shared" si="6"/>
        <v>9547.3811000000005</v>
      </c>
      <c r="DL25" s="13">
        <f t="shared" si="6"/>
        <v>100656.3495</v>
      </c>
      <c r="DM25" s="13">
        <f t="shared" si="7"/>
        <v>1654</v>
      </c>
      <c r="DN25" s="13">
        <f t="shared" si="7"/>
        <v>1654</v>
      </c>
      <c r="DO25" s="13">
        <f t="shared" si="7"/>
        <v>0</v>
      </c>
      <c r="DP25" s="13">
        <f t="shared" si="7"/>
        <v>69691.693599999999</v>
      </c>
      <c r="DQ25" s="13">
        <f t="shared" si="7"/>
        <v>4792.7253999999994</v>
      </c>
      <c r="DR25" s="13">
        <f t="shared" si="7"/>
        <v>64898.968200000003</v>
      </c>
      <c r="DS25" s="14" t="s">
        <v>81</v>
      </c>
      <c r="DT25" s="14" t="s">
        <v>72</v>
      </c>
      <c r="DU25" s="14" t="s">
        <v>146</v>
      </c>
      <c r="DV25" s="14" t="s">
        <v>63</v>
      </c>
      <c r="DW25" s="14" t="s">
        <v>74</v>
      </c>
    </row>
    <row r="26" spans="2:127" x14ac:dyDescent="0.3">
      <c r="B26" s="11" t="s">
        <v>75</v>
      </c>
      <c r="C26" s="12">
        <v>5001340565</v>
      </c>
      <c r="D26" s="11" t="s">
        <v>154</v>
      </c>
      <c r="E26" s="11" t="s">
        <v>55</v>
      </c>
      <c r="F26" s="11" t="s">
        <v>155</v>
      </c>
      <c r="G26" s="11" t="s">
        <v>156</v>
      </c>
      <c r="H26" s="11" t="s">
        <v>157</v>
      </c>
      <c r="I26" s="11">
        <v>30342</v>
      </c>
      <c r="J26" s="11" t="s">
        <v>80</v>
      </c>
      <c r="K26" s="11"/>
      <c r="L26" s="11"/>
      <c r="M26" s="11"/>
      <c r="N26" s="11"/>
      <c r="O26" s="13">
        <v>1415</v>
      </c>
      <c r="P26" s="13">
        <v>1415</v>
      </c>
      <c r="Q26" s="13">
        <v>0</v>
      </c>
      <c r="R26" s="13">
        <v>96549.803499999995</v>
      </c>
      <c r="S26" s="13">
        <v>3792.91</v>
      </c>
      <c r="T26" s="13">
        <v>92756.893500000006</v>
      </c>
      <c r="U26" s="13">
        <v>105</v>
      </c>
      <c r="V26" s="13">
        <v>105</v>
      </c>
      <c r="W26" s="13">
        <v>0</v>
      </c>
      <c r="X26" s="13">
        <v>6650.5907999999999</v>
      </c>
      <c r="Y26" s="13">
        <v>417.42630000000003</v>
      </c>
      <c r="Z26" s="13">
        <v>6233.1644999999999</v>
      </c>
      <c r="AA26" s="13">
        <v>213</v>
      </c>
      <c r="AB26" s="13">
        <v>213</v>
      </c>
      <c r="AC26" s="13">
        <v>0</v>
      </c>
      <c r="AD26" s="13">
        <v>7920.5581999999995</v>
      </c>
      <c r="AE26" s="13">
        <v>576.53269999999998</v>
      </c>
      <c r="AF26" s="13">
        <v>7344.0254999999997</v>
      </c>
      <c r="AG26" s="13">
        <v>121</v>
      </c>
      <c r="AH26" s="13">
        <v>121</v>
      </c>
      <c r="AI26" s="13">
        <v>0</v>
      </c>
      <c r="AJ26" s="13">
        <v>6147.2265000000007</v>
      </c>
      <c r="AK26" s="13">
        <v>247.3203</v>
      </c>
      <c r="AL26" s="13">
        <v>5899.9062000000004</v>
      </c>
      <c r="AM26" s="13">
        <v>112</v>
      </c>
      <c r="AN26" s="13">
        <v>112</v>
      </c>
      <c r="AO26" s="13">
        <v>0</v>
      </c>
      <c r="AP26" s="13">
        <v>6032.7330000000002</v>
      </c>
      <c r="AQ26" s="13">
        <v>293.28449999999998</v>
      </c>
      <c r="AR26" s="13">
        <v>5739.4485000000004</v>
      </c>
      <c r="AS26" s="13">
        <v>178</v>
      </c>
      <c r="AT26" s="13">
        <v>178</v>
      </c>
      <c r="AU26" s="13">
        <v>0</v>
      </c>
      <c r="AV26" s="13">
        <v>9050.8073000000004</v>
      </c>
      <c r="AW26" s="13">
        <v>373.74860000000001</v>
      </c>
      <c r="AX26" s="13">
        <v>8677.0586999999996</v>
      </c>
      <c r="AY26" s="13">
        <v>92</v>
      </c>
      <c r="AZ26" s="13">
        <v>92</v>
      </c>
      <c r="BA26" s="13">
        <v>0</v>
      </c>
      <c r="BB26" s="13">
        <v>7185.6938</v>
      </c>
      <c r="BC26" s="13">
        <v>298.35559999999998</v>
      </c>
      <c r="BD26" s="13">
        <v>6887.3382000000001</v>
      </c>
      <c r="BE26" s="13">
        <v>88</v>
      </c>
      <c r="BF26" s="13">
        <v>88</v>
      </c>
      <c r="BG26" s="13">
        <v>0</v>
      </c>
      <c r="BH26" s="13">
        <v>6615.6567999999997</v>
      </c>
      <c r="BI26" s="13">
        <v>222.03460000000001</v>
      </c>
      <c r="BJ26" s="13">
        <v>6393.6221999999998</v>
      </c>
      <c r="BK26" s="13">
        <v>170</v>
      </c>
      <c r="BL26" s="13">
        <v>170</v>
      </c>
      <c r="BM26" s="13">
        <v>0</v>
      </c>
      <c r="BN26" s="13">
        <v>9632.1805999999997</v>
      </c>
      <c r="BO26" s="13">
        <v>350.31979999999999</v>
      </c>
      <c r="BP26" s="13">
        <v>9281.8608000000004</v>
      </c>
      <c r="BQ26" s="13">
        <v>158</v>
      </c>
      <c r="BR26" s="13">
        <v>158</v>
      </c>
      <c r="BS26" s="13">
        <v>0</v>
      </c>
      <c r="BT26" s="13">
        <v>7298.7514000000001</v>
      </c>
      <c r="BU26" s="13">
        <v>337.35579999999999</v>
      </c>
      <c r="BV26" s="13">
        <v>6961.3955999999998</v>
      </c>
      <c r="BW26" s="13">
        <v>86</v>
      </c>
      <c r="BX26" s="13">
        <v>86</v>
      </c>
      <c r="BY26" s="13">
        <v>0</v>
      </c>
      <c r="BZ26" s="13">
        <v>6894.6507999999994</v>
      </c>
      <c r="CA26" s="13">
        <v>217.14189999999999</v>
      </c>
      <c r="CB26" s="13">
        <v>6677.5088999999998</v>
      </c>
      <c r="CC26" s="13">
        <v>80</v>
      </c>
      <c r="CD26" s="13">
        <v>80</v>
      </c>
      <c r="CE26" s="13">
        <v>0</v>
      </c>
      <c r="CF26" s="13">
        <v>9033.6150999999991</v>
      </c>
      <c r="CG26" s="13">
        <v>220.78450000000001</v>
      </c>
      <c r="CH26" s="13">
        <v>8812.8305999999993</v>
      </c>
      <c r="CI26" s="13">
        <v>16</v>
      </c>
      <c r="CJ26" s="13">
        <v>16</v>
      </c>
      <c r="CK26" s="13">
        <v>0</v>
      </c>
      <c r="CL26" s="13">
        <v>7096.3872999999994</v>
      </c>
      <c r="CM26" s="13">
        <v>159.67750000000001</v>
      </c>
      <c r="CN26" s="13">
        <v>6936.7097999999996</v>
      </c>
      <c r="CO26" s="13">
        <v>-4</v>
      </c>
      <c r="CP26" s="13">
        <v>-4</v>
      </c>
      <c r="CQ26" s="13">
        <v>0</v>
      </c>
      <c r="CR26" s="13">
        <v>6990.9519</v>
      </c>
      <c r="CS26" s="13">
        <v>78.927899999999994</v>
      </c>
      <c r="CT26" s="13">
        <v>6912.0240000000003</v>
      </c>
      <c r="CU26" s="13">
        <f t="shared" si="4"/>
        <v>1310</v>
      </c>
      <c r="CV26" s="13">
        <f t="shared" si="4"/>
        <v>1310</v>
      </c>
      <c r="CW26" s="13">
        <f t="shared" si="4"/>
        <v>0</v>
      </c>
      <c r="CX26" s="13">
        <f t="shared" si="4"/>
        <v>89899.212699999989</v>
      </c>
      <c r="CY26" s="13">
        <f t="shared" si="4"/>
        <v>3375.4837000000002</v>
      </c>
      <c r="CZ26" s="13">
        <f t="shared" si="4"/>
        <v>86523.729000000007</v>
      </c>
      <c r="DA26" s="13">
        <f t="shared" si="5"/>
        <v>92</v>
      </c>
      <c r="DB26" s="13">
        <f t="shared" si="5"/>
        <v>92</v>
      </c>
      <c r="DC26" s="13">
        <f t="shared" si="5"/>
        <v>0</v>
      </c>
      <c r="DD26" s="13">
        <f t="shared" si="5"/>
        <v>23120.954299999998</v>
      </c>
      <c r="DE26" s="13">
        <f t="shared" si="5"/>
        <v>459.38990000000001</v>
      </c>
      <c r="DF26" s="13">
        <f t="shared" si="5"/>
        <v>22661.564399999999</v>
      </c>
      <c r="DG26" s="13">
        <f t="shared" si="6"/>
        <v>414</v>
      </c>
      <c r="DH26" s="13">
        <f t="shared" si="6"/>
        <v>414</v>
      </c>
      <c r="DI26" s="13">
        <f t="shared" si="6"/>
        <v>0</v>
      </c>
      <c r="DJ26" s="13">
        <f t="shared" si="6"/>
        <v>23825.5828</v>
      </c>
      <c r="DK26" s="13">
        <f t="shared" si="6"/>
        <v>904.8175</v>
      </c>
      <c r="DL26" s="13">
        <f t="shared" si="6"/>
        <v>22920.765299999999</v>
      </c>
      <c r="DM26" s="13">
        <f t="shared" si="7"/>
        <v>12</v>
      </c>
      <c r="DN26" s="13">
        <f t="shared" si="7"/>
        <v>12</v>
      </c>
      <c r="DO26" s="13">
        <f t="shared" si="7"/>
        <v>0</v>
      </c>
      <c r="DP26" s="13">
        <f t="shared" si="7"/>
        <v>14087.339199999999</v>
      </c>
      <c r="DQ26" s="13">
        <f t="shared" si="7"/>
        <v>238.6054</v>
      </c>
      <c r="DR26" s="13">
        <f t="shared" si="7"/>
        <v>13848.7338</v>
      </c>
      <c r="DS26" s="14" t="s">
        <v>60</v>
      </c>
      <c r="DT26" s="14" t="s">
        <v>72</v>
      </c>
      <c r="DU26" s="14" t="s">
        <v>73</v>
      </c>
      <c r="DV26" s="14" t="s">
        <v>63</v>
      </c>
      <c r="DW26" s="14" t="s">
        <v>64</v>
      </c>
    </row>
    <row r="27" spans="2:127" x14ac:dyDescent="0.3">
      <c r="B27" s="11" t="s">
        <v>53</v>
      </c>
      <c r="C27" s="12">
        <v>5001340809</v>
      </c>
      <c r="D27" s="11" t="s">
        <v>158</v>
      </c>
      <c r="E27" s="11" t="s">
        <v>55</v>
      </c>
      <c r="F27" s="11" t="s">
        <v>159</v>
      </c>
      <c r="G27" s="11" t="s">
        <v>160</v>
      </c>
      <c r="H27" s="11" t="s">
        <v>161</v>
      </c>
      <c r="I27" s="11">
        <v>89014</v>
      </c>
      <c r="J27" s="11" t="s">
        <v>70</v>
      </c>
      <c r="K27" s="11"/>
      <c r="L27" s="11"/>
      <c r="M27" s="11"/>
      <c r="N27" s="11"/>
      <c r="O27" s="13">
        <v>543</v>
      </c>
      <c r="P27" s="13">
        <v>543</v>
      </c>
      <c r="Q27" s="13">
        <v>0</v>
      </c>
      <c r="R27" s="13">
        <v>40110.278299999998</v>
      </c>
      <c r="S27" s="13">
        <v>1267.172</v>
      </c>
      <c r="T27" s="13">
        <v>38843.106299999999</v>
      </c>
      <c r="U27" s="13">
        <v>10</v>
      </c>
      <c r="V27" s="13">
        <v>10</v>
      </c>
      <c r="W27" s="13">
        <v>0</v>
      </c>
      <c r="X27" s="13">
        <v>2805.0867999999996</v>
      </c>
      <c r="Y27" s="13">
        <v>126.67749999999999</v>
      </c>
      <c r="Z27" s="13">
        <v>2678.4092999999998</v>
      </c>
      <c r="AA27" s="13">
        <v>34</v>
      </c>
      <c r="AB27" s="13">
        <v>34</v>
      </c>
      <c r="AC27" s="13">
        <v>0</v>
      </c>
      <c r="AD27" s="13">
        <v>5630.5397000000003</v>
      </c>
      <c r="AE27" s="13">
        <v>125.6063</v>
      </c>
      <c r="AF27" s="13">
        <v>5504.9333999999999</v>
      </c>
      <c r="AG27" s="13">
        <v>40</v>
      </c>
      <c r="AH27" s="13">
        <v>40</v>
      </c>
      <c r="AI27" s="13">
        <v>0</v>
      </c>
      <c r="AJ27" s="13">
        <v>677.20140000000004</v>
      </c>
      <c r="AK27" s="13">
        <v>109.428</v>
      </c>
      <c r="AL27" s="13">
        <v>567.77340000000004</v>
      </c>
      <c r="AM27" s="13">
        <v>32</v>
      </c>
      <c r="AN27" s="13">
        <v>32</v>
      </c>
      <c r="AO27" s="13">
        <v>0</v>
      </c>
      <c r="AP27" s="13">
        <v>2533.9435000000003</v>
      </c>
      <c r="AQ27" s="13">
        <v>102.3922</v>
      </c>
      <c r="AR27" s="13">
        <v>2431.5513000000001</v>
      </c>
      <c r="AS27" s="13">
        <v>56</v>
      </c>
      <c r="AT27" s="13">
        <v>56</v>
      </c>
      <c r="AU27" s="13">
        <v>0</v>
      </c>
      <c r="AV27" s="13">
        <v>2988.5953</v>
      </c>
      <c r="AW27" s="13">
        <v>100.35669999999999</v>
      </c>
      <c r="AX27" s="13">
        <v>2888.2386000000001</v>
      </c>
      <c r="AY27" s="13">
        <v>41</v>
      </c>
      <c r="AZ27" s="13">
        <v>41</v>
      </c>
      <c r="BA27" s="13">
        <v>0</v>
      </c>
      <c r="BB27" s="13">
        <v>2654.4157999999998</v>
      </c>
      <c r="BC27" s="13">
        <v>74.74969999999999</v>
      </c>
      <c r="BD27" s="13">
        <v>2579.6660999999999</v>
      </c>
      <c r="BE27" s="13">
        <v>100</v>
      </c>
      <c r="BF27" s="13">
        <v>100</v>
      </c>
      <c r="BG27" s="13">
        <v>0</v>
      </c>
      <c r="BH27" s="13">
        <v>2782.6518999999998</v>
      </c>
      <c r="BI27" s="13">
        <v>128.92840000000001</v>
      </c>
      <c r="BJ27" s="13">
        <v>2653.7235000000001</v>
      </c>
      <c r="BK27" s="13">
        <v>62</v>
      </c>
      <c r="BL27" s="13">
        <v>62</v>
      </c>
      <c r="BM27" s="13">
        <v>0</v>
      </c>
      <c r="BN27" s="13">
        <v>3652.4333999999999</v>
      </c>
      <c r="BO27" s="13">
        <v>97.678200000000004</v>
      </c>
      <c r="BP27" s="13">
        <v>3554.7552000000001</v>
      </c>
      <c r="BQ27" s="13">
        <v>63</v>
      </c>
      <c r="BR27" s="13">
        <v>63</v>
      </c>
      <c r="BS27" s="13">
        <v>0</v>
      </c>
      <c r="BT27" s="13">
        <v>2424.7364000000002</v>
      </c>
      <c r="BU27" s="13">
        <v>91.928300000000007</v>
      </c>
      <c r="BV27" s="13">
        <v>2332.8081000000002</v>
      </c>
      <c r="BW27" s="13">
        <v>60</v>
      </c>
      <c r="BX27" s="13">
        <v>60</v>
      </c>
      <c r="BY27" s="13">
        <v>0</v>
      </c>
      <c r="BZ27" s="13">
        <v>2916.4167000000002</v>
      </c>
      <c r="CA27" s="13">
        <v>89.892600000000002</v>
      </c>
      <c r="CB27" s="13">
        <v>2826.5241000000001</v>
      </c>
      <c r="CC27" s="13">
        <v>40</v>
      </c>
      <c r="CD27" s="13">
        <v>40</v>
      </c>
      <c r="CE27" s="13">
        <v>0</v>
      </c>
      <c r="CF27" s="13">
        <v>4215.5637999999999</v>
      </c>
      <c r="CG27" s="13">
        <v>93.035200000000003</v>
      </c>
      <c r="CH27" s="13">
        <v>4122.5285999999996</v>
      </c>
      <c r="CI27" s="13">
        <v>5</v>
      </c>
      <c r="CJ27" s="13">
        <v>5</v>
      </c>
      <c r="CK27" s="13">
        <v>0</v>
      </c>
      <c r="CL27" s="13">
        <v>3310.3897999999999</v>
      </c>
      <c r="CM27" s="13">
        <v>27.1784</v>
      </c>
      <c r="CN27" s="13">
        <v>3283.2114000000001</v>
      </c>
      <c r="CO27" s="13">
        <v>0</v>
      </c>
      <c r="CP27" s="13">
        <v>0</v>
      </c>
      <c r="CQ27" s="13">
        <v>0</v>
      </c>
      <c r="CR27" s="13">
        <v>3518.3037999999997</v>
      </c>
      <c r="CS27" s="13">
        <v>99.320499999999996</v>
      </c>
      <c r="CT27" s="13">
        <v>3418.9832999999999</v>
      </c>
      <c r="CU27" s="13">
        <f t="shared" si="4"/>
        <v>533</v>
      </c>
      <c r="CV27" s="13">
        <f t="shared" si="4"/>
        <v>533</v>
      </c>
      <c r="CW27" s="13">
        <f t="shared" si="4"/>
        <v>0</v>
      </c>
      <c r="CX27" s="13">
        <f t="shared" si="4"/>
        <v>37305.191500000008</v>
      </c>
      <c r="CY27" s="13">
        <f t="shared" si="4"/>
        <v>1140.4945</v>
      </c>
      <c r="CZ27" s="13">
        <f t="shared" si="4"/>
        <v>36164.697</v>
      </c>
      <c r="DA27" s="13">
        <f t="shared" si="5"/>
        <v>45</v>
      </c>
      <c r="DB27" s="13">
        <f t="shared" si="5"/>
        <v>45</v>
      </c>
      <c r="DC27" s="13">
        <f t="shared" si="5"/>
        <v>0</v>
      </c>
      <c r="DD27" s="13">
        <f t="shared" si="5"/>
        <v>11044.257399999999</v>
      </c>
      <c r="DE27" s="13">
        <f t="shared" si="5"/>
        <v>219.5341</v>
      </c>
      <c r="DF27" s="13">
        <f t="shared" si="5"/>
        <v>10824.7233</v>
      </c>
      <c r="DG27" s="13">
        <f t="shared" si="6"/>
        <v>185</v>
      </c>
      <c r="DH27" s="13">
        <f t="shared" si="6"/>
        <v>185</v>
      </c>
      <c r="DI27" s="13">
        <f t="shared" si="6"/>
        <v>0</v>
      </c>
      <c r="DJ27" s="13">
        <f t="shared" si="6"/>
        <v>8993.5864999999994</v>
      </c>
      <c r="DK27" s="13">
        <f t="shared" si="6"/>
        <v>279.4991</v>
      </c>
      <c r="DL27" s="13">
        <f t="shared" si="6"/>
        <v>8714.0874000000003</v>
      </c>
      <c r="DM27" s="13">
        <f t="shared" si="7"/>
        <v>5</v>
      </c>
      <c r="DN27" s="13">
        <f t="shared" si="7"/>
        <v>5</v>
      </c>
      <c r="DO27" s="13">
        <f t="shared" si="7"/>
        <v>0</v>
      </c>
      <c r="DP27" s="13">
        <f t="shared" si="7"/>
        <v>6828.6935999999996</v>
      </c>
      <c r="DQ27" s="13">
        <f t="shared" si="7"/>
        <v>126.49889999999999</v>
      </c>
      <c r="DR27" s="13">
        <f t="shared" si="7"/>
        <v>6702.1947</v>
      </c>
      <c r="DS27" s="14" t="s">
        <v>60</v>
      </c>
      <c r="DT27" s="14" t="s">
        <v>81</v>
      </c>
      <c r="DU27" s="14" t="s">
        <v>146</v>
      </c>
      <c r="DV27" s="14" t="s">
        <v>63</v>
      </c>
      <c r="DW27" s="14" t="s">
        <v>74</v>
      </c>
    </row>
    <row r="28" spans="2:127" x14ac:dyDescent="0.3">
      <c r="B28" s="11" t="s">
        <v>83</v>
      </c>
      <c r="C28" s="12">
        <v>5001340812</v>
      </c>
      <c r="D28" s="11" t="s">
        <v>162</v>
      </c>
      <c r="E28" s="11" t="s">
        <v>55</v>
      </c>
      <c r="F28" s="11" t="s">
        <v>163</v>
      </c>
      <c r="G28" s="11" t="s">
        <v>164</v>
      </c>
      <c r="H28" s="11" t="s">
        <v>165</v>
      </c>
      <c r="I28" s="11">
        <v>68130</v>
      </c>
      <c r="J28" s="11" t="s">
        <v>80</v>
      </c>
      <c r="K28" s="11"/>
      <c r="L28" s="11"/>
      <c r="M28" s="11"/>
      <c r="N28" s="11"/>
      <c r="O28" s="13">
        <v>480</v>
      </c>
      <c r="P28" s="13">
        <v>480</v>
      </c>
      <c r="Q28" s="13">
        <v>0</v>
      </c>
      <c r="R28" s="13">
        <v>22434.5445</v>
      </c>
      <c r="S28" s="13">
        <v>748.06920000000002</v>
      </c>
      <c r="T28" s="13">
        <v>21686.475299999998</v>
      </c>
      <c r="U28" s="13">
        <v>56</v>
      </c>
      <c r="V28" s="13">
        <v>56</v>
      </c>
      <c r="W28" s="13">
        <v>0</v>
      </c>
      <c r="X28" s="13">
        <v>1524.4189999999999</v>
      </c>
      <c r="Y28" s="13">
        <v>92.642600000000002</v>
      </c>
      <c r="Z28" s="13">
        <v>1431.7764</v>
      </c>
      <c r="AA28" s="13">
        <v>62</v>
      </c>
      <c r="AB28" s="13">
        <v>62</v>
      </c>
      <c r="AC28" s="13">
        <v>0</v>
      </c>
      <c r="AD28" s="13">
        <v>2072.3487</v>
      </c>
      <c r="AE28" s="13">
        <v>146.8563</v>
      </c>
      <c r="AF28" s="13">
        <v>1925.4924000000001</v>
      </c>
      <c r="AG28" s="13">
        <v>27</v>
      </c>
      <c r="AH28" s="13">
        <v>27</v>
      </c>
      <c r="AI28" s="13">
        <v>0</v>
      </c>
      <c r="AJ28" s="13">
        <v>1456.4615999999999</v>
      </c>
      <c r="AK28" s="13">
        <v>61.713900000000002</v>
      </c>
      <c r="AL28" s="13">
        <v>1394.7476999999999</v>
      </c>
      <c r="AM28" s="13">
        <v>29</v>
      </c>
      <c r="AN28" s="13">
        <v>29</v>
      </c>
      <c r="AO28" s="13">
        <v>0</v>
      </c>
      <c r="AP28" s="13">
        <v>1534.0622000000001</v>
      </c>
      <c r="AQ28" s="13">
        <v>40.571300000000001</v>
      </c>
      <c r="AR28" s="13">
        <v>1493.4909</v>
      </c>
      <c r="AS28" s="13">
        <v>16</v>
      </c>
      <c r="AT28" s="13">
        <v>16</v>
      </c>
      <c r="AU28" s="13">
        <v>0</v>
      </c>
      <c r="AV28" s="13">
        <v>2223.6433000000002</v>
      </c>
      <c r="AW28" s="13">
        <v>26.607100000000003</v>
      </c>
      <c r="AX28" s="13">
        <v>2197.0362</v>
      </c>
      <c r="AY28" s="13">
        <v>37</v>
      </c>
      <c r="AZ28" s="13">
        <v>37</v>
      </c>
      <c r="BA28" s="13">
        <v>0</v>
      </c>
      <c r="BB28" s="13">
        <v>1258.9471000000001</v>
      </c>
      <c r="BC28" s="13">
        <v>37</v>
      </c>
      <c r="BD28" s="13">
        <v>1221.9471000000001</v>
      </c>
      <c r="BE28" s="13">
        <v>43</v>
      </c>
      <c r="BF28" s="13">
        <v>43</v>
      </c>
      <c r="BG28" s="13">
        <v>0</v>
      </c>
      <c r="BH28" s="13">
        <v>1623.2767000000001</v>
      </c>
      <c r="BI28" s="13">
        <v>68.071300000000008</v>
      </c>
      <c r="BJ28" s="13">
        <v>1555.2054000000001</v>
      </c>
      <c r="BK28" s="13">
        <v>36</v>
      </c>
      <c r="BL28" s="13">
        <v>36</v>
      </c>
      <c r="BM28" s="13">
        <v>0</v>
      </c>
      <c r="BN28" s="13">
        <v>2120.2143000000001</v>
      </c>
      <c r="BO28" s="13">
        <v>46.607100000000003</v>
      </c>
      <c r="BP28" s="13">
        <v>2073.6071999999999</v>
      </c>
      <c r="BQ28" s="13">
        <v>44</v>
      </c>
      <c r="BR28" s="13">
        <v>44</v>
      </c>
      <c r="BS28" s="13">
        <v>0</v>
      </c>
      <c r="BT28" s="13">
        <v>1648.577</v>
      </c>
      <c r="BU28" s="13">
        <v>44</v>
      </c>
      <c r="BV28" s="13">
        <v>1604.577</v>
      </c>
      <c r="BW28" s="13">
        <v>27</v>
      </c>
      <c r="BX28" s="13">
        <v>27</v>
      </c>
      <c r="BY28" s="13">
        <v>0</v>
      </c>
      <c r="BZ28" s="13">
        <v>1484.6192000000001</v>
      </c>
      <c r="CA28" s="13">
        <v>40.499899999999997</v>
      </c>
      <c r="CB28" s="13">
        <v>1444.1193000000001</v>
      </c>
      <c r="CC28" s="13">
        <v>31</v>
      </c>
      <c r="CD28" s="13">
        <v>31</v>
      </c>
      <c r="CE28" s="13">
        <v>0</v>
      </c>
      <c r="CF28" s="13">
        <v>1920.6206999999999</v>
      </c>
      <c r="CG28" s="13">
        <v>44.499899999999997</v>
      </c>
      <c r="CH28" s="13">
        <v>1876.1207999999999</v>
      </c>
      <c r="CI28" s="13">
        <v>45</v>
      </c>
      <c r="CJ28" s="13">
        <v>45</v>
      </c>
      <c r="CK28" s="13">
        <v>0</v>
      </c>
      <c r="CL28" s="13">
        <v>1786.5059000000001</v>
      </c>
      <c r="CM28" s="13">
        <v>58.499899999999997</v>
      </c>
      <c r="CN28" s="13">
        <v>1728.0060000000001</v>
      </c>
      <c r="CO28" s="13">
        <v>27</v>
      </c>
      <c r="CP28" s="13">
        <v>27</v>
      </c>
      <c r="CQ28" s="13">
        <v>0</v>
      </c>
      <c r="CR28" s="13">
        <v>1780.8488</v>
      </c>
      <c r="CS28" s="13">
        <v>40.499899999999997</v>
      </c>
      <c r="CT28" s="13">
        <v>1740.3489</v>
      </c>
      <c r="CU28" s="13">
        <f t="shared" si="4"/>
        <v>424</v>
      </c>
      <c r="CV28" s="13">
        <f t="shared" si="4"/>
        <v>424</v>
      </c>
      <c r="CW28" s="13">
        <f t="shared" si="4"/>
        <v>0</v>
      </c>
      <c r="CX28" s="13">
        <f t="shared" si="4"/>
        <v>20910.125499999998</v>
      </c>
      <c r="CY28" s="13">
        <f t="shared" si="4"/>
        <v>655.42660000000012</v>
      </c>
      <c r="CZ28" s="13">
        <f t="shared" si="4"/>
        <v>20254.698900000003</v>
      </c>
      <c r="DA28" s="13">
        <f t="shared" si="5"/>
        <v>103</v>
      </c>
      <c r="DB28" s="13">
        <f t="shared" si="5"/>
        <v>103</v>
      </c>
      <c r="DC28" s="13">
        <f t="shared" si="5"/>
        <v>0</v>
      </c>
      <c r="DD28" s="13">
        <f t="shared" si="5"/>
        <v>5487.9754000000003</v>
      </c>
      <c r="DE28" s="13">
        <f t="shared" si="5"/>
        <v>143.49969999999999</v>
      </c>
      <c r="DF28" s="13">
        <f t="shared" si="5"/>
        <v>5344.4757</v>
      </c>
      <c r="DG28" s="13">
        <f t="shared" si="6"/>
        <v>107</v>
      </c>
      <c r="DH28" s="13">
        <f t="shared" si="6"/>
        <v>107</v>
      </c>
      <c r="DI28" s="13">
        <f t="shared" si="6"/>
        <v>0</v>
      </c>
      <c r="DJ28" s="13">
        <f t="shared" si="6"/>
        <v>5253.4105</v>
      </c>
      <c r="DK28" s="13">
        <f t="shared" si="6"/>
        <v>131.107</v>
      </c>
      <c r="DL28" s="13">
        <f t="shared" si="6"/>
        <v>5122.3035</v>
      </c>
      <c r="DM28" s="13">
        <f t="shared" si="7"/>
        <v>72</v>
      </c>
      <c r="DN28" s="13">
        <f t="shared" si="7"/>
        <v>72</v>
      </c>
      <c r="DO28" s="13">
        <f t="shared" si="7"/>
        <v>0</v>
      </c>
      <c r="DP28" s="13">
        <f t="shared" si="7"/>
        <v>3567.3546999999999</v>
      </c>
      <c r="DQ28" s="13">
        <f t="shared" si="7"/>
        <v>98.999799999999993</v>
      </c>
      <c r="DR28" s="13">
        <f t="shared" si="7"/>
        <v>3468.3549000000003</v>
      </c>
      <c r="DS28" s="14" t="s">
        <v>71</v>
      </c>
      <c r="DT28" s="14" t="s">
        <v>81</v>
      </c>
      <c r="DU28" s="14" t="s">
        <v>73</v>
      </c>
      <c r="DV28" s="14" t="s">
        <v>63</v>
      </c>
      <c r="DW28" s="14" t="s">
        <v>64</v>
      </c>
    </row>
    <row r="29" spans="2:127" x14ac:dyDescent="0.3">
      <c r="B29" s="11" t="s">
        <v>75</v>
      </c>
      <c r="C29" s="12">
        <v>5001340816</v>
      </c>
      <c r="D29" s="11" t="s">
        <v>166</v>
      </c>
      <c r="E29" s="11" t="s">
        <v>55</v>
      </c>
      <c r="F29" s="11" t="s">
        <v>167</v>
      </c>
      <c r="G29" s="11" t="s">
        <v>168</v>
      </c>
      <c r="H29" s="11" t="s">
        <v>169</v>
      </c>
      <c r="I29" s="11">
        <v>23502</v>
      </c>
      <c r="J29" s="11" t="s">
        <v>70</v>
      </c>
      <c r="K29" s="11"/>
      <c r="L29" s="11"/>
      <c r="M29" s="11"/>
      <c r="N29" s="11"/>
      <c r="O29" s="13">
        <v>3454</v>
      </c>
      <c r="P29" s="13">
        <v>3374</v>
      </c>
      <c r="Q29" s="13">
        <v>80</v>
      </c>
      <c r="R29" s="13">
        <v>90624.573199999999</v>
      </c>
      <c r="S29" s="13">
        <v>3453.0708</v>
      </c>
      <c r="T29" s="13">
        <v>87171.502399999998</v>
      </c>
      <c r="U29" s="13">
        <v>316</v>
      </c>
      <c r="V29" s="13">
        <v>316</v>
      </c>
      <c r="W29" s="13">
        <v>0</v>
      </c>
      <c r="X29" s="13">
        <v>6941.4371999999994</v>
      </c>
      <c r="Y29" s="13">
        <v>325.64280000000002</v>
      </c>
      <c r="Z29" s="13">
        <v>6615.7943999999998</v>
      </c>
      <c r="AA29" s="13">
        <v>147</v>
      </c>
      <c r="AB29" s="13">
        <v>147</v>
      </c>
      <c r="AC29" s="13">
        <v>0</v>
      </c>
      <c r="AD29" s="13">
        <v>6483.9218000000001</v>
      </c>
      <c r="AE29" s="13">
        <v>164.357</v>
      </c>
      <c r="AF29" s="13">
        <v>6319.5648000000001</v>
      </c>
      <c r="AG29" s="13">
        <v>200</v>
      </c>
      <c r="AH29" s="13">
        <v>200</v>
      </c>
      <c r="AI29" s="13">
        <v>0</v>
      </c>
      <c r="AJ29" s="13">
        <v>5713.6118999999999</v>
      </c>
      <c r="AK29" s="13">
        <v>208.67849999999999</v>
      </c>
      <c r="AL29" s="13">
        <v>5504.9333999999999</v>
      </c>
      <c r="AM29" s="13">
        <v>151</v>
      </c>
      <c r="AN29" s="13">
        <v>151</v>
      </c>
      <c r="AO29" s="13">
        <v>0</v>
      </c>
      <c r="AP29" s="13">
        <v>5195.5816999999997</v>
      </c>
      <c r="AQ29" s="13">
        <v>159.67849999999999</v>
      </c>
      <c r="AR29" s="13">
        <v>5035.9031999999997</v>
      </c>
      <c r="AS29" s="13">
        <v>336</v>
      </c>
      <c r="AT29" s="13">
        <v>336</v>
      </c>
      <c r="AU29" s="13">
        <v>0</v>
      </c>
      <c r="AV29" s="13">
        <v>7857.8401999999996</v>
      </c>
      <c r="AW29" s="13">
        <v>353.35699999999997</v>
      </c>
      <c r="AX29" s="13">
        <v>7504.4831999999997</v>
      </c>
      <c r="AY29" s="13">
        <v>115</v>
      </c>
      <c r="AZ29" s="13">
        <v>115</v>
      </c>
      <c r="BA29" s="13">
        <v>0</v>
      </c>
      <c r="BB29" s="13">
        <v>11503.8323</v>
      </c>
      <c r="BC29" s="13">
        <v>123.6785</v>
      </c>
      <c r="BD29" s="13">
        <v>11380.1538</v>
      </c>
      <c r="BE29" s="13">
        <v>303</v>
      </c>
      <c r="BF29" s="13">
        <v>303</v>
      </c>
      <c r="BG29" s="13">
        <v>0</v>
      </c>
      <c r="BH29" s="13">
        <v>509.16489999999999</v>
      </c>
      <c r="BI29" s="13">
        <v>311.67849999999999</v>
      </c>
      <c r="BJ29" s="13">
        <v>197.4864</v>
      </c>
      <c r="BK29" s="13">
        <v>372</v>
      </c>
      <c r="BL29" s="13">
        <v>372</v>
      </c>
      <c r="BM29" s="13">
        <v>0</v>
      </c>
      <c r="BN29" s="13">
        <v>8666.4287999999997</v>
      </c>
      <c r="BO29" s="13">
        <v>372</v>
      </c>
      <c r="BP29" s="13">
        <v>8294.4287999999997</v>
      </c>
      <c r="BQ29" s="13">
        <v>285</v>
      </c>
      <c r="BR29" s="13">
        <v>285</v>
      </c>
      <c r="BS29" s="13">
        <v>0</v>
      </c>
      <c r="BT29" s="13">
        <v>7098.2808000000005</v>
      </c>
      <c r="BU29" s="13">
        <v>285</v>
      </c>
      <c r="BV29" s="13">
        <v>6813.2808000000005</v>
      </c>
      <c r="BW29" s="13">
        <v>319</v>
      </c>
      <c r="BX29" s="13">
        <v>319</v>
      </c>
      <c r="BY29" s="13">
        <v>0</v>
      </c>
      <c r="BZ29" s="13">
        <v>7625.9967999999999</v>
      </c>
      <c r="CA29" s="13">
        <v>319</v>
      </c>
      <c r="CB29" s="13">
        <v>7306.9967999999999</v>
      </c>
      <c r="CC29" s="13">
        <v>356</v>
      </c>
      <c r="CD29" s="13">
        <v>356</v>
      </c>
      <c r="CE29" s="13">
        <v>0</v>
      </c>
      <c r="CF29" s="13">
        <v>9045.4015999999992</v>
      </c>
      <c r="CG29" s="13">
        <v>356</v>
      </c>
      <c r="CH29" s="13">
        <v>8689.4015999999992</v>
      </c>
      <c r="CI29" s="13">
        <v>194</v>
      </c>
      <c r="CJ29" s="13">
        <v>194</v>
      </c>
      <c r="CK29" s="13">
        <v>0</v>
      </c>
      <c r="CL29" s="13">
        <v>6118.5919999999996</v>
      </c>
      <c r="CM29" s="13">
        <v>194</v>
      </c>
      <c r="CN29" s="13">
        <v>5924.5919999999996</v>
      </c>
      <c r="CO29" s="13">
        <v>360</v>
      </c>
      <c r="CP29" s="13">
        <v>280</v>
      </c>
      <c r="CQ29" s="13">
        <v>80</v>
      </c>
      <c r="CR29" s="13">
        <v>7864.4831999999997</v>
      </c>
      <c r="CS29" s="13">
        <v>280</v>
      </c>
      <c r="CT29" s="13">
        <v>7584.4831999999997</v>
      </c>
      <c r="CU29" s="13">
        <f t="shared" si="4"/>
        <v>3138</v>
      </c>
      <c r="CV29" s="13">
        <f t="shared" si="4"/>
        <v>3058</v>
      </c>
      <c r="CW29" s="13">
        <f t="shared" si="4"/>
        <v>80</v>
      </c>
      <c r="CX29" s="13">
        <f t="shared" si="4"/>
        <v>83683.136000000013</v>
      </c>
      <c r="CY29" s="13">
        <f t="shared" si="4"/>
        <v>3127.4279999999999</v>
      </c>
      <c r="CZ29" s="13">
        <f t="shared" si="4"/>
        <v>80555.708000000013</v>
      </c>
      <c r="DA29" s="13">
        <f t="shared" si="5"/>
        <v>910</v>
      </c>
      <c r="DB29" s="13">
        <f t="shared" si="5"/>
        <v>830</v>
      </c>
      <c r="DC29" s="13">
        <f t="shared" si="5"/>
        <v>80</v>
      </c>
      <c r="DD29" s="13">
        <f t="shared" si="5"/>
        <v>23028.476799999997</v>
      </c>
      <c r="DE29" s="13">
        <f t="shared" si="5"/>
        <v>830</v>
      </c>
      <c r="DF29" s="13">
        <f t="shared" si="5"/>
        <v>22198.476799999997</v>
      </c>
      <c r="DG29" s="13">
        <f t="shared" si="6"/>
        <v>976</v>
      </c>
      <c r="DH29" s="13">
        <f t="shared" si="6"/>
        <v>976</v>
      </c>
      <c r="DI29" s="13">
        <f t="shared" si="6"/>
        <v>0</v>
      </c>
      <c r="DJ29" s="13">
        <f t="shared" si="6"/>
        <v>23390.706399999999</v>
      </c>
      <c r="DK29" s="13">
        <f t="shared" si="6"/>
        <v>976</v>
      </c>
      <c r="DL29" s="13">
        <f t="shared" si="6"/>
        <v>22414.706399999999</v>
      </c>
      <c r="DM29" s="13">
        <f t="shared" si="7"/>
        <v>554</v>
      </c>
      <c r="DN29" s="13">
        <f t="shared" si="7"/>
        <v>474</v>
      </c>
      <c r="DO29" s="13">
        <f t="shared" si="7"/>
        <v>80</v>
      </c>
      <c r="DP29" s="13">
        <f t="shared" si="7"/>
        <v>13983.075199999999</v>
      </c>
      <c r="DQ29" s="13">
        <f t="shared" si="7"/>
        <v>474</v>
      </c>
      <c r="DR29" s="13">
        <f t="shared" si="7"/>
        <v>13509.075199999999</v>
      </c>
      <c r="DS29" s="14" t="s">
        <v>71</v>
      </c>
      <c r="DT29" s="14" t="s">
        <v>125</v>
      </c>
      <c r="DU29" s="14" t="s">
        <v>73</v>
      </c>
      <c r="DV29" s="14" t="s">
        <v>63</v>
      </c>
      <c r="DW29" s="14" t="s">
        <v>74</v>
      </c>
    </row>
    <row r="30" spans="2:127" x14ac:dyDescent="0.3">
      <c r="B30" s="11" t="s">
        <v>53</v>
      </c>
      <c r="C30" s="12">
        <v>5001340819</v>
      </c>
      <c r="D30" s="11" t="s">
        <v>170</v>
      </c>
      <c r="E30" s="11" t="s">
        <v>55</v>
      </c>
      <c r="F30" s="11" t="s">
        <v>171</v>
      </c>
      <c r="G30" s="11" t="s">
        <v>172</v>
      </c>
      <c r="H30" s="11" t="s">
        <v>173</v>
      </c>
      <c r="I30" s="11">
        <v>99216</v>
      </c>
      <c r="J30" s="11" t="s">
        <v>70</v>
      </c>
      <c r="K30" s="11"/>
      <c r="L30" s="11"/>
      <c r="M30" s="11"/>
      <c r="N30" s="11"/>
      <c r="O30" s="13">
        <v>2339</v>
      </c>
      <c r="P30" s="13">
        <v>2339</v>
      </c>
      <c r="Q30" s="13">
        <v>0</v>
      </c>
      <c r="R30" s="13">
        <v>9204.3493999999992</v>
      </c>
      <c r="S30" s="13">
        <v>2637.9265999999998</v>
      </c>
      <c r="T30" s="13">
        <v>6566.4228000000003</v>
      </c>
      <c r="U30" s="13">
        <v>160</v>
      </c>
      <c r="V30" s="13">
        <v>160</v>
      </c>
      <c r="W30" s="13">
        <v>0</v>
      </c>
      <c r="X30" s="13">
        <v>799.32339999999999</v>
      </c>
      <c r="Y30" s="13">
        <v>182.17840000000001</v>
      </c>
      <c r="Z30" s="13">
        <v>617.14499999999998</v>
      </c>
      <c r="AA30" s="13">
        <v>95</v>
      </c>
      <c r="AB30" s="13">
        <v>95</v>
      </c>
      <c r="AC30" s="13">
        <v>0</v>
      </c>
      <c r="AD30" s="13">
        <v>561.52279999999996</v>
      </c>
      <c r="AE30" s="13">
        <v>117.1784</v>
      </c>
      <c r="AF30" s="13">
        <v>444.34440000000001</v>
      </c>
      <c r="AG30" s="13">
        <v>156</v>
      </c>
      <c r="AH30" s="13">
        <v>156</v>
      </c>
      <c r="AI30" s="13">
        <v>0</v>
      </c>
      <c r="AJ30" s="13">
        <v>610.17990000000009</v>
      </c>
      <c r="AK30" s="13">
        <v>178.17840000000001</v>
      </c>
      <c r="AL30" s="13">
        <v>432.00150000000002</v>
      </c>
      <c r="AM30" s="13">
        <v>195</v>
      </c>
      <c r="AN30" s="13">
        <v>195</v>
      </c>
      <c r="AO30" s="13">
        <v>0</v>
      </c>
      <c r="AP30" s="13">
        <v>636.83699999999999</v>
      </c>
      <c r="AQ30" s="13">
        <v>217.17840000000001</v>
      </c>
      <c r="AR30" s="13">
        <v>419.65859999999998</v>
      </c>
      <c r="AS30" s="13">
        <v>364</v>
      </c>
      <c r="AT30" s="13">
        <v>364</v>
      </c>
      <c r="AU30" s="13">
        <v>0</v>
      </c>
      <c r="AV30" s="13">
        <v>842.86570000000006</v>
      </c>
      <c r="AW30" s="13">
        <v>386.17840000000001</v>
      </c>
      <c r="AX30" s="13">
        <v>456.68729999999999</v>
      </c>
      <c r="AY30" s="13">
        <v>68</v>
      </c>
      <c r="AZ30" s="13">
        <v>68</v>
      </c>
      <c r="BA30" s="13">
        <v>0</v>
      </c>
      <c r="BB30" s="13">
        <v>509.83699999999999</v>
      </c>
      <c r="BC30" s="13">
        <v>90.178399999999996</v>
      </c>
      <c r="BD30" s="13">
        <v>419.65859999999998</v>
      </c>
      <c r="BE30" s="13">
        <v>149</v>
      </c>
      <c r="BF30" s="13">
        <v>149</v>
      </c>
      <c r="BG30" s="13">
        <v>0</v>
      </c>
      <c r="BH30" s="13">
        <v>481.48669999999998</v>
      </c>
      <c r="BI30" s="13">
        <v>160.57130000000001</v>
      </c>
      <c r="BJ30" s="13">
        <v>320.91539999999998</v>
      </c>
      <c r="BK30" s="13">
        <v>261</v>
      </c>
      <c r="BL30" s="13">
        <v>261</v>
      </c>
      <c r="BM30" s="13">
        <v>0</v>
      </c>
      <c r="BN30" s="13">
        <v>1023.7524</v>
      </c>
      <c r="BO30" s="13">
        <v>283.17840000000001</v>
      </c>
      <c r="BP30" s="13">
        <v>740.57399999999996</v>
      </c>
      <c r="BQ30" s="13">
        <v>274</v>
      </c>
      <c r="BR30" s="13">
        <v>274</v>
      </c>
      <c r="BS30" s="13">
        <v>0</v>
      </c>
      <c r="BT30" s="13">
        <v>825.95889999999997</v>
      </c>
      <c r="BU30" s="13">
        <v>295.21420000000001</v>
      </c>
      <c r="BV30" s="13">
        <v>530.74469999999997</v>
      </c>
      <c r="BW30" s="13">
        <v>173</v>
      </c>
      <c r="BX30" s="13">
        <v>173</v>
      </c>
      <c r="BY30" s="13">
        <v>0</v>
      </c>
      <c r="BZ30" s="13">
        <v>750.41630000000009</v>
      </c>
      <c r="CA30" s="13">
        <v>182.6429</v>
      </c>
      <c r="CB30" s="13">
        <v>567.77340000000004</v>
      </c>
      <c r="CC30" s="13">
        <v>176</v>
      </c>
      <c r="CD30" s="13">
        <v>176</v>
      </c>
      <c r="CE30" s="13">
        <v>0</v>
      </c>
      <c r="CF30" s="13">
        <v>851.38790000000006</v>
      </c>
      <c r="CG30" s="13">
        <v>197.21420000000001</v>
      </c>
      <c r="CH30" s="13">
        <v>654.17370000000005</v>
      </c>
      <c r="CI30" s="13">
        <v>124</v>
      </c>
      <c r="CJ30" s="13">
        <v>124</v>
      </c>
      <c r="CK30" s="13">
        <v>0</v>
      </c>
      <c r="CL30" s="13">
        <v>614.24440000000004</v>
      </c>
      <c r="CM30" s="13">
        <v>145.21420000000001</v>
      </c>
      <c r="CN30" s="13">
        <v>469.03019999999998</v>
      </c>
      <c r="CO30" s="13">
        <v>144</v>
      </c>
      <c r="CP30" s="13">
        <v>144</v>
      </c>
      <c r="CQ30" s="13">
        <v>0</v>
      </c>
      <c r="CR30" s="13">
        <v>696.53700000000003</v>
      </c>
      <c r="CS30" s="13">
        <v>202.821</v>
      </c>
      <c r="CT30" s="13">
        <v>493.71600000000001</v>
      </c>
      <c r="CU30" s="13">
        <f t="shared" si="4"/>
        <v>2179</v>
      </c>
      <c r="CV30" s="13">
        <f t="shared" si="4"/>
        <v>2179</v>
      </c>
      <c r="CW30" s="13">
        <f t="shared" si="4"/>
        <v>0</v>
      </c>
      <c r="CX30" s="13">
        <f t="shared" si="4"/>
        <v>8405.0259999999998</v>
      </c>
      <c r="CY30" s="13">
        <f t="shared" si="4"/>
        <v>2455.7482</v>
      </c>
      <c r="CZ30" s="13">
        <f t="shared" si="4"/>
        <v>5949.2778000000008</v>
      </c>
      <c r="DA30" s="13">
        <f t="shared" si="5"/>
        <v>444</v>
      </c>
      <c r="DB30" s="13">
        <f t="shared" si="5"/>
        <v>444</v>
      </c>
      <c r="DC30" s="13">
        <f t="shared" si="5"/>
        <v>0</v>
      </c>
      <c r="DD30" s="13">
        <f t="shared" si="5"/>
        <v>2162.1693000000005</v>
      </c>
      <c r="DE30" s="13">
        <f t="shared" si="5"/>
        <v>545.24940000000004</v>
      </c>
      <c r="DF30" s="13">
        <f t="shared" si="5"/>
        <v>1616.9198999999999</v>
      </c>
      <c r="DG30" s="13">
        <f t="shared" si="6"/>
        <v>708</v>
      </c>
      <c r="DH30" s="13">
        <f t="shared" si="6"/>
        <v>708</v>
      </c>
      <c r="DI30" s="13">
        <f t="shared" si="6"/>
        <v>0</v>
      </c>
      <c r="DJ30" s="13">
        <f t="shared" si="6"/>
        <v>2600.1275999999998</v>
      </c>
      <c r="DK30" s="13">
        <f t="shared" si="6"/>
        <v>761.03549999999996</v>
      </c>
      <c r="DL30" s="13">
        <f t="shared" si="6"/>
        <v>1839.0920999999998</v>
      </c>
      <c r="DM30" s="13">
        <f t="shared" si="7"/>
        <v>268</v>
      </c>
      <c r="DN30" s="13">
        <f t="shared" si="7"/>
        <v>268</v>
      </c>
      <c r="DO30" s="13">
        <f t="shared" si="7"/>
        <v>0</v>
      </c>
      <c r="DP30" s="13">
        <f t="shared" si="7"/>
        <v>1310.7814000000001</v>
      </c>
      <c r="DQ30" s="13">
        <f t="shared" si="7"/>
        <v>348.03520000000003</v>
      </c>
      <c r="DR30" s="13">
        <f t="shared" si="7"/>
        <v>962.74620000000004</v>
      </c>
      <c r="DS30" s="14" t="s">
        <v>138</v>
      </c>
      <c r="DT30" s="14" t="s">
        <v>81</v>
      </c>
      <c r="DU30" s="14" t="s">
        <v>73</v>
      </c>
      <c r="DV30" s="14" t="s">
        <v>63</v>
      </c>
      <c r="DW30" s="14" t="s">
        <v>74</v>
      </c>
    </row>
    <row r="31" spans="2:127" x14ac:dyDescent="0.3">
      <c r="B31" s="11" t="s">
        <v>53</v>
      </c>
      <c r="C31" s="12">
        <v>5001340820</v>
      </c>
      <c r="D31" s="11" t="s">
        <v>174</v>
      </c>
      <c r="E31" s="11" t="s">
        <v>55</v>
      </c>
      <c r="F31" s="11" t="s">
        <v>175</v>
      </c>
      <c r="G31" s="11" t="s">
        <v>176</v>
      </c>
      <c r="H31" s="11" t="s">
        <v>177</v>
      </c>
      <c r="I31" s="11">
        <v>85718</v>
      </c>
      <c r="J31" s="11" t="s">
        <v>70</v>
      </c>
      <c r="K31" s="11"/>
      <c r="L31" s="11"/>
      <c r="M31" s="11"/>
      <c r="N31" s="11"/>
      <c r="O31" s="13">
        <v>0</v>
      </c>
      <c r="P31" s="13">
        <v>0</v>
      </c>
      <c r="Q31" s="13">
        <v>0</v>
      </c>
      <c r="R31" s="13">
        <v>7381.0541999999996</v>
      </c>
      <c r="S31" s="13">
        <v>0</v>
      </c>
      <c r="T31" s="13">
        <v>7381.0541999999996</v>
      </c>
      <c r="U31" s="13">
        <v>0</v>
      </c>
      <c r="V31" s="13">
        <v>0</v>
      </c>
      <c r="W31" s="13">
        <v>0</v>
      </c>
      <c r="X31" s="13">
        <v>481.37310000000002</v>
      </c>
      <c r="Y31" s="13">
        <v>0</v>
      </c>
      <c r="Z31" s="13">
        <v>481.37310000000002</v>
      </c>
      <c r="AA31" s="13">
        <v>0</v>
      </c>
      <c r="AB31" s="13">
        <v>0</v>
      </c>
      <c r="AC31" s="13">
        <v>0</v>
      </c>
      <c r="AD31" s="13">
        <v>641.83079999999995</v>
      </c>
      <c r="AE31" s="13">
        <v>0</v>
      </c>
      <c r="AF31" s="13">
        <v>641.83079999999995</v>
      </c>
      <c r="AG31" s="13">
        <v>0</v>
      </c>
      <c r="AH31" s="13">
        <v>0</v>
      </c>
      <c r="AI31" s="13">
        <v>0</v>
      </c>
      <c r="AJ31" s="13">
        <v>666.51660000000004</v>
      </c>
      <c r="AK31" s="13">
        <v>0</v>
      </c>
      <c r="AL31" s="13">
        <v>666.51660000000004</v>
      </c>
      <c r="AM31" s="13">
        <v>0</v>
      </c>
      <c r="AN31" s="13">
        <v>0</v>
      </c>
      <c r="AO31" s="13">
        <v>0</v>
      </c>
      <c r="AP31" s="13">
        <v>506.05889999999999</v>
      </c>
      <c r="AQ31" s="13">
        <v>0</v>
      </c>
      <c r="AR31" s="13">
        <v>506.05889999999999</v>
      </c>
      <c r="AS31" s="13">
        <v>0</v>
      </c>
      <c r="AT31" s="13">
        <v>0</v>
      </c>
      <c r="AU31" s="13">
        <v>0</v>
      </c>
      <c r="AV31" s="13">
        <v>765.25980000000004</v>
      </c>
      <c r="AW31" s="13">
        <v>0</v>
      </c>
      <c r="AX31" s="13">
        <v>765.25980000000004</v>
      </c>
      <c r="AY31" s="13">
        <v>0</v>
      </c>
      <c r="AZ31" s="13">
        <v>0</v>
      </c>
      <c r="BA31" s="13">
        <v>0</v>
      </c>
      <c r="BB31" s="13">
        <v>711.2595</v>
      </c>
      <c r="BC31" s="13">
        <v>7.7141999999999999</v>
      </c>
      <c r="BD31" s="13">
        <v>703.5453</v>
      </c>
      <c r="BE31" s="13">
        <v>0</v>
      </c>
      <c r="BF31" s="13">
        <v>0</v>
      </c>
      <c r="BG31" s="13">
        <v>0</v>
      </c>
      <c r="BH31" s="13">
        <v>461.31599999999997</v>
      </c>
      <c r="BI31" s="13">
        <v>-7.7141999999999999</v>
      </c>
      <c r="BJ31" s="13">
        <v>469.03019999999998</v>
      </c>
      <c r="BK31" s="13">
        <v>0</v>
      </c>
      <c r="BL31" s="13">
        <v>0</v>
      </c>
      <c r="BM31" s="13">
        <v>0</v>
      </c>
      <c r="BN31" s="13">
        <v>481.37310000000002</v>
      </c>
      <c r="BO31" s="13">
        <v>0</v>
      </c>
      <c r="BP31" s="13">
        <v>481.37310000000002</v>
      </c>
      <c r="BQ31" s="13">
        <v>0</v>
      </c>
      <c r="BR31" s="13">
        <v>0</v>
      </c>
      <c r="BS31" s="13">
        <v>0</v>
      </c>
      <c r="BT31" s="13">
        <v>444.34440000000001</v>
      </c>
      <c r="BU31" s="13">
        <v>0</v>
      </c>
      <c r="BV31" s="13">
        <v>444.34440000000001</v>
      </c>
      <c r="BW31" s="13">
        <v>0</v>
      </c>
      <c r="BX31" s="13">
        <v>0</v>
      </c>
      <c r="BY31" s="13">
        <v>0</v>
      </c>
      <c r="BZ31" s="13">
        <v>493.71600000000001</v>
      </c>
      <c r="CA31" s="13">
        <v>0</v>
      </c>
      <c r="CB31" s="13">
        <v>493.71600000000001</v>
      </c>
      <c r="CC31" s="13">
        <v>0</v>
      </c>
      <c r="CD31" s="13">
        <v>0</v>
      </c>
      <c r="CE31" s="13">
        <v>0</v>
      </c>
      <c r="CF31" s="13">
        <v>567.77340000000004</v>
      </c>
      <c r="CG31" s="13">
        <v>0</v>
      </c>
      <c r="CH31" s="13">
        <v>567.77340000000004</v>
      </c>
      <c r="CI31" s="13">
        <v>0</v>
      </c>
      <c r="CJ31" s="13">
        <v>0</v>
      </c>
      <c r="CK31" s="13">
        <v>0</v>
      </c>
      <c r="CL31" s="13">
        <v>666.51660000000004</v>
      </c>
      <c r="CM31" s="13">
        <v>0</v>
      </c>
      <c r="CN31" s="13">
        <v>666.51660000000004</v>
      </c>
      <c r="CO31" s="13">
        <v>0</v>
      </c>
      <c r="CP31" s="13">
        <v>0</v>
      </c>
      <c r="CQ31" s="13">
        <v>0</v>
      </c>
      <c r="CR31" s="13">
        <v>493.71600000000001</v>
      </c>
      <c r="CS31" s="13">
        <v>0</v>
      </c>
      <c r="CT31" s="13">
        <v>493.71600000000001</v>
      </c>
      <c r="CU31" s="13">
        <f t="shared" si="4"/>
        <v>0</v>
      </c>
      <c r="CV31" s="13">
        <f t="shared" si="4"/>
        <v>0</v>
      </c>
      <c r="CW31" s="13">
        <f t="shared" si="4"/>
        <v>0</v>
      </c>
      <c r="CX31" s="13">
        <f t="shared" si="4"/>
        <v>6899.6811000000007</v>
      </c>
      <c r="CY31" s="13">
        <f t="shared" si="4"/>
        <v>0</v>
      </c>
      <c r="CZ31" s="13">
        <f t="shared" si="4"/>
        <v>6899.6811000000007</v>
      </c>
      <c r="DA31" s="13">
        <f t="shared" si="5"/>
        <v>0</v>
      </c>
      <c r="DB31" s="13">
        <f t="shared" si="5"/>
        <v>0</v>
      </c>
      <c r="DC31" s="13">
        <f t="shared" si="5"/>
        <v>0</v>
      </c>
      <c r="DD31" s="13">
        <f t="shared" si="5"/>
        <v>1728.0059999999999</v>
      </c>
      <c r="DE31" s="13">
        <f t="shared" si="5"/>
        <v>0</v>
      </c>
      <c r="DF31" s="13">
        <f t="shared" si="5"/>
        <v>1728.0059999999999</v>
      </c>
      <c r="DG31" s="13">
        <f t="shared" si="6"/>
        <v>0</v>
      </c>
      <c r="DH31" s="13">
        <f t="shared" si="6"/>
        <v>0</v>
      </c>
      <c r="DI31" s="13">
        <f t="shared" si="6"/>
        <v>0</v>
      </c>
      <c r="DJ31" s="13">
        <f t="shared" si="6"/>
        <v>1419.4335000000001</v>
      </c>
      <c r="DK31" s="13">
        <f t="shared" si="6"/>
        <v>0</v>
      </c>
      <c r="DL31" s="13">
        <f t="shared" si="6"/>
        <v>1419.4335000000001</v>
      </c>
      <c r="DM31" s="13">
        <f t="shared" si="7"/>
        <v>0</v>
      </c>
      <c r="DN31" s="13">
        <f t="shared" si="7"/>
        <v>0</v>
      </c>
      <c r="DO31" s="13">
        <f t="shared" si="7"/>
        <v>0</v>
      </c>
      <c r="DP31" s="13">
        <f t="shared" si="7"/>
        <v>1160.2326</v>
      </c>
      <c r="DQ31" s="13">
        <f t="shared" si="7"/>
        <v>0</v>
      </c>
      <c r="DR31" s="13">
        <f t="shared" si="7"/>
        <v>1160.2326</v>
      </c>
      <c r="DS31" s="14" t="s">
        <v>60</v>
      </c>
      <c r="DT31" s="14" t="s">
        <v>81</v>
      </c>
      <c r="DU31" s="14" t="s">
        <v>73</v>
      </c>
      <c r="DV31" s="14" t="s">
        <v>63</v>
      </c>
      <c r="DW31" s="14" t="s">
        <v>74</v>
      </c>
    </row>
    <row r="32" spans="2:127" x14ac:dyDescent="0.3">
      <c r="B32" s="11" t="s">
        <v>75</v>
      </c>
      <c r="C32" s="12">
        <v>5001340827</v>
      </c>
      <c r="D32" s="11" t="s">
        <v>178</v>
      </c>
      <c r="E32" s="11" t="s">
        <v>55</v>
      </c>
      <c r="F32" s="11" t="s">
        <v>179</v>
      </c>
      <c r="G32" s="11" t="s">
        <v>180</v>
      </c>
      <c r="H32" s="11" t="s">
        <v>104</v>
      </c>
      <c r="I32" s="11">
        <v>34654</v>
      </c>
      <c r="J32" s="11" t="s">
        <v>70</v>
      </c>
      <c r="K32" s="11"/>
      <c r="L32" s="11"/>
      <c r="M32" s="11"/>
      <c r="N32" s="11"/>
      <c r="O32" s="13">
        <v>209</v>
      </c>
      <c r="P32" s="13">
        <v>209</v>
      </c>
      <c r="Q32" s="13">
        <v>0</v>
      </c>
      <c r="R32" s="13">
        <v>16930.732599999999</v>
      </c>
      <c r="S32" s="13">
        <v>576.39010000000007</v>
      </c>
      <c r="T32" s="13">
        <v>16354.342500000001</v>
      </c>
      <c r="U32" s="13">
        <v>7</v>
      </c>
      <c r="V32" s="13">
        <v>7</v>
      </c>
      <c r="W32" s="13">
        <v>0</v>
      </c>
      <c r="X32" s="13">
        <v>958.94600000000003</v>
      </c>
      <c r="Y32" s="13">
        <v>45.571399999999997</v>
      </c>
      <c r="Z32" s="13">
        <v>913.37459999999999</v>
      </c>
      <c r="AA32" s="13">
        <v>31</v>
      </c>
      <c r="AB32" s="13">
        <v>31</v>
      </c>
      <c r="AC32" s="13">
        <v>0</v>
      </c>
      <c r="AD32" s="13">
        <v>1377.7257999999999</v>
      </c>
      <c r="AE32" s="13">
        <v>57.035499999999999</v>
      </c>
      <c r="AF32" s="13">
        <v>1320.6903</v>
      </c>
      <c r="AG32" s="13">
        <v>0</v>
      </c>
      <c r="AH32" s="13">
        <v>0</v>
      </c>
      <c r="AI32" s="13">
        <v>0</v>
      </c>
      <c r="AJ32" s="13">
        <v>865.35269999999991</v>
      </c>
      <c r="AK32" s="13">
        <v>26.035499999999999</v>
      </c>
      <c r="AL32" s="13">
        <v>839.31719999999996</v>
      </c>
      <c r="AM32" s="13">
        <v>0</v>
      </c>
      <c r="AN32" s="13">
        <v>0</v>
      </c>
      <c r="AO32" s="13">
        <v>0</v>
      </c>
      <c r="AP32" s="13">
        <v>1123.3966</v>
      </c>
      <c r="AQ32" s="13">
        <v>12.535600000000001</v>
      </c>
      <c r="AR32" s="13">
        <v>1110.8610000000001</v>
      </c>
      <c r="AS32" s="13">
        <v>0</v>
      </c>
      <c r="AT32" s="13">
        <v>0</v>
      </c>
      <c r="AU32" s="13">
        <v>0</v>
      </c>
      <c r="AV32" s="13">
        <v>1458.9689000000001</v>
      </c>
      <c r="AW32" s="13">
        <v>39.535400000000003</v>
      </c>
      <c r="AX32" s="13">
        <v>1419.4335000000001</v>
      </c>
      <c r="AY32" s="13">
        <v>0</v>
      </c>
      <c r="AZ32" s="13">
        <v>0</v>
      </c>
      <c r="BA32" s="13">
        <v>0</v>
      </c>
      <c r="BB32" s="13">
        <v>1086.3679</v>
      </c>
      <c r="BC32" s="13">
        <v>12.535600000000001</v>
      </c>
      <c r="BD32" s="13">
        <v>1073.8323</v>
      </c>
      <c r="BE32" s="13">
        <v>0</v>
      </c>
      <c r="BF32" s="13">
        <v>0</v>
      </c>
      <c r="BG32" s="13">
        <v>0</v>
      </c>
      <c r="BH32" s="13">
        <v>1136.8965000000001</v>
      </c>
      <c r="BI32" s="13">
        <v>26.035499999999999</v>
      </c>
      <c r="BJ32" s="13">
        <v>1110.8610000000001</v>
      </c>
      <c r="BK32" s="13">
        <v>25</v>
      </c>
      <c r="BL32" s="13">
        <v>25</v>
      </c>
      <c r="BM32" s="13">
        <v>0</v>
      </c>
      <c r="BN32" s="13">
        <v>1842.1056999999998</v>
      </c>
      <c r="BO32" s="13">
        <v>77.070999999999998</v>
      </c>
      <c r="BP32" s="13">
        <v>1765.0346999999999</v>
      </c>
      <c r="BQ32" s="13">
        <v>38</v>
      </c>
      <c r="BR32" s="13">
        <v>38</v>
      </c>
      <c r="BS32" s="13">
        <v>0</v>
      </c>
      <c r="BT32" s="13">
        <v>1283.6678999999999</v>
      </c>
      <c r="BU32" s="13">
        <v>98.749499999999998</v>
      </c>
      <c r="BV32" s="13">
        <v>1184.9184</v>
      </c>
      <c r="BW32" s="13">
        <v>21</v>
      </c>
      <c r="BX32" s="13">
        <v>21</v>
      </c>
      <c r="BY32" s="13">
        <v>0</v>
      </c>
      <c r="BZ32" s="13">
        <v>1244.1041</v>
      </c>
      <c r="CA32" s="13">
        <v>34.499899999999997</v>
      </c>
      <c r="CB32" s="13">
        <v>1209.6042</v>
      </c>
      <c r="CC32" s="13">
        <v>38</v>
      </c>
      <c r="CD32" s="13">
        <v>38</v>
      </c>
      <c r="CE32" s="13">
        <v>0</v>
      </c>
      <c r="CF32" s="13">
        <v>1885.9632999999999</v>
      </c>
      <c r="CG32" s="13">
        <v>59.214100000000002</v>
      </c>
      <c r="CH32" s="13">
        <v>1826.7492</v>
      </c>
      <c r="CI32" s="13">
        <v>15</v>
      </c>
      <c r="CJ32" s="13">
        <v>15</v>
      </c>
      <c r="CK32" s="13">
        <v>0</v>
      </c>
      <c r="CL32" s="13">
        <v>1607.4268</v>
      </c>
      <c r="CM32" s="13">
        <v>27.535600000000002</v>
      </c>
      <c r="CN32" s="13">
        <v>1579.8912</v>
      </c>
      <c r="CO32" s="13">
        <v>34</v>
      </c>
      <c r="CP32" s="13">
        <v>34</v>
      </c>
      <c r="CQ32" s="13">
        <v>0</v>
      </c>
      <c r="CR32" s="13">
        <v>1059.8104000000001</v>
      </c>
      <c r="CS32" s="13">
        <v>60.035499999999999</v>
      </c>
      <c r="CT32" s="13">
        <v>999.7749</v>
      </c>
      <c r="CU32" s="13">
        <f t="shared" si="4"/>
        <v>202</v>
      </c>
      <c r="CV32" s="13">
        <f t="shared" si="4"/>
        <v>202</v>
      </c>
      <c r="CW32" s="13">
        <f t="shared" si="4"/>
        <v>0</v>
      </c>
      <c r="CX32" s="13">
        <f t="shared" si="4"/>
        <v>15971.786599999999</v>
      </c>
      <c r="CY32" s="13">
        <f t="shared" si="4"/>
        <v>530.81870000000004</v>
      </c>
      <c r="CZ32" s="13">
        <f t="shared" si="4"/>
        <v>15440.9679</v>
      </c>
      <c r="DA32" s="13">
        <f t="shared" si="5"/>
        <v>87</v>
      </c>
      <c r="DB32" s="13">
        <f t="shared" si="5"/>
        <v>87</v>
      </c>
      <c r="DC32" s="13">
        <f t="shared" si="5"/>
        <v>0</v>
      </c>
      <c r="DD32" s="13">
        <f t="shared" si="5"/>
        <v>4553.2004999999999</v>
      </c>
      <c r="DE32" s="13">
        <f t="shared" si="5"/>
        <v>146.7852</v>
      </c>
      <c r="DF32" s="13">
        <f t="shared" si="5"/>
        <v>4406.4153000000006</v>
      </c>
      <c r="DG32" s="13">
        <f t="shared" si="6"/>
        <v>84</v>
      </c>
      <c r="DH32" s="13">
        <f t="shared" si="6"/>
        <v>84</v>
      </c>
      <c r="DI32" s="13">
        <f t="shared" si="6"/>
        <v>0</v>
      </c>
      <c r="DJ32" s="13">
        <f t="shared" si="6"/>
        <v>4369.8776999999991</v>
      </c>
      <c r="DK32" s="13">
        <f t="shared" si="6"/>
        <v>210.32039999999998</v>
      </c>
      <c r="DL32" s="13">
        <f t="shared" si="6"/>
        <v>4159.5572999999995</v>
      </c>
      <c r="DM32" s="13">
        <f t="shared" si="7"/>
        <v>49</v>
      </c>
      <c r="DN32" s="13">
        <f t="shared" si="7"/>
        <v>49</v>
      </c>
      <c r="DO32" s="13">
        <f t="shared" si="7"/>
        <v>0</v>
      </c>
      <c r="DP32" s="13">
        <f t="shared" si="7"/>
        <v>2667.2372</v>
      </c>
      <c r="DQ32" s="13">
        <f t="shared" si="7"/>
        <v>87.571100000000001</v>
      </c>
      <c r="DR32" s="13">
        <f t="shared" si="7"/>
        <v>2579.6660999999999</v>
      </c>
      <c r="DS32" s="14" t="s">
        <v>60</v>
      </c>
      <c r="DT32" s="14" t="s">
        <v>125</v>
      </c>
      <c r="DU32" s="14" t="s">
        <v>73</v>
      </c>
      <c r="DV32" s="14" t="s">
        <v>63</v>
      </c>
      <c r="DW32" s="14" t="s">
        <v>74</v>
      </c>
    </row>
    <row r="33" spans="2:127" x14ac:dyDescent="0.3">
      <c r="B33" s="11" t="s">
        <v>53</v>
      </c>
      <c r="C33" s="12">
        <v>5001340844</v>
      </c>
      <c r="D33" s="11" t="s">
        <v>181</v>
      </c>
      <c r="E33" s="11" t="s">
        <v>55</v>
      </c>
      <c r="F33" s="11" t="s">
        <v>182</v>
      </c>
      <c r="G33" s="11" t="s">
        <v>183</v>
      </c>
      <c r="H33" s="11" t="s">
        <v>58</v>
      </c>
      <c r="I33" s="11">
        <v>92131</v>
      </c>
      <c r="J33" s="11" t="s">
        <v>109</v>
      </c>
      <c r="K33" s="11"/>
      <c r="L33" s="11"/>
      <c r="M33" s="11"/>
      <c r="N33" s="11"/>
      <c r="O33" s="13">
        <v>13351</v>
      </c>
      <c r="P33" s="13">
        <v>13031</v>
      </c>
      <c r="Q33" s="13">
        <v>320</v>
      </c>
      <c r="R33" s="13">
        <v>20610.1666</v>
      </c>
      <c r="S33" s="13">
        <v>13131.284600000001</v>
      </c>
      <c r="T33" s="13">
        <v>7478.8819999999996</v>
      </c>
      <c r="U33" s="13">
        <v>824</v>
      </c>
      <c r="V33" s="13">
        <v>824</v>
      </c>
      <c r="W33" s="13">
        <v>0</v>
      </c>
      <c r="X33" s="13">
        <v>1399.4875999999999</v>
      </c>
      <c r="Y33" s="13">
        <v>831.71420000000001</v>
      </c>
      <c r="Z33" s="13">
        <v>567.77340000000004</v>
      </c>
      <c r="AA33" s="13">
        <v>1174</v>
      </c>
      <c r="AB33" s="13">
        <v>1174</v>
      </c>
      <c r="AC33" s="13">
        <v>0</v>
      </c>
      <c r="AD33" s="13">
        <v>1786.5162999999998</v>
      </c>
      <c r="AE33" s="13">
        <v>1181.7141999999999</v>
      </c>
      <c r="AF33" s="13">
        <v>604.8021</v>
      </c>
      <c r="AG33" s="13">
        <v>747</v>
      </c>
      <c r="AH33" s="13">
        <v>747</v>
      </c>
      <c r="AI33" s="13">
        <v>0</v>
      </c>
      <c r="AJ33" s="13">
        <v>1310.1447000000001</v>
      </c>
      <c r="AK33" s="13">
        <v>754.71420000000001</v>
      </c>
      <c r="AL33" s="13">
        <v>555.43050000000005</v>
      </c>
      <c r="AM33" s="13">
        <v>990</v>
      </c>
      <c r="AN33" s="13">
        <v>990</v>
      </c>
      <c r="AO33" s="13">
        <v>0</v>
      </c>
      <c r="AP33" s="13">
        <v>1528.4589000000001</v>
      </c>
      <c r="AQ33" s="13">
        <v>997.71420000000001</v>
      </c>
      <c r="AR33" s="13">
        <v>530.74469999999997</v>
      </c>
      <c r="AS33" s="13">
        <v>1040</v>
      </c>
      <c r="AT33" s="13">
        <v>1040</v>
      </c>
      <c r="AU33" s="13">
        <v>0</v>
      </c>
      <c r="AV33" s="13">
        <v>1911.7172</v>
      </c>
      <c r="AW33" s="13">
        <v>1047.7141999999999</v>
      </c>
      <c r="AX33" s="13">
        <v>864.00300000000004</v>
      </c>
      <c r="AY33" s="13">
        <v>857</v>
      </c>
      <c r="AZ33" s="13">
        <v>857</v>
      </c>
      <c r="BA33" s="13">
        <v>0</v>
      </c>
      <c r="BB33" s="13">
        <v>1346.0873000000001</v>
      </c>
      <c r="BC33" s="13">
        <v>864.71420000000001</v>
      </c>
      <c r="BD33" s="13">
        <v>481.37310000000002</v>
      </c>
      <c r="BE33" s="13">
        <v>854</v>
      </c>
      <c r="BF33" s="13">
        <v>854</v>
      </c>
      <c r="BG33" s="13">
        <v>0</v>
      </c>
      <c r="BH33" s="13">
        <v>1355.4302</v>
      </c>
      <c r="BI33" s="13">
        <v>861.71420000000001</v>
      </c>
      <c r="BJ33" s="13">
        <v>493.71600000000001</v>
      </c>
      <c r="BK33" s="13">
        <v>1218</v>
      </c>
      <c r="BL33" s="13">
        <v>1218</v>
      </c>
      <c r="BM33" s="13">
        <v>0</v>
      </c>
      <c r="BN33" s="13">
        <v>1793.4875999999999</v>
      </c>
      <c r="BO33" s="13">
        <v>1225.7141999999999</v>
      </c>
      <c r="BP33" s="13">
        <v>567.77340000000004</v>
      </c>
      <c r="BQ33" s="13">
        <v>985</v>
      </c>
      <c r="BR33" s="13">
        <v>985</v>
      </c>
      <c r="BS33" s="13">
        <v>0</v>
      </c>
      <c r="BT33" s="13">
        <v>1498.7730999999999</v>
      </c>
      <c r="BU33" s="13">
        <v>992.71420000000001</v>
      </c>
      <c r="BV33" s="13">
        <v>506.05889999999999</v>
      </c>
      <c r="BW33" s="13">
        <v>1107</v>
      </c>
      <c r="BX33" s="13">
        <v>1107</v>
      </c>
      <c r="BY33" s="13">
        <v>0</v>
      </c>
      <c r="BZ33" s="13">
        <v>1608.4301999999998</v>
      </c>
      <c r="CA33" s="13">
        <v>1114.7141999999999</v>
      </c>
      <c r="CB33" s="13">
        <v>493.71600000000001</v>
      </c>
      <c r="CC33" s="13">
        <v>1448</v>
      </c>
      <c r="CD33" s="13">
        <v>1448</v>
      </c>
      <c r="CE33" s="13">
        <v>0</v>
      </c>
      <c r="CF33" s="13">
        <v>2035.8305</v>
      </c>
      <c r="CG33" s="13">
        <v>1455.7141999999999</v>
      </c>
      <c r="CH33" s="13">
        <v>580.11630000000002</v>
      </c>
      <c r="CI33" s="13">
        <v>959</v>
      </c>
      <c r="CJ33" s="13">
        <v>959</v>
      </c>
      <c r="CK33" s="13">
        <v>0</v>
      </c>
      <c r="CL33" s="13">
        <v>1337.0011999999999</v>
      </c>
      <c r="CM33" s="13">
        <v>966.71420000000001</v>
      </c>
      <c r="CN33" s="13">
        <v>370.28699999999998</v>
      </c>
      <c r="CO33" s="13">
        <v>1148</v>
      </c>
      <c r="CP33" s="13">
        <v>828</v>
      </c>
      <c r="CQ33" s="13">
        <v>320</v>
      </c>
      <c r="CR33" s="13">
        <v>1698.8018</v>
      </c>
      <c r="CS33" s="13">
        <v>835.71420000000001</v>
      </c>
      <c r="CT33" s="13">
        <v>863.08759999999995</v>
      </c>
      <c r="CU33" s="13">
        <f t="shared" si="4"/>
        <v>12527</v>
      </c>
      <c r="CV33" s="13">
        <f t="shared" si="4"/>
        <v>12207</v>
      </c>
      <c r="CW33" s="13">
        <f t="shared" si="4"/>
        <v>320</v>
      </c>
      <c r="CX33" s="13">
        <f t="shared" si="4"/>
        <v>19210.679</v>
      </c>
      <c r="CY33" s="13">
        <f t="shared" si="4"/>
        <v>12299.570400000002</v>
      </c>
      <c r="CZ33" s="13">
        <f t="shared" si="4"/>
        <v>6911.1086000000005</v>
      </c>
      <c r="DA33" s="13">
        <f t="shared" si="5"/>
        <v>3555</v>
      </c>
      <c r="DB33" s="13">
        <f t="shared" si="5"/>
        <v>3235</v>
      </c>
      <c r="DC33" s="13">
        <f t="shared" si="5"/>
        <v>320</v>
      </c>
      <c r="DD33" s="13">
        <f t="shared" si="5"/>
        <v>5071.6334999999999</v>
      </c>
      <c r="DE33" s="13">
        <f t="shared" si="5"/>
        <v>3258.1425999999997</v>
      </c>
      <c r="DF33" s="13">
        <f t="shared" si="5"/>
        <v>1813.4908999999998</v>
      </c>
      <c r="DG33" s="13">
        <f t="shared" si="6"/>
        <v>3310</v>
      </c>
      <c r="DH33" s="13">
        <f t="shared" si="6"/>
        <v>3310</v>
      </c>
      <c r="DI33" s="13">
        <f t="shared" si="6"/>
        <v>0</v>
      </c>
      <c r="DJ33" s="13">
        <f t="shared" si="6"/>
        <v>4900.6908999999996</v>
      </c>
      <c r="DK33" s="13">
        <f t="shared" si="6"/>
        <v>3333.1425999999997</v>
      </c>
      <c r="DL33" s="13">
        <f t="shared" si="6"/>
        <v>1567.5482999999999</v>
      </c>
      <c r="DM33" s="13">
        <f t="shared" si="7"/>
        <v>2107</v>
      </c>
      <c r="DN33" s="13">
        <f t="shared" si="7"/>
        <v>1787</v>
      </c>
      <c r="DO33" s="13">
        <f t="shared" si="7"/>
        <v>320</v>
      </c>
      <c r="DP33" s="13">
        <f t="shared" si="7"/>
        <v>3035.8029999999999</v>
      </c>
      <c r="DQ33" s="13">
        <f t="shared" si="7"/>
        <v>1802.4284</v>
      </c>
      <c r="DR33" s="13">
        <f t="shared" si="7"/>
        <v>1233.3745999999999</v>
      </c>
      <c r="DS33" s="14" t="s">
        <v>71</v>
      </c>
      <c r="DT33" s="14" t="s">
        <v>125</v>
      </c>
      <c r="DU33" s="14" t="s">
        <v>73</v>
      </c>
      <c r="DV33" s="14" t="s">
        <v>63</v>
      </c>
      <c r="DW33" s="14" t="s">
        <v>64</v>
      </c>
    </row>
    <row r="34" spans="2:127" x14ac:dyDescent="0.3">
      <c r="B34" s="11" t="s">
        <v>75</v>
      </c>
      <c r="C34" s="12">
        <v>5001340872</v>
      </c>
      <c r="D34" s="11" t="s">
        <v>184</v>
      </c>
      <c r="E34" s="11" t="s">
        <v>55</v>
      </c>
      <c r="F34" s="11" t="s">
        <v>185</v>
      </c>
      <c r="G34" s="11" t="s">
        <v>186</v>
      </c>
      <c r="H34" s="11" t="s">
        <v>104</v>
      </c>
      <c r="I34" s="11">
        <v>32256</v>
      </c>
      <c r="J34" s="11" t="s">
        <v>70</v>
      </c>
      <c r="K34" s="11"/>
      <c r="L34" s="11"/>
      <c r="M34" s="11"/>
      <c r="N34" s="11"/>
      <c r="O34" s="13">
        <v>4467</v>
      </c>
      <c r="P34" s="13">
        <v>4467</v>
      </c>
      <c r="Q34" s="13">
        <v>0</v>
      </c>
      <c r="R34" s="13">
        <v>24883.9571</v>
      </c>
      <c r="S34" s="13">
        <v>15392.267</v>
      </c>
      <c r="T34" s="13">
        <v>9491.6900999999998</v>
      </c>
      <c r="U34" s="13">
        <v>290</v>
      </c>
      <c r="V34" s="13">
        <v>290</v>
      </c>
      <c r="W34" s="13">
        <v>0</v>
      </c>
      <c r="X34" s="13">
        <v>1320.046</v>
      </c>
      <c r="Y34" s="13">
        <v>962.1019</v>
      </c>
      <c r="Z34" s="13">
        <v>357.94409999999999</v>
      </c>
      <c r="AA34" s="13">
        <v>268</v>
      </c>
      <c r="AB34" s="13">
        <v>268</v>
      </c>
      <c r="AC34" s="13">
        <v>0</v>
      </c>
      <c r="AD34" s="13">
        <v>1865.8139000000001</v>
      </c>
      <c r="AE34" s="13">
        <v>1433.8124</v>
      </c>
      <c r="AF34" s="13">
        <v>432.00150000000002</v>
      </c>
      <c r="AG34" s="13">
        <v>265</v>
      </c>
      <c r="AH34" s="13">
        <v>265</v>
      </c>
      <c r="AI34" s="13">
        <v>0</v>
      </c>
      <c r="AJ34" s="13">
        <v>1492.7218000000003</v>
      </c>
      <c r="AK34" s="13">
        <v>1196.4922000000001</v>
      </c>
      <c r="AL34" s="13">
        <v>296.2296</v>
      </c>
      <c r="AM34" s="13">
        <v>300</v>
      </c>
      <c r="AN34" s="13">
        <v>300</v>
      </c>
      <c r="AO34" s="13">
        <v>0</v>
      </c>
      <c r="AP34" s="13">
        <v>1558.3875</v>
      </c>
      <c r="AQ34" s="13">
        <v>1126.386</v>
      </c>
      <c r="AR34" s="13">
        <v>432.00150000000002</v>
      </c>
      <c r="AS34" s="13">
        <v>286</v>
      </c>
      <c r="AT34" s="13">
        <v>286</v>
      </c>
      <c r="AU34" s="13">
        <v>0</v>
      </c>
      <c r="AV34" s="13">
        <v>2522.5547999999999</v>
      </c>
      <c r="AW34" s="13">
        <v>1806.6666</v>
      </c>
      <c r="AX34" s="13">
        <v>715.88819999999998</v>
      </c>
      <c r="AY34" s="13">
        <v>378</v>
      </c>
      <c r="AZ34" s="13">
        <v>378</v>
      </c>
      <c r="BA34" s="13">
        <v>0</v>
      </c>
      <c r="BB34" s="13">
        <v>1194.94</v>
      </c>
      <c r="BC34" s="13">
        <v>836.99590000000001</v>
      </c>
      <c r="BD34" s="13">
        <v>357.94409999999999</v>
      </c>
      <c r="BE34" s="13">
        <v>268</v>
      </c>
      <c r="BF34" s="13">
        <v>268</v>
      </c>
      <c r="BG34" s="13">
        <v>0</v>
      </c>
      <c r="BH34" s="13">
        <v>1844.7961</v>
      </c>
      <c r="BI34" s="13">
        <v>1054.8505</v>
      </c>
      <c r="BJ34" s="13">
        <v>789.94560000000001</v>
      </c>
      <c r="BK34" s="13">
        <v>489</v>
      </c>
      <c r="BL34" s="13">
        <v>489</v>
      </c>
      <c r="BM34" s="13">
        <v>0</v>
      </c>
      <c r="BN34" s="13">
        <v>2597.3108000000002</v>
      </c>
      <c r="BO34" s="13">
        <v>1387.7066</v>
      </c>
      <c r="BP34" s="13">
        <v>1209.6042</v>
      </c>
      <c r="BQ34" s="13">
        <v>303</v>
      </c>
      <c r="BR34" s="13">
        <v>303</v>
      </c>
      <c r="BS34" s="13">
        <v>0</v>
      </c>
      <c r="BT34" s="13">
        <v>1935.7264</v>
      </c>
      <c r="BU34" s="13">
        <v>960.63729999999998</v>
      </c>
      <c r="BV34" s="13">
        <v>975.08910000000003</v>
      </c>
      <c r="BW34" s="13">
        <v>395</v>
      </c>
      <c r="BX34" s="13">
        <v>395</v>
      </c>
      <c r="BY34" s="13">
        <v>0</v>
      </c>
      <c r="BZ34" s="13">
        <v>1901.4029</v>
      </c>
      <c r="CA34" s="13">
        <v>1173.1718000000001</v>
      </c>
      <c r="CB34" s="13">
        <v>728.23109999999997</v>
      </c>
      <c r="CC34" s="13">
        <v>657</v>
      </c>
      <c r="CD34" s="13">
        <v>657</v>
      </c>
      <c r="CE34" s="13">
        <v>0</v>
      </c>
      <c r="CF34" s="13">
        <v>2654.0321000000004</v>
      </c>
      <c r="CG34" s="13">
        <v>1543.1711</v>
      </c>
      <c r="CH34" s="13">
        <v>1110.8610000000001</v>
      </c>
      <c r="CI34" s="13">
        <v>216</v>
      </c>
      <c r="CJ34" s="13">
        <v>216</v>
      </c>
      <c r="CK34" s="13">
        <v>0</v>
      </c>
      <c r="CL34" s="13">
        <v>1855.4763</v>
      </c>
      <c r="CM34" s="13">
        <v>880.38720000000001</v>
      </c>
      <c r="CN34" s="13">
        <v>975.08910000000003</v>
      </c>
      <c r="CO34" s="13">
        <v>352</v>
      </c>
      <c r="CP34" s="13">
        <v>352</v>
      </c>
      <c r="CQ34" s="13">
        <v>0</v>
      </c>
      <c r="CR34" s="13">
        <v>2140.7485000000001</v>
      </c>
      <c r="CS34" s="13">
        <v>1029.8875</v>
      </c>
      <c r="CT34" s="13">
        <v>1110.8610000000001</v>
      </c>
      <c r="CU34" s="13">
        <f t="shared" si="4"/>
        <v>4177</v>
      </c>
      <c r="CV34" s="13">
        <f t="shared" si="4"/>
        <v>4177</v>
      </c>
      <c r="CW34" s="13">
        <f t="shared" si="4"/>
        <v>0</v>
      </c>
      <c r="CX34" s="13">
        <f t="shared" si="4"/>
        <v>23563.911100000001</v>
      </c>
      <c r="CY34" s="13">
        <f t="shared" si="4"/>
        <v>14430.1651</v>
      </c>
      <c r="CZ34" s="13">
        <f t="shared" si="4"/>
        <v>9133.746000000001</v>
      </c>
      <c r="DA34" s="13">
        <f t="shared" si="5"/>
        <v>1225</v>
      </c>
      <c r="DB34" s="13">
        <f t="shared" si="5"/>
        <v>1225</v>
      </c>
      <c r="DC34" s="13">
        <f t="shared" si="5"/>
        <v>0</v>
      </c>
      <c r="DD34" s="13">
        <f t="shared" si="5"/>
        <v>6650.2569000000003</v>
      </c>
      <c r="DE34" s="13">
        <f t="shared" si="5"/>
        <v>3453.4458000000004</v>
      </c>
      <c r="DF34" s="13">
        <f t="shared" si="5"/>
        <v>3196.8110999999999</v>
      </c>
      <c r="DG34" s="13">
        <f t="shared" si="6"/>
        <v>1187</v>
      </c>
      <c r="DH34" s="13">
        <f t="shared" si="6"/>
        <v>1187</v>
      </c>
      <c r="DI34" s="13">
        <f t="shared" si="6"/>
        <v>0</v>
      </c>
      <c r="DJ34" s="13">
        <f t="shared" si="6"/>
        <v>6434.4401000000007</v>
      </c>
      <c r="DK34" s="13">
        <f t="shared" si="6"/>
        <v>3521.5156999999999</v>
      </c>
      <c r="DL34" s="13">
        <f t="shared" si="6"/>
        <v>2912.9243999999999</v>
      </c>
      <c r="DM34" s="13">
        <f t="shared" si="7"/>
        <v>568</v>
      </c>
      <c r="DN34" s="13">
        <f t="shared" si="7"/>
        <v>568</v>
      </c>
      <c r="DO34" s="13">
        <f t="shared" si="7"/>
        <v>0</v>
      </c>
      <c r="DP34" s="13">
        <f t="shared" si="7"/>
        <v>3996.2248</v>
      </c>
      <c r="DQ34" s="13">
        <f t="shared" si="7"/>
        <v>1910.2746999999999</v>
      </c>
      <c r="DR34" s="13">
        <f t="shared" si="7"/>
        <v>2085.9501</v>
      </c>
      <c r="DS34" s="14" t="s">
        <v>71</v>
      </c>
      <c r="DT34" s="14" t="s">
        <v>92</v>
      </c>
      <c r="DU34" s="14" t="s">
        <v>187</v>
      </c>
      <c r="DV34" s="14" t="s">
        <v>63</v>
      </c>
      <c r="DW34" s="14" t="s">
        <v>74</v>
      </c>
    </row>
    <row r="35" spans="2:127" x14ac:dyDescent="0.3">
      <c r="B35" s="11" t="s">
        <v>65</v>
      </c>
      <c r="C35" s="12">
        <v>5001340914</v>
      </c>
      <c r="D35" s="11" t="s">
        <v>188</v>
      </c>
      <c r="E35" s="11" t="s">
        <v>55</v>
      </c>
      <c r="F35" s="11" t="s">
        <v>189</v>
      </c>
      <c r="G35" s="11" t="s">
        <v>190</v>
      </c>
      <c r="H35" s="11" t="s">
        <v>191</v>
      </c>
      <c r="I35" s="11">
        <v>20420</v>
      </c>
      <c r="J35" s="11" t="s">
        <v>80</v>
      </c>
      <c r="K35" s="11"/>
      <c r="L35" s="11"/>
      <c r="M35" s="11"/>
      <c r="N35" s="11"/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f t="shared" si="4"/>
        <v>0</v>
      </c>
      <c r="CV35" s="13">
        <f t="shared" si="4"/>
        <v>0</v>
      </c>
      <c r="CW35" s="13">
        <f t="shared" si="4"/>
        <v>0</v>
      </c>
      <c r="CX35" s="13">
        <f t="shared" si="4"/>
        <v>0</v>
      </c>
      <c r="CY35" s="13">
        <f t="shared" si="4"/>
        <v>0</v>
      </c>
      <c r="CZ35" s="13">
        <f t="shared" si="4"/>
        <v>0</v>
      </c>
      <c r="DA35" s="13">
        <f t="shared" si="5"/>
        <v>0</v>
      </c>
      <c r="DB35" s="13">
        <f t="shared" si="5"/>
        <v>0</v>
      </c>
      <c r="DC35" s="13">
        <f t="shared" si="5"/>
        <v>0</v>
      </c>
      <c r="DD35" s="13">
        <f t="shared" si="5"/>
        <v>0</v>
      </c>
      <c r="DE35" s="13">
        <f t="shared" si="5"/>
        <v>0</v>
      </c>
      <c r="DF35" s="13">
        <f t="shared" si="5"/>
        <v>0</v>
      </c>
      <c r="DG35" s="13">
        <f t="shared" si="6"/>
        <v>0</v>
      </c>
      <c r="DH35" s="13">
        <f t="shared" si="6"/>
        <v>0</v>
      </c>
      <c r="DI35" s="13">
        <f t="shared" si="6"/>
        <v>0</v>
      </c>
      <c r="DJ35" s="13">
        <f t="shared" si="6"/>
        <v>0</v>
      </c>
      <c r="DK35" s="13">
        <f t="shared" si="6"/>
        <v>0</v>
      </c>
      <c r="DL35" s="13">
        <f t="shared" si="6"/>
        <v>0</v>
      </c>
      <c r="DM35" s="13">
        <f t="shared" si="7"/>
        <v>0</v>
      </c>
      <c r="DN35" s="13">
        <f t="shared" si="7"/>
        <v>0</v>
      </c>
      <c r="DO35" s="13">
        <f t="shared" si="7"/>
        <v>0</v>
      </c>
      <c r="DP35" s="13">
        <f t="shared" si="7"/>
        <v>0</v>
      </c>
      <c r="DQ35" s="13">
        <f t="shared" si="7"/>
        <v>0</v>
      </c>
      <c r="DR35" s="13">
        <f t="shared" si="7"/>
        <v>0</v>
      </c>
      <c r="DS35" s="14" t="s">
        <v>60</v>
      </c>
      <c r="DT35" s="14" t="s">
        <v>192</v>
      </c>
      <c r="DU35" s="14" t="s">
        <v>73</v>
      </c>
      <c r="DV35" s="14" t="s">
        <v>169</v>
      </c>
      <c r="DW35" s="14" t="s">
        <v>74</v>
      </c>
    </row>
    <row r="36" spans="2:127" x14ac:dyDescent="0.3">
      <c r="B36" s="11" t="s">
        <v>75</v>
      </c>
      <c r="C36" s="12">
        <v>5001340955</v>
      </c>
      <c r="D36" s="11" t="s">
        <v>193</v>
      </c>
      <c r="E36" s="11" t="s">
        <v>55</v>
      </c>
      <c r="F36" s="11" t="s">
        <v>194</v>
      </c>
      <c r="G36" s="11" t="s">
        <v>195</v>
      </c>
      <c r="H36" s="11" t="s">
        <v>120</v>
      </c>
      <c r="I36" s="11">
        <v>38138</v>
      </c>
      <c r="J36" s="11" t="s">
        <v>109</v>
      </c>
      <c r="K36" s="11"/>
      <c r="L36" s="11"/>
      <c r="M36" s="11"/>
      <c r="N36" s="11"/>
      <c r="O36" s="13">
        <v>239</v>
      </c>
      <c r="P36" s="13">
        <v>239</v>
      </c>
      <c r="Q36" s="13">
        <v>0</v>
      </c>
      <c r="R36" s="13">
        <v>39754.598700000002</v>
      </c>
      <c r="S36" s="13">
        <v>504.17669999999998</v>
      </c>
      <c r="T36" s="13">
        <v>39250.421999999999</v>
      </c>
      <c r="U36" s="13">
        <v>20</v>
      </c>
      <c r="V36" s="13">
        <v>20</v>
      </c>
      <c r="W36" s="13">
        <v>0</v>
      </c>
      <c r="X36" s="13">
        <v>2577.2943</v>
      </c>
      <c r="Y36" s="13">
        <v>46.9998</v>
      </c>
      <c r="Z36" s="13">
        <v>2530.2945</v>
      </c>
      <c r="AA36" s="13">
        <v>30</v>
      </c>
      <c r="AB36" s="13">
        <v>30</v>
      </c>
      <c r="AC36" s="13">
        <v>0</v>
      </c>
      <c r="AD36" s="13">
        <v>3153.3319000000001</v>
      </c>
      <c r="AE36" s="13">
        <v>67.606899999999996</v>
      </c>
      <c r="AF36" s="13">
        <v>3085.7249999999999</v>
      </c>
      <c r="AG36" s="13">
        <v>32</v>
      </c>
      <c r="AH36" s="13">
        <v>32</v>
      </c>
      <c r="AI36" s="13">
        <v>0</v>
      </c>
      <c r="AJ36" s="13">
        <v>2762.0949000000001</v>
      </c>
      <c r="AK36" s="13">
        <v>58.9998</v>
      </c>
      <c r="AL36" s="13">
        <v>2703.0951</v>
      </c>
      <c r="AM36" s="13">
        <v>11</v>
      </c>
      <c r="AN36" s="13">
        <v>11</v>
      </c>
      <c r="AO36" s="13">
        <v>0</v>
      </c>
      <c r="AP36" s="13">
        <v>2704.0662000000002</v>
      </c>
      <c r="AQ36" s="13">
        <v>37.9998</v>
      </c>
      <c r="AR36" s="13">
        <v>2666.0664000000002</v>
      </c>
      <c r="AS36" s="13">
        <v>30</v>
      </c>
      <c r="AT36" s="13">
        <v>30</v>
      </c>
      <c r="AU36" s="13">
        <v>0</v>
      </c>
      <c r="AV36" s="13">
        <v>3599.4121</v>
      </c>
      <c r="AW36" s="13">
        <v>56.9998</v>
      </c>
      <c r="AX36" s="13">
        <v>3542.4123</v>
      </c>
      <c r="AY36" s="13">
        <v>0</v>
      </c>
      <c r="AZ36" s="13">
        <v>0</v>
      </c>
      <c r="BA36" s="13">
        <v>0</v>
      </c>
      <c r="BB36" s="13">
        <v>2327.4079000000002</v>
      </c>
      <c r="BC36" s="13">
        <v>19.285599999999999</v>
      </c>
      <c r="BD36" s="13">
        <v>2308.1223</v>
      </c>
      <c r="BE36" s="13">
        <v>30</v>
      </c>
      <c r="BF36" s="13">
        <v>30</v>
      </c>
      <c r="BG36" s="13">
        <v>0</v>
      </c>
      <c r="BH36" s="13">
        <v>3112.0605999999998</v>
      </c>
      <c r="BI36" s="13">
        <v>38.6785</v>
      </c>
      <c r="BJ36" s="13">
        <v>3073.3820999999998</v>
      </c>
      <c r="BK36" s="13">
        <v>20</v>
      </c>
      <c r="BL36" s="13">
        <v>20</v>
      </c>
      <c r="BM36" s="13">
        <v>0</v>
      </c>
      <c r="BN36" s="13">
        <v>3498.962</v>
      </c>
      <c r="BO36" s="13">
        <v>30.607100000000003</v>
      </c>
      <c r="BP36" s="13">
        <v>3468.3548999999998</v>
      </c>
      <c r="BQ36" s="13">
        <v>15</v>
      </c>
      <c r="BR36" s="13">
        <v>15</v>
      </c>
      <c r="BS36" s="13">
        <v>0</v>
      </c>
      <c r="BT36" s="13">
        <v>3164.5607999999997</v>
      </c>
      <c r="BU36" s="13">
        <v>29.464199999999998</v>
      </c>
      <c r="BV36" s="13">
        <v>3135.0965999999999</v>
      </c>
      <c r="BW36" s="13">
        <v>7</v>
      </c>
      <c r="BX36" s="13">
        <v>7</v>
      </c>
      <c r="BY36" s="13">
        <v>0</v>
      </c>
      <c r="BZ36" s="13">
        <v>3017.1244999999999</v>
      </c>
      <c r="CA36" s="13">
        <v>30.142700000000001</v>
      </c>
      <c r="CB36" s="13">
        <v>2986.9818</v>
      </c>
      <c r="CC36" s="13">
        <v>27</v>
      </c>
      <c r="CD36" s="13">
        <v>27</v>
      </c>
      <c r="CE36" s="13">
        <v>0</v>
      </c>
      <c r="CF36" s="13">
        <v>3670.4695000000002</v>
      </c>
      <c r="CG36" s="13">
        <v>53.9998</v>
      </c>
      <c r="CH36" s="13">
        <v>3616.4697000000001</v>
      </c>
      <c r="CI36" s="13">
        <v>15</v>
      </c>
      <c r="CJ36" s="13">
        <v>15</v>
      </c>
      <c r="CK36" s="13">
        <v>0</v>
      </c>
      <c r="CL36" s="13">
        <v>2969.0029</v>
      </c>
      <c r="CM36" s="13">
        <v>31.392700000000001</v>
      </c>
      <c r="CN36" s="13">
        <v>2937.6102000000001</v>
      </c>
      <c r="CO36" s="13">
        <v>2</v>
      </c>
      <c r="CP36" s="13">
        <v>2</v>
      </c>
      <c r="CQ36" s="13">
        <v>0</v>
      </c>
      <c r="CR36" s="13">
        <v>3198.8110999999999</v>
      </c>
      <c r="CS36" s="13">
        <v>2</v>
      </c>
      <c r="CT36" s="13">
        <v>3196.8110999999999</v>
      </c>
      <c r="CU36" s="13">
        <f t="shared" si="4"/>
        <v>219</v>
      </c>
      <c r="CV36" s="13">
        <f t="shared" si="4"/>
        <v>219</v>
      </c>
      <c r="CW36" s="13">
        <f t="shared" si="4"/>
        <v>0</v>
      </c>
      <c r="CX36" s="13">
        <f t="shared" si="4"/>
        <v>37177.304399999994</v>
      </c>
      <c r="CY36" s="13">
        <f t="shared" si="4"/>
        <v>457.17689999999993</v>
      </c>
      <c r="CZ36" s="13">
        <f t="shared" si="4"/>
        <v>36720.127500000002</v>
      </c>
      <c r="DA36" s="13">
        <f t="shared" si="5"/>
        <v>44</v>
      </c>
      <c r="DB36" s="13">
        <f t="shared" si="5"/>
        <v>44</v>
      </c>
      <c r="DC36" s="13">
        <f t="shared" si="5"/>
        <v>0</v>
      </c>
      <c r="DD36" s="13">
        <f t="shared" si="5"/>
        <v>9838.2835000000014</v>
      </c>
      <c r="DE36" s="13">
        <f t="shared" si="5"/>
        <v>87.392499999999998</v>
      </c>
      <c r="DF36" s="13">
        <f t="shared" si="5"/>
        <v>9750.8909999999996</v>
      </c>
      <c r="DG36" s="13">
        <f t="shared" si="6"/>
        <v>42</v>
      </c>
      <c r="DH36" s="13">
        <f t="shared" si="6"/>
        <v>42</v>
      </c>
      <c r="DI36" s="13">
        <f t="shared" si="6"/>
        <v>0</v>
      </c>
      <c r="DJ36" s="13">
        <f t="shared" si="6"/>
        <v>9680.6473000000005</v>
      </c>
      <c r="DK36" s="13">
        <f t="shared" si="6"/>
        <v>90.213999999999999</v>
      </c>
      <c r="DL36" s="13">
        <f t="shared" si="6"/>
        <v>9590.4332999999988</v>
      </c>
      <c r="DM36" s="13">
        <f t="shared" si="7"/>
        <v>17</v>
      </c>
      <c r="DN36" s="13">
        <f t="shared" si="7"/>
        <v>17</v>
      </c>
      <c r="DO36" s="13">
        <f t="shared" si="7"/>
        <v>0</v>
      </c>
      <c r="DP36" s="13">
        <f t="shared" si="7"/>
        <v>6167.8140000000003</v>
      </c>
      <c r="DQ36" s="13">
        <f t="shared" si="7"/>
        <v>33.392700000000005</v>
      </c>
      <c r="DR36" s="13">
        <f t="shared" si="7"/>
        <v>6134.4213</v>
      </c>
      <c r="DS36" s="14" t="s">
        <v>60</v>
      </c>
      <c r="DT36" s="14" t="s">
        <v>125</v>
      </c>
      <c r="DU36" s="14" t="s">
        <v>73</v>
      </c>
      <c r="DV36" s="14" t="s">
        <v>63</v>
      </c>
      <c r="DW36" s="14" t="s">
        <v>74</v>
      </c>
    </row>
    <row r="37" spans="2:127" x14ac:dyDescent="0.3">
      <c r="B37" s="11" t="s">
        <v>65</v>
      </c>
      <c r="C37" s="12">
        <v>5001340958</v>
      </c>
      <c r="D37" s="11" t="s">
        <v>196</v>
      </c>
      <c r="E37" s="11" t="s">
        <v>55</v>
      </c>
      <c r="F37" s="11" t="s">
        <v>197</v>
      </c>
      <c r="G37" s="11" t="s">
        <v>198</v>
      </c>
      <c r="H37" s="11" t="s">
        <v>199</v>
      </c>
      <c r="I37" s="11">
        <v>49546</v>
      </c>
      <c r="J37" s="11" t="s">
        <v>70</v>
      </c>
      <c r="K37" s="11"/>
      <c r="L37" s="11"/>
      <c r="M37" s="11"/>
      <c r="N37" s="11"/>
      <c r="O37" s="13">
        <v>1055</v>
      </c>
      <c r="P37" s="13">
        <v>1055</v>
      </c>
      <c r="Q37" s="13">
        <v>0</v>
      </c>
      <c r="R37" s="13">
        <v>69352.925399999993</v>
      </c>
      <c r="S37" s="13">
        <v>15068.851199999999</v>
      </c>
      <c r="T37" s="13">
        <v>54284.074200000003</v>
      </c>
      <c r="U37" s="13">
        <v>75</v>
      </c>
      <c r="V37" s="13">
        <v>75</v>
      </c>
      <c r="W37" s="13">
        <v>0</v>
      </c>
      <c r="X37" s="13">
        <v>4206.7676000000001</v>
      </c>
      <c r="Y37" s="13">
        <v>1664.1302000000001</v>
      </c>
      <c r="Z37" s="13">
        <v>2542.6374000000001</v>
      </c>
      <c r="AA37" s="13">
        <v>64</v>
      </c>
      <c r="AB37" s="13">
        <v>64</v>
      </c>
      <c r="AC37" s="13">
        <v>0</v>
      </c>
      <c r="AD37" s="13">
        <v>5427.9341000000004</v>
      </c>
      <c r="AE37" s="13">
        <v>1823.8072999999999</v>
      </c>
      <c r="AF37" s="13">
        <v>3604.1268</v>
      </c>
      <c r="AG37" s="13">
        <v>64</v>
      </c>
      <c r="AH37" s="13">
        <v>64</v>
      </c>
      <c r="AI37" s="13">
        <v>0</v>
      </c>
      <c r="AJ37" s="13">
        <v>4744.6450000000004</v>
      </c>
      <c r="AK37" s="13">
        <v>1288.633</v>
      </c>
      <c r="AL37" s="13">
        <v>3456.0120000000002</v>
      </c>
      <c r="AM37" s="13">
        <v>73</v>
      </c>
      <c r="AN37" s="13">
        <v>73</v>
      </c>
      <c r="AO37" s="13">
        <v>0</v>
      </c>
      <c r="AP37" s="13">
        <v>4568.5045</v>
      </c>
      <c r="AQ37" s="13">
        <v>1050.778</v>
      </c>
      <c r="AR37" s="13">
        <v>3517.7265000000002</v>
      </c>
      <c r="AS37" s="13">
        <v>80</v>
      </c>
      <c r="AT37" s="13">
        <v>80</v>
      </c>
      <c r="AU37" s="13">
        <v>0</v>
      </c>
      <c r="AV37" s="13">
        <v>6468.2068999999992</v>
      </c>
      <c r="AW37" s="13">
        <v>1395.2750000000001</v>
      </c>
      <c r="AX37" s="13">
        <v>5072.9318999999996</v>
      </c>
      <c r="AY37" s="13">
        <v>76</v>
      </c>
      <c r="AZ37" s="13">
        <v>76</v>
      </c>
      <c r="BA37" s="13">
        <v>0</v>
      </c>
      <c r="BB37" s="13">
        <v>5356.6286</v>
      </c>
      <c r="BC37" s="13">
        <v>1048.9565</v>
      </c>
      <c r="BD37" s="13">
        <v>4307.6720999999998</v>
      </c>
      <c r="BE37" s="13">
        <v>66</v>
      </c>
      <c r="BF37" s="13">
        <v>66</v>
      </c>
      <c r="BG37" s="13">
        <v>0</v>
      </c>
      <c r="BH37" s="13">
        <v>4721.1932000000006</v>
      </c>
      <c r="BI37" s="13">
        <v>808.49390000000005</v>
      </c>
      <c r="BJ37" s="13">
        <v>3912.6993000000002</v>
      </c>
      <c r="BK37" s="13">
        <v>68</v>
      </c>
      <c r="BL37" s="13">
        <v>68</v>
      </c>
      <c r="BM37" s="13">
        <v>0</v>
      </c>
      <c r="BN37" s="13">
        <v>6678.1869999999999</v>
      </c>
      <c r="BO37" s="13">
        <v>1309.0255</v>
      </c>
      <c r="BP37" s="13">
        <v>5369.1615000000002</v>
      </c>
      <c r="BQ37" s="13">
        <v>42</v>
      </c>
      <c r="BR37" s="13">
        <v>42</v>
      </c>
      <c r="BS37" s="13">
        <v>0</v>
      </c>
      <c r="BT37" s="13">
        <v>4807.5065999999997</v>
      </c>
      <c r="BU37" s="13">
        <v>919.49310000000003</v>
      </c>
      <c r="BV37" s="13">
        <v>3888.0135</v>
      </c>
      <c r="BW37" s="13">
        <v>88</v>
      </c>
      <c r="BX37" s="13">
        <v>88</v>
      </c>
      <c r="BY37" s="13">
        <v>0</v>
      </c>
      <c r="BZ37" s="13">
        <v>5045.2066000000004</v>
      </c>
      <c r="CA37" s="13">
        <v>1021.4212</v>
      </c>
      <c r="CB37" s="13">
        <v>4023.7854000000002</v>
      </c>
      <c r="CC37" s="13">
        <v>136</v>
      </c>
      <c r="CD37" s="13">
        <v>136</v>
      </c>
      <c r="CE37" s="13">
        <v>0</v>
      </c>
      <c r="CF37" s="13">
        <v>6459.7965999999997</v>
      </c>
      <c r="CG37" s="13">
        <v>1090.6351</v>
      </c>
      <c r="CH37" s="13">
        <v>5369.1615000000002</v>
      </c>
      <c r="CI37" s="13">
        <v>119</v>
      </c>
      <c r="CJ37" s="13">
        <v>119</v>
      </c>
      <c r="CK37" s="13">
        <v>0</v>
      </c>
      <c r="CL37" s="13">
        <v>5545.8175000000001</v>
      </c>
      <c r="CM37" s="13">
        <v>843.17259999999999</v>
      </c>
      <c r="CN37" s="13">
        <v>4702.6449000000002</v>
      </c>
      <c r="CO37" s="13">
        <v>104</v>
      </c>
      <c r="CP37" s="13">
        <v>104</v>
      </c>
      <c r="CQ37" s="13">
        <v>0</v>
      </c>
      <c r="CR37" s="13">
        <v>5322.5312000000004</v>
      </c>
      <c r="CS37" s="13">
        <v>805.02980000000002</v>
      </c>
      <c r="CT37" s="13">
        <v>4517.5014000000001</v>
      </c>
      <c r="CU37" s="13">
        <f t="shared" si="4"/>
        <v>980</v>
      </c>
      <c r="CV37" s="13">
        <f t="shared" si="4"/>
        <v>980</v>
      </c>
      <c r="CW37" s="13">
        <f t="shared" si="4"/>
        <v>0</v>
      </c>
      <c r="CX37" s="13">
        <f t="shared" si="4"/>
        <v>65146.157800000001</v>
      </c>
      <c r="CY37" s="13">
        <f t="shared" si="4"/>
        <v>13404.721000000001</v>
      </c>
      <c r="CZ37" s="13">
        <f t="shared" si="4"/>
        <v>51741.436800000003</v>
      </c>
      <c r="DA37" s="13">
        <f t="shared" si="5"/>
        <v>359</v>
      </c>
      <c r="DB37" s="13">
        <f t="shared" si="5"/>
        <v>359</v>
      </c>
      <c r="DC37" s="13">
        <f t="shared" si="5"/>
        <v>0</v>
      </c>
      <c r="DD37" s="13">
        <f t="shared" si="5"/>
        <v>17328.1453</v>
      </c>
      <c r="DE37" s="13">
        <f t="shared" si="5"/>
        <v>2738.8374999999996</v>
      </c>
      <c r="DF37" s="13">
        <f t="shared" si="5"/>
        <v>14589.307800000002</v>
      </c>
      <c r="DG37" s="13">
        <f t="shared" si="6"/>
        <v>198</v>
      </c>
      <c r="DH37" s="13">
        <f t="shared" si="6"/>
        <v>198</v>
      </c>
      <c r="DI37" s="13">
        <f t="shared" si="6"/>
        <v>0</v>
      </c>
      <c r="DJ37" s="13">
        <f t="shared" si="6"/>
        <v>16530.9002</v>
      </c>
      <c r="DK37" s="13">
        <f t="shared" si="6"/>
        <v>3249.9398000000001</v>
      </c>
      <c r="DL37" s="13">
        <f t="shared" si="6"/>
        <v>13280.9604</v>
      </c>
      <c r="DM37" s="13">
        <f t="shared" si="7"/>
        <v>223</v>
      </c>
      <c r="DN37" s="13">
        <f t="shared" si="7"/>
        <v>223</v>
      </c>
      <c r="DO37" s="13">
        <f t="shared" si="7"/>
        <v>0</v>
      </c>
      <c r="DP37" s="13">
        <f t="shared" si="7"/>
        <v>10868.3487</v>
      </c>
      <c r="DQ37" s="13">
        <f t="shared" si="7"/>
        <v>1648.2024000000001</v>
      </c>
      <c r="DR37" s="13">
        <f t="shared" si="7"/>
        <v>9220.1463000000003</v>
      </c>
      <c r="DS37" s="14" t="s">
        <v>71</v>
      </c>
      <c r="DT37" s="14" t="s">
        <v>125</v>
      </c>
      <c r="DU37" s="14" t="s">
        <v>73</v>
      </c>
      <c r="DV37" s="14" t="s">
        <v>63</v>
      </c>
      <c r="DW37" s="14" t="s">
        <v>74</v>
      </c>
    </row>
    <row r="38" spans="2:127" x14ac:dyDescent="0.3">
      <c r="B38" s="11" t="s">
        <v>53</v>
      </c>
      <c r="C38" s="12">
        <v>5001341405</v>
      </c>
      <c r="D38" s="11" t="s">
        <v>200</v>
      </c>
      <c r="E38" s="11" t="s">
        <v>55</v>
      </c>
      <c r="F38" s="11" t="s">
        <v>201</v>
      </c>
      <c r="G38" s="11" t="s">
        <v>202</v>
      </c>
      <c r="H38" s="11" t="s">
        <v>173</v>
      </c>
      <c r="I38" s="11">
        <v>98405</v>
      </c>
      <c r="J38" s="11" t="s">
        <v>70</v>
      </c>
      <c r="K38" s="11"/>
      <c r="L38" s="11"/>
      <c r="M38" s="11"/>
      <c r="N38" s="11"/>
      <c r="O38" s="13">
        <v>1263</v>
      </c>
      <c r="P38" s="13">
        <v>1263</v>
      </c>
      <c r="Q38" s="13">
        <v>0</v>
      </c>
      <c r="R38" s="13">
        <v>6556.9417999999996</v>
      </c>
      <c r="S38" s="13">
        <v>1681.4963</v>
      </c>
      <c r="T38" s="13">
        <v>4875.4454999999998</v>
      </c>
      <c r="U38" s="13">
        <v>85</v>
      </c>
      <c r="V38" s="13">
        <v>85</v>
      </c>
      <c r="W38" s="13">
        <v>0</v>
      </c>
      <c r="X38" s="13">
        <v>564.63729999999998</v>
      </c>
      <c r="Y38" s="13">
        <v>95.607100000000003</v>
      </c>
      <c r="Z38" s="13">
        <v>469.03019999999998</v>
      </c>
      <c r="AA38" s="13">
        <v>79</v>
      </c>
      <c r="AB38" s="13">
        <v>79</v>
      </c>
      <c r="AC38" s="13">
        <v>0</v>
      </c>
      <c r="AD38" s="13">
        <v>642.14390000000003</v>
      </c>
      <c r="AE38" s="13">
        <v>148.42789999999999</v>
      </c>
      <c r="AF38" s="13">
        <v>493.71600000000001</v>
      </c>
      <c r="AG38" s="13">
        <v>50</v>
      </c>
      <c r="AH38" s="13">
        <v>50</v>
      </c>
      <c r="AI38" s="13">
        <v>0</v>
      </c>
      <c r="AJ38" s="13">
        <v>473.90110000000004</v>
      </c>
      <c r="AK38" s="13">
        <v>78.928300000000007</v>
      </c>
      <c r="AL38" s="13">
        <v>394.97280000000001</v>
      </c>
      <c r="AM38" s="13">
        <v>52</v>
      </c>
      <c r="AN38" s="13">
        <v>52</v>
      </c>
      <c r="AO38" s="13">
        <v>0</v>
      </c>
      <c r="AP38" s="13">
        <v>445.23700000000002</v>
      </c>
      <c r="AQ38" s="13">
        <v>62.607100000000003</v>
      </c>
      <c r="AR38" s="13">
        <v>382.62990000000002</v>
      </c>
      <c r="AS38" s="13">
        <v>124</v>
      </c>
      <c r="AT38" s="13">
        <v>124</v>
      </c>
      <c r="AU38" s="13">
        <v>0</v>
      </c>
      <c r="AV38" s="13">
        <v>634.68669999999997</v>
      </c>
      <c r="AW38" s="13">
        <v>177.99940000000001</v>
      </c>
      <c r="AX38" s="13">
        <v>456.68729999999999</v>
      </c>
      <c r="AY38" s="13">
        <v>107</v>
      </c>
      <c r="AZ38" s="13">
        <v>107</v>
      </c>
      <c r="BA38" s="13">
        <v>0</v>
      </c>
      <c r="BB38" s="13">
        <v>412.87239999999997</v>
      </c>
      <c r="BC38" s="13">
        <v>116.64279999999999</v>
      </c>
      <c r="BD38" s="13">
        <v>296.2296</v>
      </c>
      <c r="BE38" s="13">
        <v>140</v>
      </c>
      <c r="BF38" s="13">
        <v>140</v>
      </c>
      <c r="BG38" s="13">
        <v>0</v>
      </c>
      <c r="BH38" s="13">
        <v>542.30079999999998</v>
      </c>
      <c r="BI38" s="13">
        <v>184.35669999999999</v>
      </c>
      <c r="BJ38" s="13">
        <v>357.94409999999999</v>
      </c>
      <c r="BK38" s="13">
        <v>140</v>
      </c>
      <c r="BL38" s="13">
        <v>140</v>
      </c>
      <c r="BM38" s="13">
        <v>0</v>
      </c>
      <c r="BN38" s="13">
        <v>581.83699999999999</v>
      </c>
      <c r="BO38" s="13">
        <v>162.17840000000001</v>
      </c>
      <c r="BP38" s="13">
        <v>419.65859999999998</v>
      </c>
      <c r="BQ38" s="13">
        <v>78</v>
      </c>
      <c r="BR38" s="13">
        <v>78</v>
      </c>
      <c r="BS38" s="13">
        <v>0</v>
      </c>
      <c r="BT38" s="13">
        <v>494.37959999999998</v>
      </c>
      <c r="BU38" s="13">
        <v>111.74969999999999</v>
      </c>
      <c r="BV38" s="13">
        <v>382.62990000000002</v>
      </c>
      <c r="BW38" s="13">
        <v>121</v>
      </c>
      <c r="BX38" s="13">
        <v>121</v>
      </c>
      <c r="BY38" s="13">
        <v>0</v>
      </c>
      <c r="BZ38" s="13">
        <v>389.26479999999998</v>
      </c>
      <c r="CA38" s="13">
        <v>154.74969999999999</v>
      </c>
      <c r="CB38" s="13">
        <v>234.51509999999999</v>
      </c>
      <c r="CC38" s="13">
        <v>135</v>
      </c>
      <c r="CD38" s="13">
        <v>135</v>
      </c>
      <c r="CE38" s="13">
        <v>0</v>
      </c>
      <c r="CF38" s="13">
        <v>532.86490000000003</v>
      </c>
      <c r="CG38" s="13">
        <v>199.60660000000001</v>
      </c>
      <c r="CH38" s="13">
        <v>333.25830000000002</v>
      </c>
      <c r="CI38" s="13">
        <v>74</v>
      </c>
      <c r="CJ38" s="13">
        <v>74</v>
      </c>
      <c r="CK38" s="13">
        <v>0</v>
      </c>
      <c r="CL38" s="13">
        <v>405.52249999999998</v>
      </c>
      <c r="CM38" s="13">
        <v>84.607100000000003</v>
      </c>
      <c r="CN38" s="13">
        <v>320.91539999999998</v>
      </c>
      <c r="CO38" s="13">
        <v>78</v>
      </c>
      <c r="CP38" s="13">
        <v>78</v>
      </c>
      <c r="CQ38" s="13">
        <v>0</v>
      </c>
      <c r="CR38" s="13">
        <v>437.29380000000003</v>
      </c>
      <c r="CS38" s="13">
        <v>104.0355</v>
      </c>
      <c r="CT38" s="13">
        <v>333.25830000000002</v>
      </c>
      <c r="CU38" s="13">
        <f t="shared" si="4"/>
        <v>1178</v>
      </c>
      <c r="CV38" s="13">
        <f t="shared" si="4"/>
        <v>1178</v>
      </c>
      <c r="CW38" s="13">
        <f t="shared" si="4"/>
        <v>0</v>
      </c>
      <c r="CX38" s="13">
        <f t="shared" si="4"/>
        <v>5992.3045000000002</v>
      </c>
      <c r="CY38" s="13">
        <f t="shared" si="4"/>
        <v>1585.8892000000001</v>
      </c>
      <c r="CZ38" s="13">
        <f t="shared" si="4"/>
        <v>4406.4153000000006</v>
      </c>
      <c r="DA38" s="13">
        <f t="shared" si="5"/>
        <v>287</v>
      </c>
      <c r="DB38" s="13">
        <f t="shared" si="5"/>
        <v>287</v>
      </c>
      <c r="DC38" s="13">
        <f t="shared" si="5"/>
        <v>0</v>
      </c>
      <c r="DD38" s="13">
        <f t="shared" si="5"/>
        <v>1375.6812</v>
      </c>
      <c r="DE38" s="13">
        <f t="shared" si="5"/>
        <v>388.24920000000003</v>
      </c>
      <c r="DF38" s="13">
        <f t="shared" si="5"/>
        <v>987.43200000000002</v>
      </c>
      <c r="DG38" s="13">
        <f t="shared" si="6"/>
        <v>339</v>
      </c>
      <c r="DH38" s="13">
        <f t="shared" si="6"/>
        <v>339</v>
      </c>
      <c r="DI38" s="13">
        <f t="shared" si="6"/>
        <v>0</v>
      </c>
      <c r="DJ38" s="13">
        <f t="shared" si="6"/>
        <v>1465.4813999999999</v>
      </c>
      <c r="DK38" s="13">
        <f t="shared" si="6"/>
        <v>428.67779999999993</v>
      </c>
      <c r="DL38" s="13">
        <f t="shared" si="6"/>
        <v>1036.8036</v>
      </c>
      <c r="DM38" s="13">
        <f t="shared" si="7"/>
        <v>152</v>
      </c>
      <c r="DN38" s="13">
        <f t="shared" si="7"/>
        <v>152</v>
      </c>
      <c r="DO38" s="13">
        <f t="shared" si="7"/>
        <v>0</v>
      </c>
      <c r="DP38" s="13">
        <f t="shared" si="7"/>
        <v>842.81629999999996</v>
      </c>
      <c r="DQ38" s="13">
        <f t="shared" si="7"/>
        <v>188.64260000000002</v>
      </c>
      <c r="DR38" s="13">
        <f t="shared" si="7"/>
        <v>654.17370000000005</v>
      </c>
      <c r="DS38" s="14" t="s">
        <v>60</v>
      </c>
      <c r="DT38" s="14" t="s">
        <v>81</v>
      </c>
      <c r="DU38" s="14" t="s">
        <v>73</v>
      </c>
      <c r="DV38" s="14" t="s">
        <v>63</v>
      </c>
      <c r="DW38" s="14" t="s">
        <v>74</v>
      </c>
    </row>
    <row r="39" spans="2:127" x14ac:dyDescent="0.3">
      <c r="B39" s="11" t="s">
        <v>65</v>
      </c>
      <c r="C39" s="12">
        <v>5001341408</v>
      </c>
      <c r="D39" s="11" t="s">
        <v>203</v>
      </c>
      <c r="E39" s="11" t="s">
        <v>55</v>
      </c>
      <c r="F39" s="11" t="s">
        <v>204</v>
      </c>
      <c r="G39" s="11" t="s">
        <v>205</v>
      </c>
      <c r="H39" s="11" t="s">
        <v>206</v>
      </c>
      <c r="I39" s="11">
        <v>12065</v>
      </c>
      <c r="J39" s="11" t="s">
        <v>70</v>
      </c>
      <c r="K39" s="11"/>
      <c r="L39" s="11"/>
      <c r="M39" s="11"/>
      <c r="N39" s="11"/>
      <c r="O39" s="13">
        <v>1208</v>
      </c>
      <c r="P39" s="13">
        <v>1200</v>
      </c>
      <c r="Q39" s="13">
        <v>8</v>
      </c>
      <c r="R39" s="13">
        <v>37869.093699999998</v>
      </c>
      <c r="S39" s="13">
        <v>2856.6293000000001</v>
      </c>
      <c r="T39" s="13">
        <v>35012.464399999997</v>
      </c>
      <c r="U39" s="13">
        <v>229</v>
      </c>
      <c r="V39" s="13">
        <v>229</v>
      </c>
      <c r="W39" s="13">
        <v>0</v>
      </c>
      <c r="X39" s="13">
        <v>2607.1284000000001</v>
      </c>
      <c r="Y39" s="13">
        <v>336.03480000000002</v>
      </c>
      <c r="Z39" s="13">
        <v>2271.0936000000002</v>
      </c>
      <c r="AA39" s="13">
        <v>190</v>
      </c>
      <c r="AB39" s="13">
        <v>190</v>
      </c>
      <c r="AC39" s="13">
        <v>0</v>
      </c>
      <c r="AD39" s="13">
        <v>3204.7519000000002</v>
      </c>
      <c r="AE39" s="13">
        <v>328.8562</v>
      </c>
      <c r="AF39" s="13">
        <v>2875.8957</v>
      </c>
      <c r="AG39" s="13">
        <v>143</v>
      </c>
      <c r="AH39" s="13">
        <v>143</v>
      </c>
      <c r="AI39" s="13">
        <v>0</v>
      </c>
      <c r="AJ39" s="13">
        <v>2798.6507000000001</v>
      </c>
      <c r="AK39" s="13">
        <v>268.3562</v>
      </c>
      <c r="AL39" s="13">
        <v>2530.2945</v>
      </c>
      <c r="AM39" s="13">
        <v>72</v>
      </c>
      <c r="AN39" s="13">
        <v>72</v>
      </c>
      <c r="AO39" s="13">
        <v>0</v>
      </c>
      <c r="AP39" s="13">
        <v>2462.8575000000001</v>
      </c>
      <c r="AQ39" s="13">
        <v>142.39230000000001</v>
      </c>
      <c r="AR39" s="13">
        <v>2320.4652000000001</v>
      </c>
      <c r="AS39" s="13">
        <v>80</v>
      </c>
      <c r="AT39" s="13">
        <v>80</v>
      </c>
      <c r="AU39" s="13">
        <v>0</v>
      </c>
      <c r="AV39" s="13">
        <v>3562.817</v>
      </c>
      <c r="AW39" s="13">
        <v>279.60559999999998</v>
      </c>
      <c r="AX39" s="13">
        <v>3283.2114000000001</v>
      </c>
      <c r="AY39" s="13">
        <v>94</v>
      </c>
      <c r="AZ39" s="13">
        <v>94</v>
      </c>
      <c r="BA39" s="13">
        <v>0</v>
      </c>
      <c r="BB39" s="13">
        <v>2416.1997000000001</v>
      </c>
      <c r="BC39" s="13">
        <v>206.82060000000001</v>
      </c>
      <c r="BD39" s="13">
        <v>2209.3791000000001</v>
      </c>
      <c r="BE39" s="13">
        <v>37</v>
      </c>
      <c r="BF39" s="13">
        <v>37</v>
      </c>
      <c r="BG39" s="13">
        <v>0</v>
      </c>
      <c r="BH39" s="13">
        <v>2235.1923999999999</v>
      </c>
      <c r="BI39" s="13">
        <v>112.2136</v>
      </c>
      <c r="BJ39" s="13">
        <v>2122.9787999999999</v>
      </c>
      <c r="BK39" s="13">
        <v>48</v>
      </c>
      <c r="BL39" s="13">
        <v>48</v>
      </c>
      <c r="BM39" s="13">
        <v>0</v>
      </c>
      <c r="BN39" s="13">
        <v>2871.6298000000002</v>
      </c>
      <c r="BO39" s="13">
        <v>168.53469999999999</v>
      </c>
      <c r="BP39" s="13">
        <v>2703.0951</v>
      </c>
      <c r="BQ39" s="13">
        <v>74</v>
      </c>
      <c r="BR39" s="13">
        <v>74</v>
      </c>
      <c r="BS39" s="13">
        <v>0</v>
      </c>
      <c r="BT39" s="13">
        <v>2522.1351999999997</v>
      </c>
      <c r="BU39" s="13">
        <v>226.35579999999999</v>
      </c>
      <c r="BV39" s="13">
        <v>2295.7793999999999</v>
      </c>
      <c r="BW39" s="13">
        <v>15</v>
      </c>
      <c r="BX39" s="13">
        <v>15</v>
      </c>
      <c r="BY39" s="13">
        <v>0</v>
      </c>
      <c r="BZ39" s="13">
        <v>2634.0072999999998</v>
      </c>
      <c r="CA39" s="13">
        <v>165.4273</v>
      </c>
      <c r="CB39" s="13">
        <v>2468.58</v>
      </c>
      <c r="CC39" s="13">
        <v>73</v>
      </c>
      <c r="CD39" s="13">
        <v>73</v>
      </c>
      <c r="CE39" s="13">
        <v>0</v>
      </c>
      <c r="CF39" s="13">
        <v>3793.0326999999997</v>
      </c>
      <c r="CG39" s="13">
        <v>201.24879999999999</v>
      </c>
      <c r="CH39" s="13">
        <v>3591.7838999999999</v>
      </c>
      <c r="CI39" s="13">
        <v>70</v>
      </c>
      <c r="CJ39" s="13">
        <v>70</v>
      </c>
      <c r="CK39" s="13">
        <v>0</v>
      </c>
      <c r="CL39" s="13">
        <v>3462.9462999999996</v>
      </c>
      <c r="CM39" s="13">
        <v>167.392</v>
      </c>
      <c r="CN39" s="13">
        <v>3295.5542999999998</v>
      </c>
      <c r="CO39" s="13">
        <v>83</v>
      </c>
      <c r="CP39" s="13">
        <v>75</v>
      </c>
      <c r="CQ39" s="13">
        <v>8</v>
      </c>
      <c r="CR39" s="13">
        <v>3297.7447999999999</v>
      </c>
      <c r="CS39" s="13">
        <v>253.3914</v>
      </c>
      <c r="CT39" s="13">
        <v>3044.3534</v>
      </c>
      <c r="CU39" s="13">
        <f t="shared" si="4"/>
        <v>979</v>
      </c>
      <c r="CV39" s="13">
        <f t="shared" si="4"/>
        <v>971</v>
      </c>
      <c r="CW39" s="13">
        <f t="shared" si="4"/>
        <v>8</v>
      </c>
      <c r="CX39" s="13">
        <f t="shared" si="4"/>
        <v>35261.965299999996</v>
      </c>
      <c r="CY39" s="13">
        <f t="shared" si="4"/>
        <v>2520.5944999999997</v>
      </c>
      <c r="CZ39" s="13">
        <f t="shared" si="4"/>
        <v>32741.370799999997</v>
      </c>
      <c r="DA39" s="13">
        <f t="shared" si="5"/>
        <v>226</v>
      </c>
      <c r="DB39" s="13">
        <f t="shared" si="5"/>
        <v>218</v>
      </c>
      <c r="DC39" s="13">
        <f t="shared" si="5"/>
        <v>8</v>
      </c>
      <c r="DD39" s="13">
        <f t="shared" si="5"/>
        <v>10553.7238</v>
      </c>
      <c r="DE39" s="13">
        <f t="shared" si="5"/>
        <v>622.03219999999999</v>
      </c>
      <c r="DF39" s="13">
        <f t="shared" si="5"/>
        <v>9931.6916000000001</v>
      </c>
      <c r="DG39" s="13">
        <f t="shared" si="6"/>
        <v>137</v>
      </c>
      <c r="DH39" s="13">
        <f t="shared" si="6"/>
        <v>137</v>
      </c>
      <c r="DI39" s="13">
        <f t="shared" si="6"/>
        <v>0</v>
      </c>
      <c r="DJ39" s="13">
        <f t="shared" si="6"/>
        <v>8027.7722999999987</v>
      </c>
      <c r="DK39" s="13">
        <f t="shared" si="6"/>
        <v>560.31780000000003</v>
      </c>
      <c r="DL39" s="13">
        <f t="shared" si="6"/>
        <v>7467.4544999999998</v>
      </c>
      <c r="DM39" s="13">
        <f t="shared" si="7"/>
        <v>153</v>
      </c>
      <c r="DN39" s="13">
        <f t="shared" si="7"/>
        <v>145</v>
      </c>
      <c r="DO39" s="13">
        <f t="shared" si="7"/>
        <v>8</v>
      </c>
      <c r="DP39" s="13">
        <f t="shared" si="7"/>
        <v>6760.6911</v>
      </c>
      <c r="DQ39" s="13">
        <f t="shared" si="7"/>
        <v>420.78340000000003</v>
      </c>
      <c r="DR39" s="13">
        <f t="shared" si="7"/>
        <v>6339.9076999999997</v>
      </c>
      <c r="DS39" s="14" t="s">
        <v>71</v>
      </c>
      <c r="DT39" s="14" t="s">
        <v>125</v>
      </c>
      <c r="DU39" s="14" t="s">
        <v>73</v>
      </c>
      <c r="DV39" s="14" t="s">
        <v>63</v>
      </c>
      <c r="DW39" s="14" t="s">
        <v>74</v>
      </c>
    </row>
    <row r="40" spans="2:127" x14ac:dyDescent="0.3">
      <c r="B40" s="11" t="s">
        <v>53</v>
      </c>
      <c r="C40" s="12">
        <v>5001341491</v>
      </c>
      <c r="D40" s="11" t="s">
        <v>207</v>
      </c>
      <c r="E40" s="11" t="s">
        <v>55</v>
      </c>
      <c r="F40" s="11" t="s">
        <v>208</v>
      </c>
      <c r="G40" s="11" t="s">
        <v>209</v>
      </c>
      <c r="H40" s="11" t="s">
        <v>177</v>
      </c>
      <c r="I40" s="11">
        <v>85012</v>
      </c>
      <c r="J40" s="11" t="s">
        <v>59</v>
      </c>
      <c r="K40" s="11"/>
      <c r="L40" s="11"/>
      <c r="M40" s="11"/>
      <c r="N40" s="11"/>
      <c r="O40" s="13">
        <v>2179</v>
      </c>
      <c r="P40" s="13">
        <v>2179</v>
      </c>
      <c r="Q40" s="13">
        <v>0</v>
      </c>
      <c r="R40" s="13">
        <v>73661.717399999994</v>
      </c>
      <c r="S40" s="13">
        <v>4788.3353999999999</v>
      </c>
      <c r="T40" s="13">
        <v>68873.381999999998</v>
      </c>
      <c r="U40" s="13">
        <v>188</v>
      </c>
      <c r="V40" s="13">
        <v>188</v>
      </c>
      <c r="W40" s="13">
        <v>0</v>
      </c>
      <c r="X40" s="13">
        <v>4876.9483999999993</v>
      </c>
      <c r="Y40" s="13">
        <v>470.53309999999999</v>
      </c>
      <c r="Z40" s="13">
        <v>4406.4152999999997</v>
      </c>
      <c r="AA40" s="13">
        <v>199</v>
      </c>
      <c r="AB40" s="13">
        <v>199</v>
      </c>
      <c r="AC40" s="13">
        <v>0</v>
      </c>
      <c r="AD40" s="13">
        <v>7126.0640000000003</v>
      </c>
      <c r="AE40" s="13">
        <v>436.2122</v>
      </c>
      <c r="AF40" s="13">
        <v>6689.8518000000004</v>
      </c>
      <c r="AG40" s="13">
        <v>144</v>
      </c>
      <c r="AH40" s="13">
        <v>144</v>
      </c>
      <c r="AI40" s="13">
        <v>0</v>
      </c>
      <c r="AJ40" s="13">
        <v>5161.1952000000001</v>
      </c>
      <c r="AK40" s="13">
        <v>224.0352</v>
      </c>
      <c r="AL40" s="13">
        <v>4937.16</v>
      </c>
      <c r="AM40" s="13">
        <v>121</v>
      </c>
      <c r="AN40" s="13">
        <v>121</v>
      </c>
      <c r="AO40" s="13">
        <v>0</v>
      </c>
      <c r="AP40" s="13">
        <v>4787.1930999999995</v>
      </c>
      <c r="AQ40" s="13">
        <v>282.03460000000001</v>
      </c>
      <c r="AR40" s="13">
        <v>4505.1584999999995</v>
      </c>
      <c r="AS40" s="13">
        <v>240</v>
      </c>
      <c r="AT40" s="13">
        <v>240</v>
      </c>
      <c r="AU40" s="13">
        <v>0</v>
      </c>
      <c r="AV40" s="13">
        <v>8127.4949999999999</v>
      </c>
      <c r="AW40" s="13">
        <v>573.64020000000005</v>
      </c>
      <c r="AX40" s="13">
        <v>7553.8548000000001</v>
      </c>
      <c r="AY40" s="13">
        <v>180</v>
      </c>
      <c r="AZ40" s="13">
        <v>180</v>
      </c>
      <c r="BA40" s="13">
        <v>0</v>
      </c>
      <c r="BB40" s="13">
        <v>4910.4120999999996</v>
      </c>
      <c r="BC40" s="13">
        <v>503.99680000000001</v>
      </c>
      <c r="BD40" s="13">
        <v>4406.4152999999997</v>
      </c>
      <c r="BE40" s="13">
        <v>163</v>
      </c>
      <c r="BF40" s="13">
        <v>163</v>
      </c>
      <c r="BG40" s="13">
        <v>0</v>
      </c>
      <c r="BH40" s="13">
        <v>5679.8889999999992</v>
      </c>
      <c r="BI40" s="13">
        <v>323.07040000000001</v>
      </c>
      <c r="BJ40" s="13">
        <v>5356.8185999999996</v>
      </c>
      <c r="BK40" s="13">
        <v>188</v>
      </c>
      <c r="BL40" s="13">
        <v>188</v>
      </c>
      <c r="BM40" s="13">
        <v>0</v>
      </c>
      <c r="BN40" s="13">
        <v>6770.4275000000007</v>
      </c>
      <c r="BO40" s="13">
        <v>364.4624</v>
      </c>
      <c r="BP40" s="13">
        <v>6405.9651000000003</v>
      </c>
      <c r="BQ40" s="13">
        <v>148</v>
      </c>
      <c r="BR40" s="13">
        <v>148</v>
      </c>
      <c r="BS40" s="13">
        <v>0</v>
      </c>
      <c r="BT40" s="13">
        <v>5565.1804999999995</v>
      </c>
      <c r="BU40" s="13">
        <v>368.81960000000004</v>
      </c>
      <c r="BV40" s="13">
        <v>5196.3608999999997</v>
      </c>
      <c r="BW40" s="13">
        <v>86</v>
      </c>
      <c r="BX40" s="13">
        <v>86</v>
      </c>
      <c r="BY40" s="13">
        <v>0</v>
      </c>
      <c r="BZ40" s="13">
        <v>5321.5099</v>
      </c>
      <c r="CA40" s="13">
        <v>223.8922</v>
      </c>
      <c r="CB40" s="13">
        <v>5097.6176999999998</v>
      </c>
      <c r="CC40" s="13">
        <v>155</v>
      </c>
      <c r="CD40" s="13">
        <v>155</v>
      </c>
      <c r="CE40" s="13">
        <v>0</v>
      </c>
      <c r="CF40" s="13">
        <v>5457.2377999999999</v>
      </c>
      <c r="CG40" s="13">
        <v>310.24850000000004</v>
      </c>
      <c r="CH40" s="13">
        <v>5146.9893000000002</v>
      </c>
      <c r="CI40" s="13">
        <v>160</v>
      </c>
      <c r="CJ40" s="13">
        <v>160</v>
      </c>
      <c r="CK40" s="13">
        <v>0</v>
      </c>
      <c r="CL40" s="13">
        <v>4699.2937000000002</v>
      </c>
      <c r="CM40" s="13">
        <v>218.821</v>
      </c>
      <c r="CN40" s="13">
        <v>4480.4727000000003</v>
      </c>
      <c r="CO40" s="13">
        <v>207</v>
      </c>
      <c r="CP40" s="13">
        <v>207</v>
      </c>
      <c r="CQ40" s="13">
        <v>0</v>
      </c>
      <c r="CR40" s="13">
        <v>5178.8711999999996</v>
      </c>
      <c r="CS40" s="13">
        <v>488.56920000000002</v>
      </c>
      <c r="CT40" s="13">
        <v>4690.3019999999997</v>
      </c>
      <c r="CU40" s="13">
        <f t="shared" si="4"/>
        <v>1991</v>
      </c>
      <c r="CV40" s="13">
        <f t="shared" si="4"/>
        <v>1991</v>
      </c>
      <c r="CW40" s="13">
        <f t="shared" si="4"/>
        <v>0</v>
      </c>
      <c r="CX40" s="13">
        <f t="shared" si="4"/>
        <v>68784.769</v>
      </c>
      <c r="CY40" s="13">
        <f t="shared" si="4"/>
        <v>4317.8023000000003</v>
      </c>
      <c r="CZ40" s="13">
        <f t="shared" si="4"/>
        <v>64466.966700000004</v>
      </c>
      <c r="DA40" s="13">
        <f t="shared" si="5"/>
        <v>522</v>
      </c>
      <c r="DB40" s="13">
        <f t="shared" si="5"/>
        <v>522</v>
      </c>
      <c r="DC40" s="13">
        <f t="shared" si="5"/>
        <v>0</v>
      </c>
      <c r="DD40" s="13">
        <f t="shared" si="5"/>
        <v>15335.402700000001</v>
      </c>
      <c r="DE40" s="13">
        <f t="shared" si="5"/>
        <v>1017.6387000000001</v>
      </c>
      <c r="DF40" s="13">
        <f t="shared" si="5"/>
        <v>14317.763999999999</v>
      </c>
      <c r="DG40" s="13">
        <f t="shared" si="6"/>
        <v>422</v>
      </c>
      <c r="DH40" s="13">
        <f t="shared" si="6"/>
        <v>422</v>
      </c>
      <c r="DI40" s="13">
        <f t="shared" si="6"/>
        <v>0</v>
      </c>
      <c r="DJ40" s="13">
        <f t="shared" si="6"/>
        <v>17657.117900000001</v>
      </c>
      <c r="DK40" s="13">
        <f t="shared" si="6"/>
        <v>957.17420000000004</v>
      </c>
      <c r="DL40" s="13">
        <f t="shared" si="6"/>
        <v>16699.9437</v>
      </c>
      <c r="DM40" s="13">
        <f t="shared" si="7"/>
        <v>367</v>
      </c>
      <c r="DN40" s="13">
        <f t="shared" si="7"/>
        <v>367</v>
      </c>
      <c r="DO40" s="13">
        <f t="shared" si="7"/>
        <v>0</v>
      </c>
      <c r="DP40" s="13">
        <f t="shared" si="7"/>
        <v>9878.1648999999998</v>
      </c>
      <c r="DQ40" s="13">
        <f t="shared" si="7"/>
        <v>707.39020000000005</v>
      </c>
      <c r="DR40" s="13">
        <f t="shared" si="7"/>
        <v>9170.7746999999999</v>
      </c>
      <c r="DS40" s="14" t="s">
        <v>60</v>
      </c>
      <c r="DT40" s="14" t="s">
        <v>81</v>
      </c>
      <c r="DU40" s="14" t="s">
        <v>73</v>
      </c>
      <c r="DV40" s="14" t="s">
        <v>82</v>
      </c>
      <c r="DW40" s="14" t="s">
        <v>74</v>
      </c>
    </row>
    <row r="41" spans="2:127" x14ac:dyDescent="0.3">
      <c r="B41" s="11" t="s">
        <v>75</v>
      </c>
      <c r="C41" s="12">
        <v>5001341503</v>
      </c>
      <c r="D41" s="11" t="s">
        <v>210</v>
      </c>
      <c r="E41" s="11" t="s">
        <v>55</v>
      </c>
      <c r="F41" s="11" t="s">
        <v>211</v>
      </c>
      <c r="G41" s="11" t="s">
        <v>212</v>
      </c>
      <c r="H41" s="11" t="s">
        <v>169</v>
      </c>
      <c r="I41" s="11">
        <v>23226</v>
      </c>
      <c r="J41" s="11" t="s">
        <v>70</v>
      </c>
      <c r="K41" s="11"/>
      <c r="L41" s="11"/>
      <c r="M41" s="11"/>
      <c r="N41" s="11"/>
      <c r="O41" s="13">
        <v>970</v>
      </c>
      <c r="P41" s="13">
        <v>970</v>
      </c>
      <c r="Q41" s="13">
        <v>0</v>
      </c>
      <c r="R41" s="13">
        <v>37999.856699999997</v>
      </c>
      <c r="S41" s="13">
        <v>1045.2140999999999</v>
      </c>
      <c r="T41" s="13">
        <v>36954.642599999999</v>
      </c>
      <c r="U41" s="13">
        <v>25</v>
      </c>
      <c r="V41" s="13">
        <v>25</v>
      </c>
      <c r="W41" s="13">
        <v>0</v>
      </c>
      <c r="X41" s="13">
        <v>2561.0801999999999</v>
      </c>
      <c r="Y41" s="13">
        <v>30.785699999999999</v>
      </c>
      <c r="Z41" s="13">
        <v>2530.2945</v>
      </c>
      <c r="AA41" s="13">
        <v>55</v>
      </c>
      <c r="AB41" s="13">
        <v>55</v>
      </c>
      <c r="AC41" s="13">
        <v>0</v>
      </c>
      <c r="AD41" s="13">
        <v>2405.9366999999997</v>
      </c>
      <c r="AE41" s="13">
        <v>60.785699999999999</v>
      </c>
      <c r="AF41" s="13">
        <v>2345.1509999999998</v>
      </c>
      <c r="AG41" s="13">
        <v>63</v>
      </c>
      <c r="AH41" s="13">
        <v>63</v>
      </c>
      <c r="AI41" s="13">
        <v>0</v>
      </c>
      <c r="AJ41" s="13">
        <v>2167.0787</v>
      </c>
      <c r="AK41" s="13">
        <v>68.785700000000006</v>
      </c>
      <c r="AL41" s="13">
        <v>2098.2930000000001</v>
      </c>
      <c r="AM41" s="13">
        <v>47</v>
      </c>
      <c r="AN41" s="13">
        <v>47</v>
      </c>
      <c r="AO41" s="13">
        <v>0</v>
      </c>
      <c r="AP41" s="13">
        <v>2792.9094999999998</v>
      </c>
      <c r="AQ41" s="13">
        <v>52.785699999999999</v>
      </c>
      <c r="AR41" s="13">
        <v>2740.1237999999998</v>
      </c>
      <c r="AS41" s="13">
        <v>125</v>
      </c>
      <c r="AT41" s="13">
        <v>125</v>
      </c>
      <c r="AU41" s="13">
        <v>0</v>
      </c>
      <c r="AV41" s="13">
        <v>2907.9382000000001</v>
      </c>
      <c r="AW41" s="13">
        <v>130.78569999999999</v>
      </c>
      <c r="AX41" s="13">
        <v>2777.1525000000001</v>
      </c>
      <c r="AY41" s="13">
        <v>101</v>
      </c>
      <c r="AZ41" s="13">
        <v>101</v>
      </c>
      <c r="BA41" s="13">
        <v>0</v>
      </c>
      <c r="BB41" s="13">
        <v>2550.6799000000001</v>
      </c>
      <c r="BC41" s="13">
        <v>106.78570000000001</v>
      </c>
      <c r="BD41" s="13">
        <v>2443.8942000000002</v>
      </c>
      <c r="BE41" s="13">
        <v>81</v>
      </c>
      <c r="BF41" s="13">
        <v>81</v>
      </c>
      <c r="BG41" s="13">
        <v>0</v>
      </c>
      <c r="BH41" s="13">
        <v>2629.4231</v>
      </c>
      <c r="BI41" s="13">
        <v>86.785700000000006</v>
      </c>
      <c r="BJ41" s="13">
        <v>2542.6374000000001</v>
      </c>
      <c r="BK41" s="13">
        <v>96</v>
      </c>
      <c r="BL41" s="13">
        <v>96</v>
      </c>
      <c r="BM41" s="13">
        <v>0</v>
      </c>
      <c r="BN41" s="13">
        <v>3730.5983000000001</v>
      </c>
      <c r="BO41" s="13">
        <v>101.78570000000001</v>
      </c>
      <c r="BP41" s="13">
        <v>3628.8126000000002</v>
      </c>
      <c r="BQ41" s="13">
        <v>82</v>
      </c>
      <c r="BR41" s="13">
        <v>82</v>
      </c>
      <c r="BS41" s="13">
        <v>0</v>
      </c>
      <c r="BT41" s="13">
        <v>3185.8535999999999</v>
      </c>
      <c r="BU41" s="13">
        <v>87.785700000000006</v>
      </c>
      <c r="BV41" s="13">
        <v>3098.0679</v>
      </c>
      <c r="BW41" s="13">
        <v>88</v>
      </c>
      <c r="BX41" s="13">
        <v>88</v>
      </c>
      <c r="BY41" s="13">
        <v>0</v>
      </c>
      <c r="BZ41" s="13">
        <v>3512.7689999999998</v>
      </c>
      <c r="CA41" s="13">
        <v>93.785700000000006</v>
      </c>
      <c r="CB41" s="13">
        <v>3418.9832999999999</v>
      </c>
      <c r="CC41" s="13">
        <v>92</v>
      </c>
      <c r="CD41" s="13">
        <v>92</v>
      </c>
      <c r="CE41" s="13">
        <v>0</v>
      </c>
      <c r="CF41" s="13">
        <v>4183.2856000000002</v>
      </c>
      <c r="CG41" s="13">
        <v>97.785700000000006</v>
      </c>
      <c r="CH41" s="13">
        <v>4085.4998999999998</v>
      </c>
      <c r="CI41" s="13">
        <v>66</v>
      </c>
      <c r="CJ41" s="13">
        <v>66</v>
      </c>
      <c r="CK41" s="13">
        <v>0</v>
      </c>
      <c r="CL41" s="13">
        <v>2651.4517999999998</v>
      </c>
      <c r="CM41" s="13">
        <v>71.785700000000006</v>
      </c>
      <c r="CN41" s="13">
        <v>2579.6660999999999</v>
      </c>
      <c r="CO41" s="13">
        <v>49</v>
      </c>
      <c r="CP41" s="13">
        <v>49</v>
      </c>
      <c r="CQ41" s="13">
        <v>0</v>
      </c>
      <c r="CR41" s="13">
        <v>2720.8521000000001</v>
      </c>
      <c r="CS41" s="13">
        <v>54.785699999999999</v>
      </c>
      <c r="CT41" s="13">
        <v>2666.0664000000002</v>
      </c>
      <c r="CU41" s="13">
        <f t="shared" si="4"/>
        <v>945</v>
      </c>
      <c r="CV41" s="13">
        <f t="shared" si="4"/>
        <v>945</v>
      </c>
      <c r="CW41" s="13">
        <f t="shared" si="4"/>
        <v>0</v>
      </c>
      <c r="CX41" s="13">
        <f t="shared" si="4"/>
        <v>35438.7765</v>
      </c>
      <c r="CY41" s="13">
        <f t="shared" si="4"/>
        <v>1014.4284000000001</v>
      </c>
      <c r="CZ41" s="13">
        <f t="shared" si="4"/>
        <v>34424.348100000003</v>
      </c>
      <c r="DA41" s="13">
        <f t="shared" si="5"/>
        <v>207</v>
      </c>
      <c r="DB41" s="13">
        <f t="shared" si="5"/>
        <v>207</v>
      </c>
      <c r="DC41" s="13">
        <f t="shared" si="5"/>
        <v>0</v>
      </c>
      <c r="DD41" s="13">
        <f t="shared" si="5"/>
        <v>9555.5895</v>
      </c>
      <c r="DE41" s="13">
        <f t="shared" si="5"/>
        <v>224.3571</v>
      </c>
      <c r="DF41" s="13">
        <f t="shared" si="5"/>
        <v>9331.232399999999</v>
      </c>
      <c r="DG41" s="13">
        <f t="shared" si="6"/>
        <v>266</v>
      </c>
      <c r="DH41" s="13">
        <f t="shared" si="6"/>
        <v>266</v>
      </c>
      <c r="DI41" s="13">
        <f t="shared" si="6"/>
        <v>0</v>
      </c>
      <c r="DJ41" s="13">
        <f t="shared" si="6"/>
        <v>10429.2209</v>
      </c>
      <c r="DK41" s="13">
        <f t="shared" si="6"/>
        <v>283.3571</v>
      </c>
      <c r="DL41" s="13">
        <f t="shared" si="6"/>
        <v>10145.863799999999</v>
      </c>
      <c r="DM41" s="13">
        <f t="shared" si="7"/>
        <v>115</v>
      </c>
      <c r="DN41" s="13">
        <f t="shared" si="7"/>
        <v>115</v>
      </c>
      <c r="DO41" s="13">
        <f t="shared" si="7"/>
        <v>0</v>
      </c>
      <c r="DP41" s="13">
        <f t="shared" si="7"/>
        <v>5372.3038999999999</v>
      </c>
      <c r="DQ41" s="13">
        <f t="shared" si="7"/>
        <v>126.57140000000001</v>
      </c>
      <c r="DR41" s="13">
        <f t="shared" si="7"/>
        <v>5245.7325000000001</v>
      </c>
      <c r="DS41" s="14" t="s">
        <v>71</v>
      </c>
      <c r="DT41" s="14" t="s">
        <v>92</v>
      </c>
      <c r="DU41" s="14" t="s">
        <v>73</v>
      </c>
      <c r="DV41" s="14" t="s">
        <v>63</v>
      </c>
      <c r="DW41" s="14" t="s">
        <v>74</v>
      </c>
    </row>
    <row r="42" spans="2:127" x14ac:dyDescent="0.3">
      <c r="B42" s="11" t="s">
        <v>75</v>
      </c>
      <c r="C42" s="12">
        <v>5001341603</v>
      </c>
      <c r="D42" s="11" t="s">
        <v>213</v>
      </c>
      <c r="E42" s="11" t="s">
        <v>55</v>
      </c>
      <c r="F42" s="11" t="s">
        <v>214</v>
      </c>
      <c r="G42" s="11" t="s">
        <v>215</v>
      </c>
      <c r="H42" s="11" t="s">
        <v>216</v>
      </c>
      <c r="I42" s="11">
        <v>45226</v>
      </c>
      <c r="J42" s="11" t="s">
        <v>70</v>
      </c>
      <c r="K42" s="11"/>
      <c r="L42" s="11"/>
      <c r="M42" s="11"/>
      <c r="N42" s="11"/>
      <c r="O42" s="13">
        <v>664</v>
      </c>
      <c r="P42" s="13">
        <v>664</v>
      </c>
      <c r="Q42" s="13">
        <v>0</v>
      </c>
      <c r="R42" s="13">
        <v>24166.986700000001</v>
      </c>
      <c r="S42" s="13">
        <v>2036.1669999999999</v>
      </c>
      <c r="T42" s="13">
        <v>22130.8197</v>
      </c>
      <c r="U42" s="13">
        <v>102</v>
      </c>
      <c r="V42" s="13">
        <v>102</v>
      </c>
      <c r="W42" s="13">
        <v>0</v>
      </c>
      <c r="X42" s="13">
        <v>1627.1178</v>
      </c>
      <c r="Y42" s="13">
        <v>244.71299999999999</v>
      </c>
      <c r="Z42" s="13">
        <v>1382.4048</v>
      </c>
      <c r="AA42" s="13">
        <v>97</v>
      </c>
      <c r="AB42" s="13">
        <v>97</v>
      </c>
      <c r="AC42" s="13">
        <v>0</v>
      </c>
      <c r="AD42" s="13">
        <v>2789.2932000000001</v>
      </c>
      <c r="AE42" s="13">
        <v>258.99869999999999</v>
      </c>
      <c r="AF42" s="13">
        <v>2530.2945</v>
      </c>
      <c r="AG42" s="13">
        <v>58</v>
      </c>
      <c r="AH42" s="13">
        <v>58</v>
      </c>
      <c r="AI42" s="13">
        <v>0</v>
      </c>
      <c r="AJ42" s="13">
        <v>897.50919999999996</v>
      </c>
      <c r="AK42" s="13">
        <v>132.24939999999998</v>
      </c>
      <c r="AL42" s="13">
        <v>765.25980000000004</v>
      </c>
      <c r="AM42" s="13">
        <v>71</v>
      </c>
      <c r="AN42" s="13">
        <v>71</v>
      </c>
      <c r="AO42" s="13">
        <v>0</v>
      </c>
      <c r="AP42" s="13">
        <v>1581.6536000000001</v>
      </c>
      <c r="AQ42" s="13">
        <v>199.24879999999999</v>
      </c>
      <c r="AR42" s="13">
        <v>1382.4048</v>
      </c>
      <c r="AS42" s="13">
        <v>67</v>
      </c>
      <c r="AT42" s="13">
        <v>67</v>
      </c>
      <c r="AU42" s="13">
        <v>0</v>
      </c>
      <c r="AV42" s="13">
        <v>1804.4546</v>
      </c>
      <c r="AW42" s="13">
        <v>187.53469999999999</v>
      </c>
      <c r="AX42" s="13">
        <v>1616.9199000000001</v>
      </c>
      <c r="AY42" s="13">
        <v>35</v>
      </c>
      <c r="AZ42" s="13">
        <v>35</v>
      </c>
      <c r="BA42" s="13">
        <v>0</v>
      </c>
      <c r="BB42" s="13">
        <v>1735.2331999999999</v>
      </c>
      <c r="BC42" s="13">
        <v>142.9991</v>
      </c>
      <c r="BD42" s="13">
        <v>1592.2340999999999</v>
      </c>
      <c r="BE42" s="13">
        <v>36</v>
      </c>
      <c r="BF42" s="13">
        <v>36</v>
      </c>
      <c r="BG42" s="13">
        <v>0</v>
      </c>
      <c r="BH42" s="13">
        <v>1570.5687</v>
      </c>
      <c r="BI42" s="13">
        <v>114.1065</v>
      </c>
      <c r="BJ42" s="13">
        <v>1456.4621999999999</v>
      </c>
      <c r="BK42" s="13">
        <v>65</v>
      </c>
      <c r="BL42" s="13">
        <v>65</v>
      </c>
      <c r="BM42" s="13">
        <v>0</v>
      </c>
      <c r="BN42" s="13">
        <v>2142.6556</v>
      </c>
      <c r="BO42" s="13">
        <v>204.8203</v>
      </c>
      <c r="BP42" s="13">
        <v>1937.8353</v>
      </c>
      <c r="BQ42" s="13">
        <v>22</v>
      </c>
      <c r="BR42" s="13">
        <v>22</v>
      </c>
      <c r="BS42" s="13">
        <v>0</v>
      </c>
      <c r="BT42" s="13">
        <v>1700.0547999999999</v>
      </c>
      <c r="BU42" s="13">
        <v>107.8207</v>
      </c>
      <c r="BV42" s="13">
        <v>1592.2340999999999</v>
      </c>
      <c r="BW42" s="13">
        <v>42</v>
      </c>
      <c r="BX42" s="13">
        <v>42</v>
      </c>
      <c r="BY42" s="13">
        <v>0</v>
      </c>
      <c r="BZ42" s="13">
        <v>1864.1197999999999</v>
      </c>
      <c r="CA42" s="13">
        <v>111.428</v>
      </c>
      <c r="CB42" s="13">
        <v>1752.6918000000001</v>
      </c>
      <c r="CC42" s="13">
        <v>21</v>
      </c>
      <c r="CD42" s="13">
        <v>21</v>
      </c>
      <c r="CE42" s="13">
        <v>0</v>
      </c>
      <c r="CF42" s="13">
        <v>2565.3717999999999</v>
      </c>
      <c r="CG42" s="13">
        <v>133.82049999999998</v>
      </c>
      <c r="CH42" s="13">
        <v>2431.5513000000001</v>
      </c>
      <c r="CI42" s="13">
        <v>16</v>
      </c>
      <c r="CJ42" s="13">
        <v>16</v>
      </c>
      <c r="CK42" s="13">
        <v>0</v>
      </c>
      <c r="CL42" s="13">
        <v>1889.6125999999999</v>
      </c>
      <c r="CM42" s="13">
        <v>99.892099999999999</v>
      </c>
      <c r="CN42" s="13">
        <v>1789.7204999999999</v>
      </c>
      <c r="CO42" s="13">
        <v>32</v>
      </c>
      <c r="CP42" s="13">
        <v>32</v>
      </c>
      <c r="CQ42" s="13">
        <v>0</v>
      </c>
      <c r="CR42" s="13">
        <v>1999.3417999999999</v>
      </c>
      <c r="CS42" s="13">
        <v>98.535200000000003</v>
      </c>
      <c r="CT42" s="13">
        <v>1900.8065999999999</v>
      </c>
      <c r="CU42" s="13">
        <f t="shared" si="4"/>
        <v>562</v>
      </c>
      <c r="CV42" s="13">
        <f t="shared" si="4"/>
        <v>562</v>
      </c>
      <c r="CW42" s="13">
        <f t="shared" si="4"/>
        <v>0</v>
      </c>
      <c r="CX42" s="13">
        <f t="shared" si="4"/>
        <v>22539.868899999998</v>
      </c>
      <c r="CY42" s="13">
        <f t="shared" si="4"/>
        <v>1791.4540000000002</v>
      </c>
      <c r="CZ42" s="13">
        <f t="shared" si="4"/>
        <v>20748.4149</v>
      </c>
      <c r="DA42" s="13">
        <f t="shared" si="5"/>
        <v>69</v>
      </c>
      <c r="DB42" s="13">
        <f t="shared" si="5"/>
        <v>69</v>
      </c>
      <c r="DC42" s="13">
        <f t="shared" si="5"/>
        <v>0</v>
      </c>
      <c r="DD42" s="13">
        <f t="shared" si="5"/>
        <v>6454.3261999999995</v>
      </c>
      <c r="DE42" s="13">
        <f t="shared" si="5"/>
        <v>332.24779999999998</v>
      </c>
      <c r="DF42" s="13">
        <f t="shared" si="5"/>
        <v>6122.0784000000003</v>
      </c>
      <c r="DG42" s="13">
        <f t="shared" si="6"/>
        <v>129</v>
      </c>
      <c r="DH42" s="13">
        <f t="shared" si="6"/>
        <v>129</v>
      </c>
      <c r="DI42" s="13">
        <f t="shared" si="6"/>
        <v>0</v>
      </c>
      <c r="DJ42" s="13">
        <f t="shared" si="6"/>
        <v>5706.8302000000003</v>
      </c>
      <c r="DK42" s="13">
        <f t="shared" si="6"/>
        <v>424.06900000000002</v>
      </c>
      <c r="DL42" s="13">
        <f t="shared" si="6"/>
        <v>5282.7611999999999</v>
      </c>
      <c r="DM42" s="13">
        <f t="shared" si="7"/>
        <v>48</v>
      </c>
      <c r="DN42" s="13">
        <f t="shared" si="7"/>
        <v>48</v>
      </c>
      <c r="DO42" s="13">
        <f t="shared" si="7"/>
        <v>0</v>
      </c>
      <c r="DP42" s="13">
        <f t="shared" si="7"/>
        <v>3888.9543999999996</v>
      </c>
      <c r="DQ42" s="13">
        <f t="shared" si="7"/>
        <v>198.4273</v>
      </c>
      <c r="DR42" s="13">
        <f t="shared" si="7"/>
        <v>3690.5270999999998</v>
      </c>
      <c r="DS42" s="14" t="s">
        <v>60</v>
      </c>
      <c r="DT42" s="14" t="s">
        <v>81</v>
      </c>
      <c r="DU42" s="14" t="s">
        <v>73</v>
      </c>
      <c r="DV42" s="14" t="s">
        <v>63</v>
      </c>
      <c r="DW42" s="14" t="s">
        <v>74</v>
      </c>
    </row>
    <row r="43" spans="2:127" x14ac:dyDescent="0.3">
      <c r="B43" s="11" t="s">
        <v>75</v>
      </c>
      <c r="C43" s="12">
        <v>5001341608</v>
      </c>
      <c r="D43" s="11" t="s">
        <v>217</v>
      </c>
      <c r="E43" s="11" t="s">
        <v>55</v>
      </c>
      <c r="F43" s="11" t="s">
        <v>218</v>
      </c>
      <c r="G43" s="11" t="s">
        <v>219</v>
      </c>
      <c r="H43" s="11" t="s">
        <v>220</v>
      </c>
      <c r="I43" s="11">
        <v>27534</v>
      </c>
      <c r="J43" s="11" t="s">
        <v>109</v>
      </c>
      <c r="K43" s="11"/>
      <c r="L43" s="11"/>
      <c r="M43" s="11"/>
      <c r="N43" s="11"/>
      <c r="O43" s="13">
        <v>397</v>
      </c>
      <c r="P43" s="13">
        <v>397</v>
      </c>
      <c r="Q43" s="13">
        <v>0</v>
      </c>
      <c r="R43" s="13">
        <v>9930.1288000000004</v>
      </c>
      <c r="S43" s="13">
        <v>2660.1606999999999</v>
      </c>
      <c r="T43" s="13">
        <v>7269.9681</v>
      </c>
      <c r="U43" s="13">
        <v>13</v>
      </c>
      <c r="V43" s="13">
        <v>13</v>
      </c>
      <c r="W43" s="13">
        <v>0</v>
      </c>
      <c r="X43" s="13">
        <v>715.19139999999993</v>
      </c>
      <c r="Y43" s="13">
        <v>357.2473</v>
      </c>
      <c r="Z43" s="13">
        <v>357.94409999999999</v>
      </c>
      <c r="AA43" s="13">
        <v>46</v>
      </c>
      <c r="AB43" s="13">
        <v>46</v>
      </c>
      <c r="AC43" s="13">
        <v>0</v>
      </c>
      <c r="AD43" s="13">
        <v>768.0557</v>
      </c>
      <c r="AE43" s="13">
        <v>385.42579999999998</v>
      </c>
      <c r="AF43" s="13">
        <v>382.62990000000002</v>
      </c>
      <c r="AG43" s="13">
        <v>38</v>
      </c>
      <c r="AH43" s="13">
        <v>38</v>
      </c>
      <c r="AI43" s="13">
        <v>0</v>
      </c>
      <c r="AJ43" s="13">
        <v>793.80700000000002</v>
      </c>
      <c r="AK43" s="13">
        <v>287.74810000000002</v>
      </c>
      <c r="AL43" s="13">
        <v>506.05889999999999</v>
      </c>
      <c r="AM43" s="13">
        <v>38</v>
      </c>
      <c r="AN43" s="13">
        <v>38</v>
      </c>
      <c r="AO43" s="13">
        <v>0</v>
      </c>
      <c r="AP43" s="13">
        <v>789.37199999999996</v>
      </c>
      <c r="AQ43" s="13">
        <v>246.28440000000001</v>
      </c>
      <c r="AR43" s="13">
        <v>543.08759999999995</v>
      </c>
      <c r="AS43" s="13">
        <v>25</v>
      </c>
      <c r="AT43" s="13">
        <v>25</v>
      </c>
      <c r="AU43" s="13">
        <v>0</v>
      </c>
      <c r="AV43" s="13">
        <v>894.9796</v>
      </c>
      <c r="AW43" s="13">
        <v>228.46299999999999</v>
      </c>
      <c r="AX43" s="13">
        <v>666.51660000000004</v>
      </c>
      <c r="AY43" s="13">
        <v>18</v>
      </c>
      <c r="AZ43" s="13">
        <v>18</v>
      </c>
      <c r="BA43" s="13">
        <v>0</v>
      </c>
      <c r="BB43" s="13">
        <v>595.22119999999995</v>
      </c>
      <c r="BC43" s="13">
        <v>200.2484</v>
      </c>
      <c r="BD43" s="13">
        <v>394.97280000000001</v>
      </c>
      <c r="BE43" s="13">
        <v>44</v>
      </c>
      <c r="BF43" s="13">
        <v>44</v>
      </c>
      <c r="BG43" s="13">
        <v>0</v>
      </c>
      <c r="BH43" s="13">
        <v>642.43689999999992</v>
      </c>
      <c r="BI43" s="13">
        <v>124.0351</v>
      </c>
      <c r="BJ43" s="13">
        <v>518.40179999999998</v>
      </c>
      <c r="BK43" s="13">
        <v>26</v>
      </c>
      <c r="BL43" s="13">
        <v>26</v>
      </c>
      <c r="BM43" s="13">
        <v>0</v>
      </c>
      <c r="BN43" s="13">
        <v>752.30110000000002</v>
      </c>
      <c r="BO43" s="13">
        <v>147.499</v>
      </c>
      <c r="BP43" s="13">
        <v>604.8021</v>
      </c>
      <c r="BQ43" s="13">
        <v>20</v>
      </c>
      <c r="BR43" s="13">
        <v>20</v>
      </c>
      <c r="BS43" s="13">
        <v>0</v>
      </c>
      <c r="BT43" s="13">
        <v>706.18680000000006</v>
      </c>
      <c r="BU43" s="13">
        <v>126.0705</v>
      </c>
      <c r="BV43" s="13">
        <v>580.11630000000002</v>
      </c>
      <c r="BW43" s="13">
        <v>18</v>
      </c>
      <c r="BX43" s="13">
        <v>18</v>
      </c>
      <c r="BY43" s="13">
        <v>0</v>
      </c>
      <c r="BZ43" s="13">
        <v>733.69399999999996</v>
      </c>
      <c r="CA43" s="13">
        <v>128.89190000000002</v>
      </c>
      <c r="CB43" s="13">
        <v>604.8021</v>
      </c>
      <c r="CC43" s="13">
        <v>42</v>
      </c>
      <c r="CD43" s="13">
        <v>42</v>
      </c>
      <c r="CE43" s="13">
        <v>0</v>
      </c>
      <c r="CF43" s="13">
        <v>834.45150000000001</v>
      </c>
      <c r="CG43" s="13">
        <v>143.2491</v>
      </c>
      <c r="CH43" s="13">
        <v>691.20240000000001</v>
      </c>
      <c r="CI43" s="13">
        <v>38</v>
      </c>
      <c r="CJ43" s="13">
        <v>38</v>
      </c>
      <c r="CK43" s="13">
        <v>0</v>
      </c>
      <c r="CL43" s="13">
        <v>834.30860000000007</v>
      </c>
      <c r="CM43" s="13">
        <v>143.1062</v>
      </c>
      <c r="CN43" s="13">
        <v>691.20240000000001</v>
      </c>
      <c r="CO43" s="13">
        <v>31</v>
      </c>
      <c r="CP43" s="13">
        <v>31</v>
      </c>
      <c r="CQ43" s="13">
        <v>0</v>
      </c>
      <c r="CR43" s="13">
        <v>870.12300000000005</v>
      </c>
      <c r="CS43" s="13">
        <v>141.89190000000002</v>
      </c>
      <c r="CT43" s="13">
        <v>728.23109999999997</v>
      </c>
      <c r="CU43" s="13">
        <f t="shared" si="4"/>
        <v>384</v>
      </c>
      <c r="CV43" s="13">
        <f t="shared" si="4"/>
        <v>384</v>
      </c>
      <c r="CW43" s="13">
        <f t="shared" si="4"/>
        <v>0</v>
      </c>
      <c r="CX43" s="13">
        <f t="shared" si="4"/>
        <v>9214.9373999999989</v>
      </c>
      <c r="CY43" s="13">
        <f t="shared" si="4"/>
        <v>2302.9134000000004</v>
      </c>
      <c r="CZ43" s="13">
        <f t="shared" si="4"/>
        <v>6912.0240000000003</v>
      </c>
      <c r="DA43" s="13">
        <f t="shared" si="5"/>
        <v>111</v>
      </c>
      <c r="DB43" s="13">
        <f t="shared" si="5"/>
        <v>111</v>
      </c>
      <c r="DC43" s="13">
        <f t="shared" si="5"/>
        <v>0</v>
      </c>
      <c r="DD43" s="13">
        <f t="shared" si="5"/>
        <v>2538.8831</v>
      </c>
      <c r="DE43" s="13">
        <f t="shared" si="5"/>
        <v>428.24720000000002</v>
      </c>
      <c r="DF43" s="13">
        <f t="shared" si="5"/>
        <v>2110.6359000000002</v>
      </c>
      <c r="DG43" s="13">
        <f t="shared" si="6"/>
        <v>64</v>
      </c>
      <c r="DH43" s="13">
        <f t="shared" si="6"/>
        <v>64</v>
      </c>
      <c r="DI43" s="13">
        <f t="shared" si="6"/>
        <v>0</v>
      </c>
      <c r="DJ43" s="13">
        <f t="shared" si="6"/>
        <v>2192.1819</v>
      </c>
      <c r="DK43" s="13">
        <f t="shared" si="6"/>
        <v>402.46140000000003</v>
      </c>
      <c r="DL43" s="13">
        <f t="shared" si="6"/>
        <v>1789.7204999999999</v>
      </c>
      <c r="DM43" s="13">
        <f t="shared" si="7"/>
        <v>69</v>
      </c>
      <c r="DN43" s="13">
        <f t="shared" si="7"/>
        <v>69</v>
      </c>
      <c r="DO43" s="13">
        <f t="shared" si="7"/>
        <v>0</v>
      </c>
      <c r="DP43" s="13">
        <f t="shared" si="7"/>
        <v>1704.4316000000001</v>
      </c>
      <c r="DQ43" s="13">
        <f t="shared" si="7"/>
        <v>284.99810000000002</v>
      </c>
      <c r="DR43" s="13">
        <f t="shared" si="7"/>
        <v>1419.4335000000001</v>
      </c>
      <c r="DS43" s="14" t="s">
        <v>60</v>
      </c>
      <c r="DT43" s="14" t="s">
        <v>81</v>
      </c>
      <c r="DU43" s="14" t="s">
        <v>73</v>
      </c>
      <c r="DV43" s="14" t="s">
        <v>63</v>
      </c>
      <c r="DW43" s="14" t="s">
        <v>74</v>
      </c>
    </row>
    <row r="44" spans="2:127" x14ac:dyDescent="0.3">
      <c r="B44" s="11" t="s">
        <v>75</v>
      </c>
      <c r="C44" s="12">
        <v>5001341611</v>
      </c>
      <c r="D44" s="11" t="s">
        <v>221</v>
      </c>
      <c r="E44" s="11" t="s">
        <v>55</v>
      </c>
      <c r="F44" s="11" t="s">
        <v>222</v>
      </c>
      <c r="G44" s="11" t="s">
        <v>223</v>
      </c>
      <c r="H44" s="11" t="s">
        <v>120</v>
      </c>
      <c r="I44" s="11">
        <v>37203</v>
      </c>
      <c r="J44" s="11" t="s">
        <v>70</v>
      </c>
      <c r="K44" s="11"/>
      <c r="L44" s="11"/>
      <c r="M44" s="11"/>
      <c r="N44" s="11"/>
      <c r="O44" s="13">
        <v>1591</v>
      </c>
      <c r="P44" s="13">
        <v>1591</v>
      </c>
      <c r="Q44" s="13">
        <v>0</v>
      </c>
      <c r="R44" s="13">
        <v>114318.3037</v>
      </c>
      <c r="S44" s="13">
        <v>3108.7746999999999</v>
      </c>
      <c r="T44" s="13">
        <v>111209.52899999999</v>
      </c>
      <c r="U44" s="13">
        <v>106</v>
      </c>
      <c r="V44" s="13">
        <v>106</v>
      </c>
      <c r="W44" s="13">
        <v>0</v>
      </c>
      <c r="X44" s="13">
        <v>7778.6539000000002</v>
      </c>
      <c r="Y44" s="13">
        <v>237.142</v>
      </c>
      <c r="Z44" s="13">
        <v>7541.5119000000004</v>
      </c>
      <c r="AA44" s="13">
        <v>114</v>
      </c>
      <c r="AB44" s="13">
        <v>114</v>
      </c>
      <c r="AC44" s="13">
        <v>0</v>
      </c>
      <c r="AD44" s="13">
        <v>9124.8939000000009</v>
      </c>
      <c r="AE44" s="13">
        <v>275.03460000000001</v>
      </c>
      <c r="AF44" s="13">
        <v>8849.8593000000001</v>
      </c>
      <c r="AG44" s="13">
        <v>100</v>
      </c>
      <c r="AH44" s="13">
        <v>100</v>
      </c>
      <c r="AI44" s="13">
        <v>0</v>
      </c>
      <c r="AJ44" s="13">
        <v>7616.0532999999996</v>
      </c>
      <c r="AK44" s="13">
        <v>234.9991</v>
      </c>
      <c r="AL44" s="13">
        <v>7381.0541999999996</v>
      </c>
      <c r="AM44" s="13">
        <v>183</v>
      </c>
      <c r="AN44" s="13">
        <v>183</v>
      </c>
      <c r="AO44" s="13">
        <v>0</v>
      </c>
      <c r="AP44" s="13">
        <v>7704.4534999999996</v>
      </c>
      <c r="AQ44" s="13">
        <v>298.71350000000001</v>
      </c>
      <c r="AR44" s="13">
        <v>7405.74</v>
      </c>
      <c r="AS44" s="13">
        <v>151</v>
      </c>
      <c r="AT44" s="13">
        <v>151</v>
      </c>
      <c r="AU44" s="13">
        <v>0</v>
      </c>
      <c r="AV44" s="13">
        <v>9493.0307999999986</v>
      </c>
      <c r="AW44" s="13">
        <v>297.57029999999997</v>
      </c>
      <c r="AX44" s="13">
        <v>9195.4604999999992</v>
      </c>
      <c r="AY44" s="13">
        <v>81</v>
      </c>
      <c r="AZ44" s="13">
        <v>81</v>
      </c>
      <c r="BA44" s="13">
        <v>0</v>
      </c>
      <c r="BB44" s="13">
        <v>7946.8969000000006</v>
      </c>
      <c r="BC44" s="13">
        <v>244.9273</v>
      </c>
      <c r="BD44" s="13">
        <v>7701.9696000000004</v>
      </c>
      <c r="BE44" s="13">
        <v>102</v>
      </c>
      <c r="BF44" s="13">
        <v>102</v>
      </c>
      <c r="BG44" s="13">
        <v>0</v>
      </c>
      <c r="BH44" s="13">
        <v>7863.3687</v>
      </c>
      <c r="BI44" s="13">
        <v>198.42779999999999</v>
      </c>
      <c r="BJ44" s="13">
        <v>7664.9408999999996</v>
      </c>
      <c r="BK44" s="13">
        <v>150</v>
      </c>
      <c r="BL44" s="13">
        <v>150</v>
      </c>
      <c r="BM44" s="13">
        <v>0</v>
      </c>
      <c r="BN44" s="13">
        <v>11298.722900000001</v>
      </c>
      <c r="BO44" s="13">
        <v>288.85609999999997</v>
      </c>
      <c r="BP44" s="13">
        <v>11009.8668</v>
      </c>
      <c r="BQ44" s="13">
        <v>136</v>
      </c>
      <c r="BR44" s="13">
        <v>136</v>
      </c>
      <c r="BS44" s="13">
        <v>0</v>
      </c>
      <c r="BT44" s="13">
        <v>9193.1805000000004</v>
      </c>
      <c r="BU44" s="13">
        <v>219.8922</v>
      </c>
      <c r="BV44" s="13">
        <v>8973.2883000000002</v>
      </c>
      <c r="BW44" s="13">
        <v>101</v>
      </c>
      <c r="BX44" s="13">
        <v>101</v>
      </c>
      <c r="BY44" s="13">
        <v>0</v>
      </c>
      <c r="BZ44" s="13">
        <v>8730.0362000000005</v>
      </c>
      <c r="CA44" s="13">
        <v>188.74939999999998</v>
      </c>
      <c r="CB44" s="13">
        <v>8541.2867999999999</v>
      </c>
      <c r="CC44" s="13">
        <v>134</v>
      </c>
      <c r="CD44" s="13">
        <v>134</v>
      </c>
      <c r="CE44" s="13">
        <v>0</v>
      </c>
      <c r="CF44" s="13">
        <v>10756.028700000001</v>
      </c>
      <c r="CG44" s="13">
        <v>227.535</v>
      </c>
      <c r="CH44" s="13">
        <v>10528.493700000001</v>
      </c>
      <c r="CI44" s="13">
        <v>131</v>
      </c>
      <c r="CJ44" s="13">
        <v>131</v>
      </c>
      <c r="CK44" s="13">
        <v>0</v>
      </c>
      <c r="CL44" s="13">
        <v>8248.1916000000001</v>
      </c>
      <c r="CM44" s="13">
        <v>212.96370000000002</v>
      </c>
      <c r="CN44" s="13">
        <v>8035.2278999999999</v>
      </c>
      <c r="CO44" s="13">
        <v>102</v>
      </c>
      <c r="CP44" s="13">
        <v>102</v>
      </c>
      <c r="CQ44" s="13">
        <v>0</v>
      </c>
      <c r="CR44" s="13">
        <v>8564.7928000000011</v>
      </c>
      <c r="CS44" s="13">
        <v>183.96370000000002</v>
      </c>
      <c r="CT44" s="13">
        <v>8380.8291000000008</v>
      </c>
      <c r="CU44" s="13">
        <f t="shared" si="4"/>
        <v>1485</v>
      </c>
      <c r="CV44" s="13">
        <f t="shared" si="4"/>
        <v>1485</v>
      </c>
      <c r="CW44" s="13">
        <f t="shared" si="4"/>
        <v>0</v>
      </c>
      <c r="CX44" s="13">
        <f t="shared" si="4"/>
        <v>106539.6498</v>
      </c>
      <c r="CY44" s="13">
        <f t="shared" si="4"/>
        <v>2871.6327000000001</v>
      </c>
      <c r="CZ44" s="13">
        <f t="shared" si="4"/>
        <v>103668.01710000001</v>
      </c>
      <c r="DA44" s="13">
        <f t="shared" si="5"/>
        <v>367</v>
      </c>
      <c r="DB44" s="13">
        <f t="shared" si="5"/>
        <v>367</v>
      </c>
      <c r="DC44" s="13">
        <f t="shared" si="5"/>
        <v>0</v>
      </c>
      <c r="DD44" s="13">
        <f t="shared" si="5"/>
        <v>27569.013100000004</v>
      </c>
      <c r="DE44" s="13">
        <f t="shared" si="5"/>
        <v>624.4624</v>
      </c>
      <c r="DF44" s="13">
        <f t="shared" si="5"/>
        <v>26944.5507</v>
      </c>
      <c r="DG44" s="13">
        <f t="shared" si="6"/>
        <v>387</v>
      </c>
      <c r="DH44" s="13">
        <f t="shared" si="6"/>
        <v>387</v>
      </c>
      <c r="DI44" s="13">
        <f t="shared" si="6"/>
        <v>0</v>
      </c>
      <c r="DJ44" s="13">
        <f t="shared" si="6"/>
        <v>29221.939600000005</v>
      </c>
      <c r="DK44" s="13">
        <f t="shared" si="6"/>
        <v>697.4976999999999</v>
      </c>
      <c r="DL44" s="13">
        <f t="shared" si="6"/>
        <v>28524.441899999998</v>
      </c>
      <c r="DM44" s="13">
        <f t="shared" si="7"/>
        <v>233</v>
      </c>
      <c r="DN44" s="13">
        <f t="shared" si="7"/>
        <v>233</v>
      </c>
      <c r="DO44" s="13">
        <f t="shared" si="7"/>
        <v>0</v>
      </c>
      <c r="DP44" s="13">
        <f t="shared" si="7"/>
        <v>16812.984400000001</v>
      </c>
      <c r="DQ44" s="13">
        <f t="shared" si="7"/>
        <v>396.92740000000003</v>
      </c>
      <c r="DR44" s="13">
        <f t="shared" si="7"/>
        <v>16416.057000000001</v>
      </c>
      <c r="DS44" s="14" t="s">
        <v>81</v>
      </c>
      <c r="DT44" s="14" t="s">
        <v>72</v>
      </c>
      <c r="DU44" s="14" t="s">
        <v>113</v>
      </c>
      <c r="DV44" s="14" t="s">
        <v>63</v>
      </c>
      <c r="DW44" s="14" t="s">
        <v>74</v>
      </c>
    </row>
    <row r="45" spans="2:127" x14ac:dyDescent="0.3">
      <c r="B45" s="11" t="s">
        <v>83</v>
      </c>
      <c r="C45" s="12">
        <v>5001341653</v>
      </c>
      <c r="D45" s="11" t="s">
        <v>224</v>
      </c>
      <c r="E45" s="11" t="s">
        <v>55</v>
      </c>
      <c r="F45" s="11" t="s">
        <v>225</v>
      </c>
      <c r="G45" s="11" t="s">
        <v>226</v>
      </c>
      <c r="H45" s="11" t="s">
        <v>227</v>
      </c>
      <c r="I45" s="11">
        <v>67214</v>
      </c>
      <c r="J45" s="11" t="s">
        <v>70</v>
      </c>
      <c r="K45" s="11"/>
      <c r="L45" s="11"/>
      <c r="M45" s="11"/>
      <c r="N45" s="11"/>
      <c r="O45" s="13">
        <v>1231</v>
      </c>
      <c r="P45" s="13">
        <v>1231</v>
      </c>
      <c r="Q45" s="13">
        <v>0</v>
      </c>
      <c r="R45" s="13">
        <v>50103.089200000002</v>
      </c>
      <c r="S45" s="13">
        <v>2150.9227000000001</v>
      </c>
      <c r="T45" s="13">
        <v>47952.166499999999</v>
      </c>
      <c r="U45" s="13">
        <v>190</v>
      </c>
      <c r="V45" s="13">
        <v>190</v>
      </c>
      <c r="W45" s="13">
        <v>0</v>
      </c>
      <c r="X45" s="13">
        <v>3702.5191</v>
      </c>
      <c r="Y45" s="13">
        <v>221.82130000000001</v>
      </c>
      <c r="Z45" s="13">
        <v>3480.6977999999999</v>
      </c>
      <c r="AA45" s="13">
        <v>177</v>
      </c>
      <c r="AB45" s="13">
        <v>177</v>
      </c>
      <c r="AC45" s="13">
        <v>0</v>
      </c>
      <c r="AD45" s="13">
        <v>4885.4292000000005</v>
      </c>
      <c r="AE45" s="13">
        <v>306.2133</v>
      </c>
      <c r="AF45" s="13">
        <v>4579.2159000000001</v>
      </c>
      <c r="AG45" s="13">
        <v>128</v>
      </c>
      <c r="AH45" s="13">
        <v>128</v>
      </c>
      <c r="AI45" s="13">
        <v>0</v>
      </c>
      <c r="AJ45" s="13">
        <v>3008.7163999999998</v>
      </c>
      <c r="AK45" s="13">
        <v>194.5352</v>
      </c>
      <c r="AL45" s="13">
        <v>2814.1812</v>
      </c>
      <c r="AM45" s="13">
        <v>109</v>
      </c>
      <c r="AN45" s="13">
        <v>109</v>
      </c>
      <c r="AO45" s="13">
        <v>0</v>
      </c>
      <c r="AP45" s="13">
        <v>3173.1241</v>
      </c>
      <c r="AQ45" s="13">
        <v>186.14230000000001</v>
      </c>
      <c r="AR45" s="13">
        <v>2986.9818</v>
      </c>
      <c r="AS45" s="13">
        <v>195</v>
      </c>
      <c r="AT45" s="13">
        <v>195</v>
      </c>
      <c r="AU45" s="13">
        <v>0</v>
      </c>
      <c r="AV45" s="13">
        <v>4125.2484000000004</v>
      </c>
      <c r="AW45" s="13">
        <v>286.60649999999998</v>
      </c>
      <c r="AX45" s="13">
        <v>3838.6419000000001</v>
      </c>
      <c r="AY45" s="13">
        <v>54</v>
      </c>
      <c r="AZ45" s="13">
        <v>54</v>
      </c>
      <c r="BA45" s="13">
        <v>0</v>
      </c>
      <c r="BB45" s="13">
        <v>3024.2022999999999</v>
      </c>
      <c r="BC45" s="13">
        <v>135.96370000000002</v>
      </c>
      <c r="BD45" s="13">
        <v>2888.2386000000001</v>
      </c>
      <c r="BE45" s="13">
        <v>47</v>
      </c>
      <c r="BF45" s="13">
        <v>47</v>
      </c>
      <c r="BG45" s="13">
        <v>0</v>
      </c>
      <c r="BH45" s="13">
        <v>3398.0971</v>
      </c>
      <c r="BI45" s="13">
        <v>77.856999999999999</v>
      </c>
      <c r="BJ45" s="13">
        <v>3320.2401</v>
      </c>
      <c r="BK45" s="13">
        <v>53</v>
      </c>
      <c r="BL45" s="13">
        <v>53</v>
      </c>
      <c r="BM45" s="13">
        <v>0</v>
      </c>
      <c r="BN45" s="13">
        <v>4708.2012999999997</v>
      </c>
      <c r="BO45" s="13">
        <v>116.6425</v>
      </c>
      <c r="BP45" s="13">
        <v>4591.5587999999998</v>
      </c>
      <c r="BQ45" s="13">
        <v>54</v>
      </c>
      <c r="BR45" s="13">
        <v>54</v>
      </c>
      <c r="BS45" s="13">
        <v>0</v>
      </c>
      <c r="BT45" s="13">
        <v>3953.1988000000001</v>
      </c>
      <c r="BU45" s="13">
        <v>102.214</v>
      </c>
      <c r="BV45" s="13">
        <v>3850.9848000000002</v>
      </c>
      <c r="BW45" s="13">
        <v>64</v>
      </c>
      <c r="BX45" s="13">
        <v>64</v>
      </c>
      <c r="BY45" s="13">
        <v>0</v>
      </c>
      <c r="BZ45" s="13">
        <v>3773.8121000000001</v>
      </c>
      <c r="CA45" s="13">
        <v>144.99950000000001</v>
      </c>
      <c r="CB45" s="13">
        <v>3628.8126000000002</v>
      </c>
      <c r="CC45" s="13">
        <v>72</v>
      </c>
      <c r="CD45" s="13">
        <v>72</v>
      </c>
      <c r="CE45" s="13">
        <v>0</v>
      </c>
      <c r="CF45" s="13">
        <v>5305.5817999999999</v>
      </c>
      <c r="CG45" s="13">
        <v>146.24959999999999</v>
      </c>
      <c r="CH45" s="13">
        <v>5159.3321999999998</v>
      </c>
      <c r="CI45" s="13">
        <v>48</v>
      </c>
      <c r="CJ45" s="13">
        <v>48</v>
      </c>
      <c r="CK45" s="13">
        <v>0</v>
      </c>
      <c r="CL45" s="13">
        <v>3385.5965999999999</v>
      </c>
      <c r="CM45" s="13">
        <v>127.071</v>
      </c>
      <c r="CN45" s="13">
        <v>3258.5255999999999</v>
      </c>
      <c r="CO45" s="13">
        <v>40</v>
      </c>
      <c r="CP45" s="13">
        <v>40</v>
      </c>
      <c r="CQ45" s="13">
        <v>0</v>
      </c>
      <c r="CR45" s="13">
        <v>3659.3620000000001</v>
      </c>
      <c r="CS45" s="13">
        <v>104.60680000000001</v>
      </c>
      <c r="CT45" s="13">
        <v>3554.7552000000001</v>
      </c>
      <c r="CU45" s="13">
        <f t="shared" si="4"/>
        <v>1041</v>
      </c>
      <c r="CV45" s="13">
        <f t="shared" si="4"/>
        <v>1041</v>
      </c>
      <c r="CW45" s="13">
        <f t="shared" si="4"/>
        <v>0</v>
      </c>
      <c r="CX45" s="13">
        <f t="shared" si="4"/>
        <v>46400.570100000004</v>
      </c>
      <c r="CY45" s="13">
        <f t="shared" si="4"/>
        <v>1929.1014</v>
      </c>
      <c r="CZ45" s="13">
        <f t="shared" si="4"/>
        <v>44471.468699999998</v>
      </c>
      <c r="DA45" s="13">
        <f t="shared" si="5"/>
        <v>160</v>
      </c>
      <c r="DB45" s="13">
        <f t="shared" si="5"/>
        <v>160</v>
      </c>
      <c r="DC45" s="13">
        <f t="shared" si="5"/>
        <v>0</v>
      </c>
      <c r="DD45" s="13">
        <f t="shared" si="5"/>
        <v>12350.540400000002</v>
      </c>
      <c r="DE45" s="13">
        <f t="shared" si="5"/>
        <v>377.92740000000003</v>
      </c>
      <c r="DF45" s="13">
        <f t="shared" si="5"/>
        <v>11972.612999999999</v>
      </c>
      <c r="DG45" s="13">
        <f t="shared" si="6"/>
        <v>171</v>
      </c>
      <c r="DH45" s="13">
        <f t="shared" si="6"/>
        <v>171</v>
      </c>
      <c r="DI45" s="13">
        <f t="shared" si="6"/>
        <v>0</v>
      </c>
      <c r="DJ45" s="13">
        <f t="shared" si="6"/>
        <v>12435.212199999998</v>
      </c>
      <c r="DK45" s="13">
        <f t="shared" si="6"/>
        <v>363.85599999999999</v>
      </c>
      <c r="DL45" s="13">
        <f t="shared" si="6"/>
        <v>12071.356200000002</v>
      </c>
      <c r="DM45" s="13">
        <f t="shared" si="7"/>
        <v>88</v>
      </c>
      <c r="DN45" s="13">
        <f t="shared" si="7"/>
        <v>88</v>
      </c>
      <c r="DO45" s="13">
        <f t="shared" si="7"/>
        <v>0</v>
      </c>
      <c r="DP45" s="13">
        <f t="shared" si="7"/>
        <v>7044.9585999999999</v>
      </c>
      <c r="DQ45" s="13">
        <f t="shared" si="7"/>
        <v>231.67779999999999</v>
      </c>
      <c r="DR45" s="13">
        <f t="shared" si="7"/>
        <v>6813.2808000000005</v>
      </c>
      <c r="DS45" s="14" t="s">
        <v>71</v>
      </c>
      <c r="DT45" s="14" t="s">
        <v>72</v>
      </c>
      <c r="DU45" s="14" t="s">
        <v>113</v>
      </c>
      <c r="DV45" s="14" t="s">
        <v>63</v>
      </c>
      <c r="DW45" s="14" t="s">
        <v>74</v>
      </c>
    </row>
    <row r="46" spans="2:127" x14ac:dyDescent="0.3">
      <c r="B46" s="11" t="s">
        <v>83</v>
      </c>
      <c r="C46" s="12">
        <v>5001341658</v>
      </c>
      <c r="D46" s="11" t="s">
        <v>228</v>
      </c>
      <c r="E46" s="11" t="s">
        <v>55</v>
      </c>
      <c r="F46" s="11" t="s">
        <v>229</v>
      </c>
      <c r="G46" s="11" t="s">
        <v>90</v>
      </c>
      <c r="H46" s="11" t="s">
        <v>91</v>
      </c>
      <c r="I46" s="11">
        <v>72205</v>
      </c>
      <c r="J46" s="11" t="s">
        <v>70</v>
      </c>
      <c r="K46" s="11"/>
      <c r="L46" s="11"/>
      <c r="M46" s="11"/>
      <c r="N46" s="11"/>
      <c r="O46" s="13">
        <v>1733</v>
      </c>
      <c r="P46" s="13">
        <v>1733</v>
      </c>
      <c r="Q46" s="13">
        <v>0</v>
      </c>
      <c r="R46" s="13">
        <v>26751.867600000001</v>
      </c>
      <c r="S46" s="13">
        <v>5176.4784</v>
      </c>
      <c r="T46" s="13">
        <v>21575.389200000001</v>
      </c>
      <c r="U46" s="13">
        <v>186</v>
      </c>
      <c r="V46" s="13">
        <v>186</v>
      </c>
      <c r="W46" s="13">
        <v>0</v>
      </c>
      <c r="X46" s="13">
        <v>1645.7416000000001</v>
      </c>
      <c r="Y46" s="13">
        <v>399.1087</v>
      </c>
      <c r="Z46" s="13">
        <v>1246.6329000000001</v>
      </c>
      <c r="AA46" s="13">
        <v>154</v>
      </c>
      <c r="AB46" s="13">
        <v>154</v>
      </c>
      <c r="AC46" s="13">
        <v>0</v>
      </c>
      <c r="AD46" s="13">
        <v>2063.6794</v>
      </c>
      <c r="AE46" s="13">
        <v>545.5027</v>
      </c>
      <c r="AF46" s="13">
        <v>1518.1767</v>
      </c>
      <c r="AG46" s="13">
        <v>100</v>
      </c>
      <c r="AH46" s="13">
        <v>100</v>
      </c>
      <c r="AI46" s="13">
        <v>0</v>
      </c>
      <c r="AJ46" s="13">
        <v>1807.7570000000001</v>
      </c>
      <c r="AK46" s="13">
        <v>388.32350000000002</v>
      </c>
      <c r="AL46" s="13">
        <v>1419.4335000000001</v>
      </c>
      <c r="AM46" s="13">
        <v>158</v>
      </c>
      <c r="AN46" s="13">
        <v>158</v>
      </c>
      <c r="AO46" s="13">
        <v>0</v>
      </c>
      <c r="AP46" s="13">
        <v>1858.6195</v>
      </c>
      <c r="AQ46" s="13">
        <v>414.50020000000001</v>
      </c>
      <c r="AR46" s="13">
        <v>1444.1193000000001</v>
      </c>
      <c r="AS46" s="13">
        <v>209</v>
      </c>
      <c r="AT46" s="13">
        <v>209</v>
      </c>
      <c r="AU46" s="13">
        <v>0</v>
      </c>
      <c r="AV46" s="13">
        <v>2642.8664000000003</v>
      </c>
      <c r="AW46" s="13">
        <v>421.14440000000002</v>
      </c>
      <c r="AX46" s="13">
        <v>2221.7220000000002</v>
      </c>
      <c r="AY46" s="13">
        <v>91</v>
      </c>
      <c r="AZ46" s="13">
        <v>91</v>
      </c>
      <c r="BA46" s="13">
        <v>0</v>
      </c>
      <c r="BB46" s="13">
        <v>1762.8851999999999</v>
      </c>
      <c r="BC46" s="13">
        <v>269.39429999999999</v>
      </c>
      <c r="BD46" s="13">
        <v>1493.4909</v>
      </c>
      <c r="BE46" s="13">
        <v>105</v>
      </c>
      <c r="BF46" s="13">
        <v>105</v>
      </c>
      <c r="BG46" s="13">
        <v>0</v>
      </c>
      <c r="BH46" s="13">
        <v>1937.9208000000001</v>
      </c>
      <c r="BI46" s="13">
        <v>321.0009</v>
      </c>
      <c r="BJ46" s="13">
        <v>1616.9199000000001</v>
      </c>
      <c r="BK46" s="13">
        <v>121</v>
      </c>
      <c r="BL46" s="13">
        <v>121</v>
      </c>
      <c r="BM46" s="13">
        <v>0</v>
      </c>
      <c r="BN46" s="13">
        <v>2796.1317999999997</v>
      </c>
      <c r="BO46" s="13">
        <v>401.60919999999999</v>
      </c>
      <c r="BP46" s="13">
        <v>2394.5225999999998</v>
      </c>
      <c r="BQ46" s="13">
        <v>94</v>
      </c>
      <c r="BR46" s="13">
        <v>94</v>
      </c>
      <c r="BS46" s="13">
        <v>0</v>
      </c>
      <c r="BT46" s="13">
        <v>1731.9418000000001</v>
      </c>
      <c r="BU46" s="13">
        <v>349.53700000000003</v>
      </c>
      <c r="BV46" s="13">
        <v>1382.4048</v>
      </c>
      <c r="BW46" s="13">
        <v>162</v>
      </c>
      <c r="BX46" s="13">
        <v>162</v>
      </c>
      <c r="BY46" s="13">
        <v>0</v>
      </c>
      <c r="BZ46" s="13">
        <v>1834.6557</v>
      </c>
      <c r="CA46" s="13">
        <v>390.53639999999996</v>
      </c>
      <c r="CB46" s="13">
        <v>1444.1193000000001</v>
      </c>
      <c r="CC46" s="13">
        <v>113</v>
      </c>
      <c r="CD46" s="13">
        <v>113</v>
      </c>
      <c r="CE46" s="13">
        <v>0</v>
      </c>
      <c r="CF46" s="13">
        <v>3174.6157000000003</v>
      </c>
      <c r="CG46" s="13">
        <v>520.8922</v>
      </c>
      <c r="CH46" s="13">
        <v>2653.7235000000001</v>
      </c>
      <c r="CI46" s="13">
        <v>122</v>
      </c>
      <c r="CJ46" s="13">
        <v>122</v>
      </c>
      <c r="CK46" s="13">
        <v>0</v>
      </c>
      <c r="CL46" s="13">
        <v>1345.2963999999999</v>
      </c>
      <c r="CM46" s="13">
        <v>394.8931</v>
      </c>
      <c r="CN46" s="13">
        <v>950.40329999999994</v>
      </c>
      <c r="CO46" s="13">
        <v>118</v>
      </c>
      <c r="CP46" s="13">
        <v>118</v>
      </c>
      <c r="CQ46" s="13">
        <v>0</v>
      </c>
      <c r="CR46" s="13">
        <v>2149.7563</v>
      </c>
      <c r="CS46" s="13">
        <v>360.03579999999999</v>
      </c>
      <c r="CT46" s="13">
        <v>1789.7204999999999</v>
      </c>
      <c r="CU46" s="13">
        <f t="shared" si="4"/>
        <v>1547</v>
      </c>
      <c r="CV46" s="13">
        <f t="shared" si="4"/>
        <v>1547</v>
      </c>
      <c r="CW46" s="13">
        <f t="shared" si="4"/>
        <v>0</v>
      </c>
      <c r="CX46" s="13">
        <f t="shared" si="4"/>
        <v>25106.125999999997</v>
      </c>
      <c r="CY46" s="13">
        <f t="shared" si="4"/>
        <v>4777.3697000000002</v>
      </c>
      <c r="CZ46" s="13">
        <f t="shared" si="4"/>
        <v>20328.756299999997</v>
      </c>
      <c r="DA46" s="13">
        <f t="shared" si="5"/>
        <v>353</v>
      </c>
      <c r="DB46" s="13">
        <f t="shared" si="5"/>
        <v>353</v>
      </c>
      <c r="DC46" s="13">
        <f t="shared" si="5"/>
        <v>0</v>
      </c>
      <c r="DD46" s="13">
        <f t="shared" si="5"/>
        <v>6669.6684000000005</v>
      </c>
      <c r="DE46" s="13">
        <f t="shared" si="5"/>
        <v>1275.8211000000001</v>
      </c>
      <c r="DF46" s="13">
        <f t="shared" si="5"/>
        <v>5393.8472999999994</v>
      </c>
      <c r="DG46" s="13">
        <f t="shared" si="6"/>
        <v>377</v>
      </c>
      <c r="DH46" s="13">
        <f t="shared" si="6"/>
        <v>377</v>
      </c>
      <c r="DI46" s="13">
        <f t="shared" si="6"/>
        <v>0</v>
      </c>
      <c r="DJ46" s="13">
        <f t="shared" si="6"/>
        <v>6362.7293</v>
      </c>
      <c r="DK46" s="13">
        <f t="shared" si="6"/>
        <v>1141.6826000000001</v>
      </c>
      <c r="DL46" s="13">
        <f t="shared" si="6"/>
        <v>5221.0466999999999</v>
      </c>
      <c r="DM46" s="13">
        <f t="shared" si="7"/>
        <v>240</v>
      </c>
      <c r="DN46" s="13">
        <f t="shared" si="7"/>
        <v>240</v>
      </c>
      <c r="DO46" s="13">
        <f t="shared" si="7"/>
        <v>0</v>
      </c>
      <c r="DP46" s="13">
        <f t="shared" si="7"/>
        <v>3495.0527000000002</v>
      </c>
      <c r="DQ46" s="13">
        <f t="shared" si="7"/>
        <v>754.9289</v>
      </c>
      <c r="DR46" s="13">
        <f t="shared" si="7"/>
        <v>2740.1237999999998</v>
      </c>
      <c r="DS46" s="14" t="s">
        <v>81</v>
      </c>
      <c r="DT46" s="14" t="s">
        <v>125</v>
      </c>
      <c r="DU46" s="14" t="s">
        <v>73</v>
      </c>
      <c r="DV46" s="14" t="s">
        <v>63</v>
      </c>
      <c r="DW46" s="14" t="s">
        <v>126</v>
      </c>
    </row>
    <row r="47" spans="2:127" x14ac:dyDescent="0.3">
      <c r="B47" s="11" t="s">
        <v>65</v>
      </c>
      <c r="C47" s="12">
        <v>5001341672</v>
      </c>
      <c r="D47" s="11" t="s">
        <v>230</v>
      </c>
      <c r="E47" s="11" t="s">
        <v>55</v>
      </c>
      <c r="F47" s="11" t="s">
        <v>231</v>
      </c>
      <c r="G47" s="11" t="s">
        <v>232</v>
      </c>
      <c r="H47" s="11" t="s">
        <v>206</v>
      </c>
      <c r="I47" s="11">
        <v>10065</v>
      </c>
      <c r="J47" s="11" t="s">
        <v>59</v>
      </c>
      <c r="K47" s="11"/>
      <c r="L47" s="11"/>
      <c r="M47" s="11"/>
      <c r="N47" s="11"/>
      <c r="O47" s="13">
        <v>2294</v>
      </c>
      <c r="P47" s="13">
        <v>2294</v>
      </c>
      <c r="Q47" s="13">
        <v>0</v>
      </c>
      <c r="R47" s="13">
        <v>158350.6629</v>
      </c>
      <c r="S47" s="13">
        <v>4064.4129000000003</v>
      </c>
      <c r="T47" s="13">
        <v>154286.25</v>
      </c>
      <c r="U47" s="13">
        <v>183</v>
      </c>
      <c r="V47" s="13">
        <v>183</v>
      </c>
      <c r="W47" s="13">
        <v>0</v>
      </c>
      <c r="X47" s="13">
        <v>11506.4517</v>
      </c>
      <c r="Y47" s="13">
        <v>323.78430000000003</v>
      </c>
      <c r="Z47" s="13">
        <v>11182.6674</v>
      </c>
      <c r="AA47" s="13">
        <v>284</v>
      </c>
      <c r="AB47" s="13">
        <v>284</v>
      </c>
      <c r="AC47" s="13">
        <v>0</v>
      </c>
      <c r="AD47" s="13">
        <v>12401.833500000001</v>
      </c>
      <c r="AE47" s="13">
        <v>404.53469999999999</v>
      </c>
      <c r="AF47" s="13">
        <v>11997.2988</v>
      </c>
      <c r="AG47" s="13">
        <v>159</v>
      </c>
      <c r="AH47" s="13">
        <v>159</v>
      </c>
      <c r="AI47" s="13">
        <v>0</v>
      </c>
      <c r="AJ47" s="13">
        <v>11096.351499999999</v>
      </c>
      <c r="AK47" s="13">
        <v>259.28530000000001</v>
      </c>
      <c r="AL47" s="13">
        <v>10837.066199999999</v>
      </c>
      <c r="AM47" s="13">
        <v>152</v>
      </c>
      <c r="AN47" s="13">
        <v>152</v>
      </c>
      <c r="AO47" s="13">
        <v>0</v>
      </c>
      <c r="AP47" s="13">
        <v>10746.0627</v>
      </c>
      <c r="AQ47" s="13">
        <v>340.99799999999999</v>
      </c>
      <c r="AR47" s="13">
        <v>10405.064700000001</v>
      </c>
      <c r="AS47" s="13">
        <v>214</v>
      </c>
      <c r="AT47" s="13">
        <v>214</v>
      </c>
      <c r="AU47" s="13">
        <v>0</v>
      </c>
      <c r="AV47" s="13">
        <v>13098.636500000001</v>
      </c>
      <c r="AW47" s="13">
        <v>311.39210000000003</v>
      </c>
      <c r="AX47" s="13">
        <v>12787.2444</v>
      </c>
      <c r="AY47" s="13">
        <v>109</v>
      </c>
      <c r="AZ47" s="13">
        <v>109</v>
      </c>
      <c r="BA47" s="13">
        <v>0</v>
      </c>
      <c r="BB47" s="13">
        <v>12021.2461</v>
      </c>
      <c r="BC47" s="13">
        <v>320.17689999999999</v>
      </c>
      <c r="BD47" s="13">
        <v>11701.0692</v>
      </c>
      <c r="BE47" s="13">
        <v>132</v>
      </c>
      <c r="BF47" s="13">
        <v>132</v>
      </c>
      <c r="BG47" s="13">
        <v>0</v>
      </c>
      <c r="BH47" s="13">
        <v>10236.783600000001</v>
      </c>
      <c r="BI47" s="13">
        <v>239.03460000000001</v>
      </c>
      <c r="BJ47" s="13">
        <v>9997.7489999999998</v>
      </c>
      <c r="BK47" s="13">
        <v>151</v>
      </c>
      <c r="BL47" s="13">
        <v>151</v>
      </c>
      <c r="BM47" s="13">
        <v>0</v>
      </c>
      <c r="BN47" s="13">
        <v>13200.143900000001</v>
      </c>
      <c r="BO47" s="13">
        <v>264.78469999999999</v>
      </c>
      <c r="BP47" s="13">
        <v>12935.359200000001</v>
      </c>
      <c r="BQ47" s="13">
        <v>226</v>
      </c>
      <c r="BR47" s="13">
        <v>226</v>
      </c>
      <c r="BS47" s="13">
        <v>0</v>
      </c>
      <c r="BT47" s="13">
        <v>11377.0365</v>
      </c>
      <c r="BU47" s="13">
        <v>391.85550000000001</v>
      </c>
      <c r="BV47" s="13">
        <v>10985.181</v>
      </c>
      <c r="BW47" s="13">
        <v>55</v>
      </c>
      <c r="BX47" s="13">
        <v>55</v>
      </c>
      <c r="BY47" s="13">
        <v>0</v>
      </c>
      <c r="BZ47" s="13">
        <v>11423.1955</v>
      </c>
      <c r="CA47" s="13">
        <v>141.78489999999999</v>
      </c>
      <c r="CB47" s="13">
        <v>11281.410599999999</v>
      </c>
      <c r="CC47" s="13">
        <v>246</v>
      </c>
      <c r="CD47" s="13">
        <v>246</v>
      </c>
      <c r="CE47" s="13">
        <v>0</v>
      </c>
      <c r="CF47" s="13">
        <v>17088.849399999999</v>
      </c>
      <c r="CG47" s="13">
        <v>401.24860000000001</v>
      </c>
      <c r="CH47" s="13">
        <v>16687.6008</v>
      </c>
      <c r="CI47" s="13">
        <v>163</v>
      </c>
      <c r="CJ47" s="13">
        <v>163</v>
      </c>
      <c r="CK47" s="13">
        <v>0</v>
      </c>
      <c r="CL47" s="13">
        <v>12095.689900000001</v>
      </c>
      <c r="CM47" s="13">
        <v>283.53460000000001</v>
      </c>
      <c r="CN47" s="13">
        <v>11812.1553</v>
      </c>
      <c r="CO47" s="13">
        <v>220</v>
      </c>
      <c r="CP47" s="13">
        <v>220</v>
      </c>
      <c r="CQ47" s="13">
        <v>0</v>
      </c>
      <c r="CR47" s="13">
        <v>12058.382100000001</v>
      </c>
      <c r="CS47" s="13">
        <v>381.99869999999999</v>
      </c>
      <c r="CT47" s="13">
        <v>11676.383400000001</v>
      </c>
      <c r="CU47" s="13">
        <f t="shared" si="4"/>
        <v>2111</v>
      </c>
      <c r="CV47" s="13">
        <f t="shared" si="4"/>
        <v>2111</v>
      </c>
      <c r="CW47" s="13">
        <f t="shared" si="4"/>
        <v>0</v>
      </c>
      <c r="CX47" s="13">
        <f t="shared" si="4"/>
        <v>146844.21119999999</v>
      </c>
      <c r="CY47" s="13">
        <f t="shared" si="4"/>
        <v>3740.6286</v>
      </c>
      <c r="CZ47" s="13">
        <f t="shared" si="4"/>
        <v>143103.58259999999</v>
      </c>
      <c r="DA47" s="13">
        <f t="shared" si="5"/>
        <v>629</v>
      </c>
      <c r="DB47" s="13">
        <f t="shared" si="5"/>
        <v>629</v>
      </c>
      <c r="DC47" s="13">
        <f t="shared" si="5"/>
        <v>0</v>
      </c>
      <c r="DD47" s="13">
        <f t="shared" si="5"/>
        <v>41242.921399999999</v>
      </c>
      <c r="DE47" s="13">
        <f t="shared" si="5"/>
        <v>1066.7819</v>
      </c>
      <c r="DF47" s="13">
        <f t="shared" si="5"/>
        <v>40176.139499999997</v>
      </c>
      <c r="DG47" s="13">
        <f t="shared" si="6"/>
        <v>432</v>
      </c>
      <c r="DH47" s="13">
        <f t="shared" si="6"/>
        <v>432</v>
      </c>
      <c r="DI47" s="13">
        <f t="shared" si="6"/>
        <v>0</v>
      </c>
      <c r="DJ47" s="13">
        <f t="shared" si="6"/>
        <v>36000.375899999999</v>
      </c>
      <c r="DK47" s="13">
        <f t="shared" si="6"/>
        <v>798.42510000000004</v>
      </c>
      <c r="DL47" s="13">
        <f t="shared" si="6"/>
        <v>35201.950800000006</v>
      </c>
      <c r="DM47" s="13">
        <f t="shared" si="7"/>
        <v>383</v>
      </c>
      <c r="DN47" s="13">
        <f t="shared" si="7"/>
        <v>383</v>
      </c>
      <c r="DO47" s="13">
        <f t="shared" si="7"/>
        <v>0</v>
      </c>
      <c r="DP47" s="13">
        <f t="shared" si="7"/>
        <v>24154.072</v>
      </c>
      <c r="DQ47" s="13">
        <f t="shared" si="7"/>
        <v>665.53330000000005</v>
      </c>
      <c r="DR47" s="13">
        <f t="shared" si="7"/>
        <v>23488.538700000001</v>
      </c>
      <c r="DS47" s="14" t="s">
        <v>60</v>
      </c>
      <c r="DT47" s="14" t="s">
        <v>72</v>
      </c>
      <c r="DU47" s="14" t="s">
        <v>73</v>
      </c>
      <c r="DV47" s="14" t="s">
        <v>63</v>
      </c>
      <c r="DW47" s="14" t="s">
        <v>64</v>
      </c>
    </row>
    <row r="48" spans="2:127" x14ac:dyDescent="0.3">
      <c r="B48" s="11" t="s">
        <v>65</v>
      </c>
      <c r="C48" s="12">
        <v>5001341674</v>
      </c>
      <c r="D48" s="11" t="s">
        <v>233</v>
      </c>
      <c r="E48" s="11" t="s">
        <v>55</v>
      </c>
      <c r="F48" s="11" t="s">
        <v>234</v>
      </c>
      <c r="G48" s="11" t="s">
        <v>235</v>
      </c>
      <c r="H48" s="11" t="s">
        <v>206</v>
      </c>
      <c r="I48" s="11">
        <v>11967</v>
      </c>
      <c r="J48" s="11" t="s">
        <v>70</v>
      </c>
      <c r="K48" s="11"/>
      <c r="L48" s="11"/>
      <c r="M48" s="11"/>
      <c r="N48" s="11"/>
      <c r="O48" s="13">
        <v>3357</v>
      </c>
      <c r="P48" s="13">
        <v>3349</v>
      </c>
      <c r="Q48" s="13">
        <v>8</v>
      </c>
      <c r="R48" s="13">
        <v>95145.932499999995</v>
      </c>
      <c r="S48" s="13">
        <v>4121.3878999999997</v>
      </c>
      <c r="T48" s="13">
        <v>91024.544599999994</v>
      </c>
      <c r="U48" s="13">
        <v>269</v>
      </c>
      <c r="V48" s="13">
        <v>269</v>
      </c>
      <c r="W48" s="13">
        <v>0</v>
      </c>
      <c r="X48" s="13">
        <v>6797.4285</v>
      </c>
      <c r="Y48" s="13">
        <v>391.46339999999998</v>
      </c>
      <c r="Z48" s="13">
        <v>6405.9651000000003</v>
      </c>
      <c r="AA48" s="13">
        <v>350</v>
      </c>
      <c r="AB48" s="13">
        <v>350</v>
      </c>
      <c r="AC48" s="13">
        <v>0</v>
      </c>
      <c r="AD48" s="13">
        <v>8087.2617999999993</v>
      </c>
      <c r="AE48" s="13">
        <v>422.32089999999999</v>
      </c>
      <c r="AF48" s="13">
        <v>7664.9408999999996</v>
      </c>
      <c r="AG48" s="13">
        <v>266</v>
      </c>
      <c r="AH48" s="13">
        <v>266</v>
      </c>
      <c r="AI48" s="13">
        <v>0</v>
      </c>
      <c r="AJ48" s="13">
        <v>7026.6302000000005</v>
      </c>
      <c r="AK48" s="13">
        <v>299.74970000000002</v>
      </c>
      <c r="AL48" s="13">
        <v>6726.8805000000002</v>
      </c>
      <c r="AM48" s="13">
        <v>289</v>
      </c>
      <c r="AN48" s="13">
        <v>289</v>
      </c>
      <c r="AO48" s="13">
        <v>0</v>
      </c>
      <c r="AP48" s="13">
        <v>6766.1289999999999</v>
      </c>
      <c r="AQ48" s="13">
        <v>347.82100000000003</v>
      </c>
      <c r="AR48" s="13">
        <v>6418.308</v>
      </c>
      <c r="AS48" s="13">
        <v>269</v>
      </c>
      <c r="AT48" s="13">
        <v>269</v>
      </c>
      <c r="AU48" s="13">
        <v>0</v>
      </c>
      <c r="AV48" s="13">
        <v>8449.6419999999998</v>
      </c>
      <c r="AW48" s="13">
        <v>340.35669999999999</v>
      </c>
      <c r="AX48" s="13">
        <v>8109.2852999999996</v>
      </c>
      <c r="AY48" s="13">
        <v>256</v>
      </c>
      <c r="AZ48" s="13">
        <v>256</v>
      </c>
      <c r="BA48" s="13">
        <v>0</v>
      </c>
      <c r="BB48" s="13">
        <v>6765.9152000000004</v>
      </c>
      <c r="BC48" s="13">
        <v>285.89269999999999</v>
      </c>
      <c r="BD48" s="13">
        <v>6480.0225</v>
      </c>
      <c r="BE48" s="13">
        <v>250</v>
      </c>
      <c r="BF48" s="13">
        <v>250</v>
      </c>
      <c r="BG48" s="13">
        <v>0</v>
      </c>
      <c r="BH48" s="13">
        <v>6652.1074000000008</v>
      </c>
      <c r="BI48" s="13">
        <v>307.85680000000002</v>
      </c>
      <c r="BJ48" s="13">
        <v>6344.2506000000003</v>
      </c>
      <c r="BK48" s="13">
        <v>225</v>
      </c>
      <c r="BL48" s="13">
        <v>225</v>
      </c>
      <c r="BM48" s="13">
        <v>0</v>
      </c>
      <c r="BN48" s="13">
        <v>7588.8894</v>
      </c>
      <c r="BO48" s="13">
        <v>281.89260000000002</v>
      </c>
      <c r="BP48" s="13">
        <v>7306.9967999999999</v>
      </c>
      <c r="BQ48" s="13">
        <v>199</v>
      </c>
      <c r="BR48" s="13">
        <v>199</v>
      </c>
      <c r="BS48" s="13">
        <v>0</v>
      </c>
      <c r="BT48" s="13">
        <v>6528.7858000000006</v>
      </c>
      <c r="BU48" s="13">
        <v>246.24969999999999</v>
      </c>
      <c r="BV48" s="13">
        <v>6282.5361000000003</v>
      </c>
      <c r="BW48" s="13">
        <v>220</v>
      </c>
      <c r="BX48" s="13">
        <v>220</v>
      </c>
      <c r="BY48" s="13">
        <v>0</v>
      </c>
      <c r="BZ48" s="13">
        <v>6824.0297</v>
      </c>
      <c r="CA48" s="13">
        <v>257.6069</v>
      </c>
      <c r="CB48" s="13">
        <v>6566.4228000000003</v>
      </c>
      <c r="CC48" s="13">
        <v>356</v>
      </c>
      <c r="CD48" s="13">
        <v>356</v>
      </c>
      <c r="CE48" s="13">
        <v>0</v>
      </c>
      <c r="CF48" s="13">
        <v>9457.5382000000009</v>
      </c>
      <c r="CG48" s="13">
        <v>422.53539999999998</v>
      </c>
      <c r="CH48" s="13">
        <v>9035.0028000000002</v>
      </c>
      <c r="CI48" s="13">
        <v>194</v>
      </c>
      <c r="CJ48" s="13">
        <v>194</v>
      </c>
      <c r="CK48" s="13">
        <v>0</v>
      </c>
      <c r="CL48" s="13">
        <v>7078.6375000000007</v>
      </c>
      <c r="CM48" s="13">
        <v>265.35669999999999</v>
      </c>
      <c r="CN48" s="13">
        <v>6813.2808000000005</v>
      </c>
      <c r="CO48" s="13">
        <v>214</v>
      </c>
      <c r="CP48" s="13">
        <v>206</v>
      </c>
      <c r="CQ48" s="13">
        <v>8</v>
      </c>
      <c r="CR48" s="13">
        <v>7122.9377999999997</v>
      </c>
      <c r="CS48" s="13">
        <v>252.28540000000001</v>
      </c>
      <c r="CT48" s="13">
        <v>6870.6523999999999</v>
      </c>
      <c r="CU48" s="13">
        <f t="shared" si="4"/>
        <v>3088</v>
      </c>
      <c r="CV48" s="13">
        <f t="shared" si="4"/>
        <v>3080</v>
      </c>
      <c r="CW48" s="13">
        <f t="shared" si="4"/>
        <v>8</v>
      </c>
      <c r="CX48" s="13">
        <f t="shared" si="4"/>
        <v>88348.504000000001</v>
      </c>
      <c r="CY48" s="13">
        <f t="shared" si="4"/>
        <v>3729.9245000000001</v>
      </c>
      <c r="CZ48" s="13">
        <f t="shared" si="4"/>
        <v>84618.579500000007</v>
      </c>
      <c r="DA48" s="13">
        <f t="shared" si="5"/>
        <v>764</v>
      </c>
      <c r="DB48" s="13">
        <f t="shared" si="5"/>
        <v>756</v>
      </c>
      <c r="DC48" s="13">
        <f t="shared" si="5"/>
        <v>8</v>
      </c>
      <c r="DD48" s="13">
        <f t="shared" si="5"/>
        <v>23659.113499999999</v>
      </c>
      <c r="DE48" s="13">
        <f t="shared" si="5"/>
        <v>940.17750000000001</v>
      </c>
      <c r="DF48" s="13">
        <f t="shared" si="5"/>
        <v>22718.936000000002</v>
      </c>
      <c r="DG48" s="13">
        <f t="shared" si="6"/>
        <v>644</v>
      </c>
      <c r="DH48" s="13">
        <f t="shared" si="6"/>
        <v>644</v>
      </c>
      <c r="DI48" s="13">
        <f t="shared" si="6"/>
        <v>0</v>
      </c>
      <c r="DJ48" s="13">
        <f t="shared" si="6"/>
        <v>20941.704900000001</v>
      </c>
      <c r="DK48" s="13">
        <f t="shared" si="6"/>
        <v>785.74919999999997</v>
      </c>
      <c r="DL48" s="13">
        <f t="shared" si="6"/>
        <v>20155.955699999999</v>
      </c>
      <c r="DM48" s="13">
        <f t="shared" si="7"/>
        <v>408</v>
      </c>
      <c r="DN48" s="13">
        <f t="shared" si="7"/>
        <v>400</v>
      </c>
      <c r="DO48" s="13">
        <f t="shared" si="7"/>
        <v>8</v>
      </c>
      <c r="DP48" s="13">
        <f t="shared" si="7"/>
        <v>14201.5753</v>
      </c>
      <c r="DQ48" s="13">
        <f t="shared" si="7"/>
        <v>517.64210000000003</v>
      </c>
      <c r="DR48" s="13">
        <f t="shared" si="7"/>
        <v>13683.933199999999</v>
      </c>
      <c r="DS48" s="14" t="s">
        <v>71</v>
      </c>
      <c r="DT48" s="14" t="s">
        <v>125</v>
      </c>
      <c r="DU48" s="14" t="s">
        <v>73</v>
      </c>
      <c r="DV48" s="14" t="s">
        <v>63</v>
      </c>
      <c r="DW48" s="14" t="s">
        <v>74</v>
      </c>
    </row>
    <row r="49" spans="2:127" x14ac:dyDescent="0.3">
      <c r="B49" s="11" t="s">
        <v>65</v>
      </c>
      <c r="C49" s="12">
        <v>5001341727</v>
      </c>
      <c r="D49" s="11" t="s">
        <v>236</v>
      </c>
      <c r="E49" s="11" t="s">
        <v>55</v>
      </c>
      <c r="F49" s="11" t="s">
        <v>237</v>
      </c>
      <c r="G49" s="11" t="s">
        <v>238</v>
      </c>
      <c r="H49" s="11" t="s">
        <v>239</v>
      </c>
      <c r="I49" s="11">
        <v>17033</v>
      </c>
      <c r="J49" s="11" t="s">
        <v>80</v>
      </c>
      <c r="K49" s="11"/>
      <c r="L49" s="11"/>
      <c r="M49" s="11"/>
      <c r="N49" s="11"/>
      <c r="O49" s="13">
        <v>1398</v>
      </c>
      <c r="P49" s="13">
        <v>1398</v>
      </c>
      <c r="Q49" s="13">
        <v>0</v>
      </c>
      <c r="R49" s="13">
        <v>32056.954000000002</v>
      </c>
      <c r="S49" s="13">
        <v>4803.8307999999997</v>
      </c>
      <c r="T49" s="13">
        <v>27253.123200000002</v>
      </c>
      <c r="U49" s="13">
        <v>149</v>
      </c>
      <c r="V49" s="13">
        <v>149</v>
      </c>
      <c r="W49" s="13">
        <v>0</v>
      </c>
      <c r="X49" s="13">
        <v>2331.5684999999999</v>
      </c>
      <c r="Y49" s="13">
        <v>443.10480000000001</v>
      </c>
      <c r="Z49" s="13">
        <v>1888.4637</v>
      </c>
      <c r="AA49" s="13">
        <v>126</v>
      </c>
      <c r="AB49" s="13">
        <v>126</v>
      </c>
      <c r="AC49" s="13">
        <v>0</v>
      </c>
      <c r="AD49" s="13">
        <v>2849.1493</v>
      </c>
      <c r="AE49" s="13">
        <v>380.5693</v>
      </c>
      <c r="AF49" s="13">
        <v>2468.58</v>
      </c>
      <c r="AG49" s="13">
        <v>72</v>
      </c>
      <c r="AH49" s="13">
        <v>72</v>
      </c>
      <c r="AI49" s="13">
        <v>0</v>
      </c>
      <c r="AJ49" s="13">
        <v>2264.7907999999998</v>
      </c>
      <c r="AK49" s="13">
        <v>289.92679999999996</v>
      </c>
      <c r="AL49" s="13">
        <v>1974.864</v>
      </c>
      <c r="AM49" s="13">
        <v>94</v>
      </c>
      <c r="AN49" s="13">
        <v>94</v>
      </c>
      <c r="AO49" s="13">
        <v>0</v>
      </c>
      <c r="AP49" s="13">
        <v>2147.5466999999999</v>
      </c>
      <c r="AQ49" s="13">
        <v>394.85489999999999</v>
      </c>
      <c r="AR49" s="13">
        <v>1752.6918000000001</v>
      </c>
      <c r="AS49" s="13">
        <v>69</v>
      </c>
      <c r="AT49" s="13">
        <v>69</v>
      </c>
      <c r="AU49" s="13">
        <v>0</v>
      </c>
      <c r="AV49" s="13">
        <v>2474.1262000000002</v>
      </c>
      <c r="AW49" s="13">
        <v>388.17610000000002</v>
      </c>
      <c r="AX49" s="13">
        <v>2085.9501</v>
      </c>
      <c r="AY49" s="13">
        <v>115</v>
      </c>
      <c r="AZ49" s="13">
        <v>115</v>
      </c>
      <c r="BA49" s="13">
        <v>0</v>
      </c>
      <c r="BB49" s="13">
        <v>2378.7626999999998</v>
      </c>
      <c r="BC49" s="13">
        <v>317.4984</v>
      </c>
      <c r="BD49" s="13">
        <v>2061.2642999999998</v>
      </c>
      <c r="BE49" s="13">
        <v>93</v>
      </c>
      <c r="BF49" s="13">
        <v>93</v>
      </c>
      <c r="BG49" s="13">
        <v>0</v>
      </c>
      <c r="BH49" s="13">
        <v>2145.7755999999999</v>
      </c>
      <c r="BI49" s="13">
        <v>343.7122</v>
      </c>
      <c r="BJ49" s="13">
        <v>1802.0634</v>
      </c>
      <c r="BK49" s="13">
        <v>99</v>
      </c>
      <c r="BL49" s="13">
        <v>99</v>
      </c>
      <c r="BM49" s="13">
        <v>0</v>
      </c>
      <c r="BN49" s="13">
        <v>2820.6066000000001</v>
      </c>
      <c r="BO49" s="13">
        <v>376.7124</v>
      </c>
      <c r="BP49" s="13">
        <v>2443.8942000000002</v>
      </c>
      <c r="BQ49" s="13">
        <v>90</v>
      </c>
      <c r="BR49" s="13">
        <v>90</v>
      </c>
      <c r="BS49" s="13">
        <v>0</v>
      </c>
      <c r="BT49" s="13">
        <v>2199.0913</v>
      </c>
      <c r="BU49" s="13">
        <v>236.5702</v>
      </c>
      <c r="BV49" s="13">
        <v>1962.5210999999999</v>
      </c>
      <c r="BW49" s="13">
        <v>134</v>
      </c>
      <c r="BX49" s="13">
        <v>134</v>
      </c>
      <c r="BY49" s="13">
        <v>0</v>
      </c>
      <c r="BZ49" s="13">
        <v>2663.3266000000003</v>
      </c>
      <c r="CA49" s="13">
        <v>441.6046</v>
      </c>
      <c r="CB49" s="13">
        <v>2221.7220000000002</v>
      </c>
      <c r="CC49" s="13">
        <v>109</v>
      </c>
      <c r="CD49" s="13">
        <v>109</v>
      </c>
      <c r="CE49" s="13">
        <v>0</v>
      </c>
      <c r="CF49" s="13">
        <v>2875.5406999999996</v>
      </c>
      <c r="CG49" s="13">
        <v>530.38969999999995</v>
      </c>
      <c r="CH49" s="13">
        <v>2345.1509999999998</v>
      </c>
      <c r="CI49" s="13">
        <v>120</v>
      </c>
      <c r="CJ49" s="13">
        <v>120</v>
      </c>
      <c r="CK49" s="13">
        <v>0</v>
      </c>
      <c r="CL49" s="13">
        <v>2762.3423999999995</v>
      </c>
      <c r="CM49" s="13">
        <v>367.81979999999999</v>
      </c>
      <c r="CN49" s="13">
        <v>2394.5225999999998</v>
      </c>
      <c r="CO49" s="13">
        <v>128</v>
      </c>
      <c r="CP49" s="13">
        <v>128</v>
      </c>
      <c r="CQ49" s="13">
        <v>0</v>
      </c>
      <c r="CR49" s="13">
        <v>2144.3265999999999</v>
      </c>
      <c r="CS49" s="13">
        <v>292.89160000000004</v>
      </c>
      <c r="CT49" s="13">
        <v>1851.4349999999999</v>
      </c>
      <c r="CU49" s="13">
        <f t="shared" si="4"/>
        <v>1249</v>
      </c>
      <c r="CV49" s="13">
        <f t="shared" si="4"/>
        <v>1249</v>
      </c>
      <c r="CW49" s="13">
        <f t="shared" si="4"/>
        <v>0</v>
      </c>
      <c r="CX49" s="13">
        <f t="shared" si="4"/>
        <v>29725.385499999997</v>
      </c>
      <c r="CY49" s="13">
        <f t="shared" si="4"/>
        <v>4360.7259999999997</v>
      </c>
      <c r="CZ49" s="13">
        <f t="shared" si="4"/>
        <v>25364.659500000002</v>
      </c>
      <c r="DA49" s="13">
        <f t="shared" si="5"/>
        <v>357</v>
      </c>
      <c r="DB49" s="13">
        <f t="shared" si="5"/>
        <v>357</v>
      </c>
      <c r="DC49" s="13">
        <f t="shared" si="5"/>
        <v>0</v>
      </c>
      <c r="DD49" s="13">
        <f t="shared" si="5"/>
        <v>7782.2096999999994</v>
      </c>
      <c r="DE49" s="13">
        <f t="shared" si="5"/>
        <v>1191.1010999999999</v>
      </c>
      <c r="DF49" s="13">
        <f t="shared" si="5"/>
        <v>6591.1085999999996</v>
      </c>
      <c r="DG49" s="13">
        <f t="shared" si="6"/>
        <v>323</v>
      </c>
      <c r="DH49" s="13">
        <f t="shared" si="6"/>
        <v>323</v>
      </c>
      <c r="DI49" s="13">
        <f t="shared" si="6"/>
        <v>0</v>
      </c>
      <c r="DJ49" s="13">
        <f t="shared" si="6"/>
        <v>7683.0245000000004</v>
      </c>
      <c r="DK49" s="13">
        <f t="shared" si="6"/>
        <v>1054.8872000000001</v>
      </c>
      <c r="DL49" s="13">
        <f t="shared" si="6"/>
        <v>6628.1373000000003</v>
      </c>
      <c r="DM49" s="13">
        <f t="shared" si="7"/>
        <v>248</v>
      </c>
      <c r="DN49" s="13">
        <f t="shared" si="7"/>
        <v>248</v>
      </c>
      <c r="DO49" s="13">
        <f t="shared" si="7"/>
        <v>0</v>
      </c>
      <c r="DP49" s="13">
        <f t="shared" si="7"/>
        <v>4906.6689999999999</v>
      </c>
      <c r="DQ49" s="13">
        <f t="shared" si="7"/>
        <v>660.71140000000003</v>
      </c>
      <c r="DR49" s="13">
        <f t="shared" si="7"/>
        <v>4245.9575999999997</v>
      </c>
      <c r="DS49" s="14" t="s">
        <v>60</v>
      </c>
      <c r="DT49" s="14" t="s">
        <v>81</v>
      </c>
      <c r="DU49" s="14" t="s">
        <v>73</v>
      </c>
      <c r="DV49" s="14" t="s">
        <v>82</v>
      </c>
      <c r="DW49" s="14" t="s">
        <v>74</v>
      </c>
    </row>
    <row r="50" spans="2:127" x14ac:dyDescent="0.3">
      <c r="B50" s="11" t="s">
        <v>53</v>
      </c>
      <c r="C50" s="12">
        <v>5001341753</v>
      </c>
      <c r="D50" s="11" t="s">
        <v>240</v>
      </c>
      <c r="E50" s="11" t="s">
        <v>55</v>
      </c>
      <c r="F50" s="11" t="s">
        <v>241</v>
      </c>
      <c r="G50" s="11" t="s">
        <v>242</v>
      </c>
      <c r="H50" s="11" t="s">
        <v>243</v>
      </c>
      <c r="I50" s="11">
        <v>84132</v>
      </c>
      <c r="J50" s="11" t="s">
        <v>59</v>
      </c>
      <c r="K50" s="11"/>
      <c r="L50" s="11"/>
      <c r="M50" s="11"/>
      <c r="N50" s="11"/>
      <c r="O50" s="13">
        <v>361</v>
      </c>
      <c r="P50" s="13">
        <v>361</v>
      </c>
      <c r="Q50" s="13">
        <v>0</v>
      </c>
      <c r="R50" s="13">
        <v>36156.564299999998</v>
      </c>
      <c r="S50" s="13">
        <v>559.64070000000004</v>
      </c>
      <c r="T50" s="13">
        <v>35596.923600000002</v>
      </c>
      <c r="U50" s="13">
        <v>41</v>
      </c>
      <c r="V50" s="13">
        <v>41</v>
      </c>
      <c r="W50" s="13">
        <v>0</v>
      </c>
      <c r="X50" s="13">
        <v>2321.3500999999997</v>
      </c>
      <c r="Y50" s="13">
        <v>87.285200000000003</v>
      </c>
      <c r="Z50" s="13">
        <v>2234.0648999999999</v>
      </c>
      <c r="AA50" s="13">
        <v>2</v>
      </c>
      <c r="AB50" s="13">
        <v>2</v>
      </c>
      <c r="AC50" s="13">
        <v>0</v>
      </c>
      <c r="AD50" s="13">
        <v>3172.5821000000001</v>
      </c>
      <c r="AE50" s="13">
        <v>25.142600000000002</v>
      </c>
      <c r="AF50" s="13">
        <v>3147.4395</v>
      </c>
      <c r="AG50" s="13">
        <v>34</v>
      </c>
      <c r="AH50" s="13">
        <v>34</v>
      </c>
      <c r="AI50" s="13">
        <v>0</v>
      </c>
      <c r="AJ50" s="13">
        <v>3586.4404000000004</v>
      </c>
      <c r="AK50" s="13">
        <v>68.713899999999995</v>
      </c>
      <c r="AL50" s="13">
        <v>3517.7265000000002</v>
      </c>
      <c r="AM50" s="13">
        <v>4</v>
      </c>
      <c r="AN50" s="13">
        <v>4</v>
      </c>
      <c r="AO50" s="13">
        <v>0</v>
      </c>
      <c r="AP50" s="13">
        <v>2224.9504000000002</v>
      </c>
      <c r="AQ50" s="13">
        <v>15.571300000000001</v>
      </c>
      <c r="AR50" s="13">
        <v>2209.3791000000001</v>
      </c>
      <c r="AS50" s="13">
        <v>23</v>
      </c>
      <c r="AT50" s="13">
        <v>23</v>
      </c>
      <c r="AU50" s="13">
        <v>0</v>
      </c>
      <c r="AV50" s="13">
        <v>2923.5814999999998</v>
      </c>
      <c r="AW50" s="13">
        <v>23</v>
      </c>
      <c r="AX50" s="13">
        <v>2900.5814999999998</v>
      </c>
      <c r="AY50" s="13">
        <v>23</v>
      </c>
      <c r="AZ50" s="13">
        <v>23</v>
      </c>
      <c r="BA50" s="13">
        <v>0</v>
      </c>
      <c r="BB50" s="13">
        <v>2553.2945</v>
      </c>
      <c r="BC50" s="13">
        <v>23</v>
      </c>
      <c r="BD50" s="13">
        <v>2530.2945</v>
      </c>
      <c r="BE50" s="13">
        <v>62</v>
      </c>
      <c r="BF50" s="13">
        <v>62</v>
      </c>
      <c r="BG50" s="13">
        <v>0</v>
      </c>
      <c r="BH50" s="13">
        <v>2863.0666999999999</v>
      </c>
      <c r="BI50" s="13">
        <v>73.571300000000008</v>
      </c>
      <c r="BJ50" s="13">
        <v>2789.4953999999998</v>
      </c>
      <c r="BK50" s="13">
        <v>26</v>
      </c>
      <c r="BL50" s="13">
        <v>26</v>
      </c>
      <c r="BM50" s="13">
        <v>0</v>
      </c>
      <c r="BN50" s="13">
        <v>2790.038</v>
      </c>
      <c r="BO50" s="13">
        <v>37.571300000000001</v>
      </c>
      <c r="BP50" s="13">
        <v>2752.4666999999999</v>
      </c>
      <c r="BQ50" s="13">
        <v>12</v>
      </c>
      <c r="BR50" s="13">
        <v>12</v>
      </c>
      <c r="BS50" s="13">
        <v>0</v>
      </c>
      <c r="BT50" s="13">
        <v>2479.8083999999999</v>
      </c>
      <c r="BU50" s="13">
        <v>23.571300000000001</v>
      </c>
      <c r="BV50" s="13">
        <v>2456.2370999999998</v>
      </c>
      <c r="BW50" s="13">
        <v>36</v>
      </c>
      <c r="BX50" s="13">
        <v>36</v>
      </c>
      <c r="BY50" s="13">
        <v>0</v>
      </c>
      <c r="BZ50" s="13">
        <v>2207.5788000000002</v>
      </c>
      <c r="CA50" s="13">
        <v>47.571300000000001</v>
      </c>
      <c r="CB50" s="13">
        <v>2160.0075000000002</v>
      </c>
      <c r="CC50" s="13">
        <v>54</v>
      </c>
      <c r="CD50" s="13">
        <v>54</v>
      </c>
      <c r="CE50" s="13">
        <v>0</v>
      </c>
      <c r="CF50" s="13">
        <v>3261.6107999999999</v>
      </c>
      <c r="CG50" s="13">
        <v>77.142600000000002</v>
      </c>
      <c r="CH50" s="13">
        <v>3184.4681999999998</v>
      </c>
      <c r="CI50" s="13">
        <v>44</v>
      </c>
      <c r="CJ50" s="13">
        <v>44</v>
      </c>
      <c r="CK50" s="13">
        <v>0</v>
      </c>
      <c r="CL50" s="13">
        <v>3290.1826999999998</v>
      </c>
      <c r="CM50" s="13">
        <v>44</v>
      </c>
      <c r="CN50" s="13">
        <v>3246.1826999999998</v>
      </c>
      <c r="CO50" s="13">
        <v>0</v>
      </c>
      <c r="CP50" s="13">
        <v>0</v>
      </c>
      <c r="CQ50" s="13">
        <v>0</v>
      </c>
      <c r="CR50" s="13">
        <v>2482.0798999999997</v>
      </c>
      <c r="CS50" s="13">
        <v>13.4999</v>
      </c>
      <c r="CT50" s="13">
        <v>2468.58</v>
      </c>
      <c r="CU50" s="13">
        <f t="shared" si="4"/>
        <v>320</v>
      </c>
      <c r="CV50" s="13">
        <f t="shared" si="4"/>
        <v>320</v>
      </c>
      <c r="CW50" s="13">
        <f t="shared" si="4"/>
        <v>0</v>
      </c>
      <c r="CX50" s="13">
        <f t="shared" si="4"/>
        <v>33835.214200000002</v>
      </c>
      <c r="CY50" s="13">
        <f t="shared" si="4"/>
        <v>472.35550000000006</v>
      </c>
      <c r="CZ50" s="13">
        <f t="shared" si="4"/>
        <v>33362.858699999997</v>
      </c>
      <c r="DA50" s="13">
        <f t="shared" si="5"/>
        <v>98</v>
      </c>
      <c r="DB50" s="13">
        <f t="shared" si="5"/>
        <v>98</v>
      </c>
      <c r="DC50" s="13">
        <f t="shared" si="5"/>
        <v>0</v>
      </c>
      <c r="DD50" s="13">
        <f t="shared" si="5"/>
        <v>9033.8734000000004</v>
      </c>
      <c r="DE50" s="13">
        <f t="shared" si="5"/>
        <v>134.64250000000001</v>
      </c>
      <c r="DF50" s="13">
        <f t="shared" si="5"/>
        <v>8899.2308999999987</v>
      </c>
      <c r="DG50" s="13">
        <f t="shared" si="6"/>
        <v>74</v>
      </c>
      <c r="DH50" s="13">
        <f t="shared" si="6"/>
        <v>74</v>
      </c>
      <c r="DI50" s="13">
        <f t="shared" si="6"/>
        <v>0</v>
      </c>
      <c r="DJ50" s="13">
        <f t="shared" si="6"/>
        <v>7477.4252000000006</v>
      </c>
      <c r="DK50" s="13">
        <f t="shared" si="6"/>
        <v>108.7139</v>
      </c>
      <c r="DL50" s="13">
        <f t="shared" si="6"/>
        <v>7368.711299999999</v>
      </c>
      <c r="DM50" s="13">
        <f t="shared" si="7"/>
        <v>44</v>
      </c>
      <c r="DN50" s="13">
        <f t="shared" si="7"/>
        <v>44</v>
      </c>
      <c r="DO50" s="13">
        <f t="shared" si="7"/>
        <v>0</v>
      </c>
      <c r="DP50" s="13">
        <f t="shared" si="7"/>
        <v>5772.2626</v>
      </c>
      <c r="DQ50" s="13">
        <f t="shared" si="7"/>
        <v>57.499899999999997</v>
      </c>
      <c r="DR50" s="13">
        <f t="shared" si="7"/>
        <v>5714.7626999999993</v>
      </c>
      <c r="DS50" s="14" t="s">
        <v>60</v>
      </c>
      <c r="DT50" s="14" t="s">
        <v>81</v>
      </c>
      <c r="DU50" s="14" t="s">
        <v>73</v>
      </c>
      <c r="DV50" s="14" t="s">
        <v>82</v>
      </c>
      <c r="DW50" s="14" t="s">
        <v>64</v>
      </c>
    </row>
    <row r="51" spans="2:127" x14ac:dyDescent="0.3">
      <c r="B51" s="11" t="s">
        <v>53</v>
      </c>
      <c r="C51" s="12">
        <v>5001341755</v>
      </c>
      <c r="D51" s="11" t="s">
        <v>244</v>
      </c>
      <c r="E51" s="11" t="s">
        <v>55</v>
      </c>
      <c r="F51" s="11" t="s">
        <v>245</v>
      </c>
      <c r="G51" s="11" t="s">
        <v>246</v>
      </c>
      <c r="H51" s="11" t="s">
        <v>173</v>
      </c>
      <c r="I51" s="11">
        <v>98195</v>
      </c>
      <c r="J51" s="11" t="s">
        <v>59</v>
      </c>
      <c r="K51" s="11"/>
      <c r="L51" s="11"/>
      <c r="M51" s="11"/>
      <c r="N51" s="11"/>
      <c r="O51" s="13">
        <v>2420</v>
      </c>
      <c r="P51" s="13">
        <v>2420</v>
      </c>
      <c r="Q51" s="13">
        <v>0</v>
      </c>
      <c r="R51" s="13">
        <v>77227.984899999996</v>
      </c>
      <c r="S51" s="13">
        <v>3874.1302000000001</v>
      </c>
      <c r="T51" s="13">
        <v>73353.854699999996</v>
      </c>
      <c r="U51" s="13">
        <v>152</v>
      </c>
      <c r="V51" s="13">
        <v>152</v>
      </c>
      <c r="W51" s="13">
        <v>0</v>
      </c>
      <c r="X51" s="13">
        <v>4676.4435000000003</v>
      </c>
      <c r="Y51" s="13">
        <v>232.99950000000001</v>
      </c>
      <c r="Z51" s="13">
        <v>4443.4440000000004</v>
      </c>
      <c r="AA51" s="13">
        <v>176</v>
      </c>
      <c r="AB51" s="13">
        <v>176</v>
      </c>
      <c r="AC51" s="13">
        <v>0</v>
      </c>
      <c r="AD51" s="13">
        <v>5482.6748000000007</v>
      </c>
      <c r="AE51" s="13">
        <v>249.2852</v>
      </c>
      <c r="AF51" s="13">
        <v>5233.3896000000004</v>
      </c>
      <c r="AG51" s="13">
        <v>182</v>
      </c>
      <c r="AH51" s="13">
        <v>182</v>
      </c>
      <c r="AI51" s="13">
        <v>0</v>
      </c>
      <c r="AJ51" s="13">
        <v>4715.6996999999992</v>
      </c>
      <c r="AK51" s="13">
        <v>309.28440000000001</v>
      </c>
      <c r="AL51" s="13">
        <v>4406.4152999999997</v>
      </c>
      <c r="AM51" s="13">
        <v>126</v>
      </c>
      <c r="AN51" s="13">
        <v>126</v>
      </c>
      <c r="AO51" s="13">
        <v>0</v>
      </c>
      <c r="AP51" s="13">
        <v>4534.1498000000001</v>
      </c>
      <c r="AQ51" s="13">
        <v>238.82060000000001</v>
      </c>
      <c r="AR51" s="13">
        <v>4295.3292000000001</v>
      </c>
      <c r="AS51" s="13">
        <v>234</v>
      </c>
      <c r="AT51" s="13">
        <v>234</v>
      </c>
      <c r="AU51" s="13">
        <v>0</v>
      </c>
      <c r="AV51" s="13">
        <v>6599.6556999999993</v>
      </c>
      <c r="AW51" s="13">
        <v>391.17700000000002</v>
      </c>
      <c r="AX51" s="13">
        <v>6208.4786999999997</v>
      </c>
      <c r="AY51" s="13">
        <v>187</v>
      </c>
      <c r="AZ51" s="13">
        <v>187</v>
      </c>
      <c r="BA51" s="13">
        <v>0</v>
      </c>
      <c r="BB51" s="13">
        <v>4803.2439999999997</v>
      </c>
      <c r="BC51" s="13">
        <v>248.7139</v>
      </c>
      <c r="BD51" s="13">
        <v>4554.5300999999999</v>
      </c>
      <c r="BE51" s="13">
        <v>167</v>
      </c>
      <c r="BF51" s="13">
        <v>167</v>
      </c>
      <c r="BG51" s="13">
        <v>0</v>
      </c>
      <c r="BH51" s="13">
        <v>5340.2157000000007</v>
      </c>
      <c r="BI51" s="13">
        <v>328.99829999999997</v>
      </c>
      <c r="BJ51" s="13">
        <v>5011.2174000000005</v>
      </c>
      <c r="BK51" s="13">
        <v>249</v>
      </c>
      <c r="BL51" s="13">
        <v>249</v>
      </c>
      <c r="BM51" s="13">
        <v>0</v>
      </c>
      <c r="BN51" s="13">
        <v>7626.5811000000003</v>
      </c>
      <c r="BO51" s="13">
        <v>393.64170000000001</v>
      </c>
      <c r="BP51" s="13">
        <v>7232.9394000000002</v>
      </c>
      <c r="BQ51" s="13">
        <v>220</v>
      </c>
      <c r="BR51" s="13">
        <v>220</v>
      </c>
      <c r="BS51" s="13">
        <v>0</v>
      </c>
      <c r="BT51" s="13">
        <v>5850.0965000000006</v>
      </c>
      <c r="BU51" s="13">
        <v>332.8202</v>
      </c>
      <c r="BV51" s="13">
        <v>5517.2763000000004</v>
      </c>
      <c r="BW51" s="13">
        <v>217</v>
      </c>
      <c r="BX51" s="13">
        <v>217</v>
      </c>
      <c r="BY51" s="13">
        <v>0</v>
      </c>
      <c r="BZ51" s="13">
        <v>5535.0528000000004</v>
      </c>
      <c r="CA51" s="13">
        <v>351.03480000000002</v>
      </c>
      <c r="CB51" s="13">
        <v>5184.018</v>
      </c>
      <c r="CC51" s="13">
        <v>205</v>
      </c>
      <c r="CD51" s="13">
        <v>205</v>
      </c>
      <c r="CE51" s="13">
        <v>0</v>
      </c>
      <c r="CF51" s="13">
        <v>8483.8062000000009</v>
      </c>
      <c r="CG51" s="13">
        <v>300.46350000000001</v>
      </c>
      <c r="CH51" s="13">
        <v>8183.3427000000001</v>
      </c>
      <c r="CI51" s="13">
        <v>156</v>
      </c>
      <c r="CJ51" s="13">
        <v>156</v>
      </c>
      <c r="CK51" s="13">
        <v>0</v>
      </c>
      <c r="CL51" s="13">
        <v>6215.9769000000006</v>
      </c>
      <c r="CM51" s="13">
        <v>254.3562</v>
      </c>
      <c r="CN51" s="13">
        <v>5961.6207000000004</v>
      </c>
      <c r="CO51" s="13">
        <v>149</v>
      </c>
      <c r="CP51" s="13">
        <v>149</v>
      </c>
      <c r="CQ51" s="13">
        <v>0</v>
      </c>
      <c r="CR51" s="13">
        <v>7364.3881999999994</v>
      </c>
      <c r="CS51" s="13">
        <v>242.53489999999999</v>
      </c>
      <c r="CT51" s="13">
        <v>7121.8532999999998</v>
      </c>
      <c r="CU51" s="13">
        <f t="shared" si="4"/>
        <v>2268</v>
      </c>
      <c r="CV51" s="13">
        <f t="shared" si="4"/>
        <v>2268</v>
      </c>
      <c r="CW51" s="13">
        <f t="shared" si="4"/>
        <v>0</v>
      </c>
      <c r="CX51" s="13">
        <f t="shared" si="4"/>
        <v>72551.541400000002</v>
      </c>
      <c r="CY51" s="13">
        <f t="shared" si="4"/>
        <v>3641.1307000000002</v>
      </c>
      <c r="CZ51" s="13">
        <f t="shared" si="4"/>
        <v>68910.410699999993</v>
      </c>
      <c r="DA51" s="13">
        <f t="shared" si="5"/>
        <v>510</v>
      </c>
      <c r="DB51" s="13">
        <f t="shared" si="5"/>
        <v>510</v>
      </c>
      <c r="DC51" s="13">
        <f t="shared" si="5"/>
        <v>0</v>
      </c>
      <c r="DD51" s="13">
        <f t="shared" si="5"/>
        <v>22064.171300000002</v>
      </c>
      <c r="DE51" s="13">
        <f t="shared" si="5"/>
        <v>797.3546</v>
      </c>
      <c r="DF51" s="13">
        <f t="shared" si="5"/>
        <v>21266.816699999999</v>
      </c>
      <c r="DG51" s="13">
        <f t="shared" si="6"/>
        <v>686</v>
      </c>
      <c r="DH51" s="13">
        <f t="shared" si="6"/>
        <v>686</v>
      </c>
      <c r="DI51" s="13">
        <f t="shared" si="6"/>
        <v>0</v>
      </c>
      <c r="DJ51" s="13">
        <f t="shared" si="6"/>
        <v>19011.7304</v>
      </c>
      <c r="DK51" s="13">
        <f t="shared" si="6"/>
        <v>1077.4967000000001</v>
      </c>
      <c r="DL51" s="13">
        <f t="shared" si="6"/>
        <v>17934.233700000001</v>
      </c>
      <c r="DM51" s="13">
        <f t="shared" si="7"/>
        <v>305</v>
      </c>
      <c r="DN51" s="13">
        <f t="shared" si="7"/>
        <v>305</v>
      </c>
      <c r="DO51" s="13">
        <f t="shared" si="7"/>
        <v>0</v>
      </c>
      <c r="DP51" s="13">
        <f t="shared" si="7"/>
        <v>13580.365099999999</v>
      </c>
      <c r="DQ51" s="13">
        <f t="shared" si="7"/>
        <v>496.89109999999999</v>
      </c>
      <c r="DR51" s="13">
        <f t="shared" si="7"/>
        <v>13083.474</v>
      </c>
      <c r="DS51" s="14" t="s">
        <v>60</v>
      </c>
      <c r="DT51" s="14" t="s">
        <v>125</v>
      </c>
      <c r="DU51" s="14" t="s">
        <v>73</v>
      </c>
      <c r="DV51" s="14" t="s">
        <v>63</v>
      </c>
      <c r="DW51" s="14" t="s">
        <v>64</v>
      </c>
    </row>
    <row r="52" spans="2:127" x14ac:dyDescent="0.3">
      <c r="B52" s="11" t="s">
        <v>83</v>
      </c>
      <c r="C52" s="12">
        <v>5001341756</v>
      </c>
      <c r="D52" s="11" t="s">
        <v>247</v>
      </c>
      <c r="E52" s="11" t="s">
        <v>55</v>
      </c>
      <c r="F52" s="11" t="s">
        <v>248</v>
      </c>
      <c r="G52" s="11" t="s">
        <v>249</v>
      </c>
      <c r="H52" s="11" t="s">
        <v>96</v>
      </c>
      <c r="I52" s="11">
        <v>53792</v>
      </c>
      <c r="J52" s="11" t="s">
        <v>59</v>
      </c>
      <c r="K52" s="11"/>
      <c r="L52" s="11"/>
      <c r="M52" s="11"/>
      <c r="N52" s="11"/>
      <c r="O52" s="13">
        <v>356</v>
      </c>
      <c r="P52" s="13">
        <v>356</v>
      </c>
      <c r="Q52" s="13">
        <v>0</v>
      </c>
      <c r="R52" s="13">
        <v>38687.258399999999</v>
      </c>
      <c r="S52" s="13">
        <v>597.06899999999996</v>
      </c>
      <c r="T52" s="13">
        <v>38090.189400000003</v>
      </c>
      <c r="U52" s="13">
        <v>11</v>
      </c>
      <c r="V52" s="13">
        <v>11</v>
      </c>
      <c r="W52" s="13">
        <v>0</v>
      </c>
      <c r="X52" s="13">
        <v>2894.6089999999999</v>
      </c>
      <c r="Y52" s="13">
        <v>80.427800000000005</v>
      </c>
      <c r="Z52" s="13">
        <v>2814.1812</v>
      </c>
      <c r="AA52" s="13">
        <v>61</v>
      </c>
      <c r="AB52" s="13">
        <v>61</v>
      </c>
      <c r="AC52" s="13">
        <v>0</v>
      </c>
      <c r="AD52" s="13">
        <v>3393.5830000000001</v>
      </c>
      <c r="AE52" s="13">
        <v>61</v>
      </c>
      <c r="AF52" s="13">
        <v>3332.5830000000001</v>
      </c>
      <c r="AG52" s="13">
        <v>90</v>
      </c>
      <c r="AH52" s="13">
        <v>90</v>
      </c>
      <c r="AI52" s="13">
        <v>0</v>
      </c>
      <c r="AJ52" s="13">
        <v>2550.0942999999997</v>
      </c>
      <c r="AK52" s="13">
        <v>93.857200000000006</v>
      </c>
      <c r="AL52" s="13">
        <v>2456.2370999999998</v>
      </c>
      <c r="AM52" s="13">
        <v>41</v>
      </c>
      <c r="AN52" s="13">
        <v>41</v>
      </c>
      <c r="AO52" s="13">
        <v>0</v>
      </c>
      <c r="AP52" s="13">
        <v>2328.2918</v>
      </c>
      <c r="AQ52" s="13">
        <v>168.2843</v>
      </c>
      <c r="AR52" s="13">
        <v>2160.0075000000002</v>
      </c>
      <c r="AS52" s="13">
        <v>32</v>
      </c>
      <c r="AT52" s="13">
        <v>32</v>
      </c>
      <c r="AU52" s="13">
        <v>0</v>
      </c>
      <c r="AV52" s="13">
        <v>3920.0135</v>
      </c>
      <c r="AW52" s="13">
        <v>32</v>
      </c>
      <c r="AX52" s="13">
        <v>3888.0135</v>
      </c>
      <c r="AY52" s="13">
        <v>34</v>
      </c>
      <c r="AZ52" s="13">
        <v>34</v>
      </c>
      <c r="BA52" s="13">
        <v>0</v>
      </c>
      <c r="BB52" s="13">
        <v>2255.7220000000002</v>
      </c>
      <c r="BC52" s="13">
        <v>34</v>
      </c>
      <c r="BD52" s="13">
        <v>2221.7220000000002</v>
      </c>
      <c r="BE52" s="13">
        <v>3</v>
      </c>
      <c r="BF52" s="13">
        <v>3</v>
      </c>
      <c r="BG52" s="13">
        <v>0</v>
      </c>
      <c r="BH52" s="13">
        <v>2878.8957</v>
      </c>
      <c r="BI52" s="13">
        <v>3</v>
      </c>
      <c r="BJ52" s="13">
        <v>2875.8957</v>
      </c>
      <c r="BK52" s="13">
        <v>6</v>
      </c>
      <c r="BL52" s="13">
        <v>6</v>
      </c>
      <c r="BM52" s="13">
        <v>0</v>
      </c>
      <c r="BN52" s="13">
        <v>3807.6131999999998</v>
      </c>
      <c r="BO52" s="13">
        <v>6</v>
      </c>
      <c r="BP52" s="13">
        <v>3801.6131999999998</v>
      </c>
      <c r="BQ52" s="13">
        <v>40</v>
      </c>
      <c r="BR52" s="13">
        <v>40</v>
      </c>
      <c r="BS52" s="13">
        <v>0</v>
      </c>
      <c r="BT52" s="13">
        <v>2552.5513000000001</v>
      </c>
      <c r="BU52" s="13">
        <v>59.285499999999999</v>
      </c>
      <c r="BV52" s="13">
        <v>2493.2658000000001</v>
      </c>
      <c r="BW52" s="13">
        <v>4</v>
      </c>
      <c r="BX52" s="13">
        <v>4</v>
      </c>
      <c r="BY52" s="13">
        <v>0</v>
      </c>
      <c r="BZ52" s="13">
        <v>2406.2367999999997</v>
      </c>
      <c r="CA52" s="13">
        <v>11.7142</v>
      </c>
      <c r="CB52" s="13">
        <v>2394.5225999999998</v>
      </c>
      <c r="CC52" s="13">
        <v>25</v>
      </c>
      <c r="CD52" s="13">
        <v>25</v>
      </c>
      <c r="CE52" s="13">
        <v>0</v>
      </c>
      <c r="CF52" s="13">
        <v>3698.5554999999999</v>
      </c>
      <c r="CG52" s="13">
        <v>32.714199999999998</v>
      </c>
      <c r="CH52" s="13">
        <v>3665.8413</v>
      </c>
      <c r="CI52" s="13">
        <v>1</v>
      </c>
      <c r="CJ52" s="13">
        <v>1</v>
      </c>
      <c r="CK52" s="13">
        <v>0</v>
      </c>
      <c r="CL52" s="13">
        <v>2990.8746999999998</v>
      </c>
      <c r="CM52" s="13">
        <v>3.8929</v>
      </c>
      <c r="CN52" s="13">
        <v>2986.9818</v>
      </c>
      <c r="CO52" s="13">
        <v>8</v>
      </c>
      <c r="CP52" s="13">
        <v>8</v>
      </c>
      <c r="CQ52" s="13">
        <v>0</v>
      </c>
      <c r="CR52" s="13">
        <v>3010.2175999999999</v>
      </c>
      <c r="CS52" s="13">
        <v>10.892900000000001</v>
      </c>
      <c r="CT52" s="13">
        <v>2999.3247000000001</v>
      </c>
      <c r="CU52" s="13">
        <f t="shared" si="4"/>
        <v>345</v>
      </c>
      <c r="CV52" s="13">
        <f t="shared" si="4"/>
        <v>345</v>
      </c>
      <c r="CW52" s="13">
        <f t="shared" si="4"/>
        <v>0</v>
      </c>
      <c r="CX52" s="13">
        <f t="shared" si="4"/>
        <v>35792.649399999995</v>
      </c>
      <c r="CY52" s="13">
        <f t="shared" si="4"/>
        <v>516.64120000000003</v>
      </c>
      <c r="CZ52" s="13">
        <f t="shared" si="4"/>
        <v>35276.008200000004</v>
      </c>
      <c r="DA52" s="13">
        <f t="shared" si="5"/>
        <v>34</v>
      </c>
      <c r="DB52" s="13">
        <f t="shared" si="5"/>
        <v>34</v>
      </c>
      <c r="DC52" s="13">
        <f t="shared" si="5"/>
        <v>0</v>
      </c>
      <c r="DD52" s="13">
        <f t="shared" si="5"/>
        <v>9699.6477999999988</v>
      </c>
      <c r="DE52" s="13">
        <f t="shared" si="5"/>
        <v>47.5</v>
      </c>
      <c r="DF52" s="13">
        <f t="shared" si="5"/>
        <v>9652.1477999999988</v>
      </c>
      <c r="DG52" s="13">
        <f t="shared" si="6"/>
        <v>50</v>
      </c>
      <c r="DH52" s="13">
        <f t="shared" si="6"/>
        <v>50</v>
      </c>
      <c r="DI52" s="13">
        <f t="shared" si="6"/>
        <v>0</v>
      </c>
      <c r="DJ52" s="13">
        <f t="shared" si="6"/>
        <v>8766.4012999999995</v>
      </c>
      <c r="DK52" s="13">
        <f t="shared" si="6"/>
        <v>76.999700000000004</v>
      </c>
      <c r="DL52" s="13">
        <f t="shared" si="6"/>
        <v>8689.4015999999992</v>
      </c>
      <c r="DM52" s="13">
        <f t="shared" si="7"/>
        <v>9</v>
      </c>
      <c r="DN52" s="13">
        <f t="shared" si="7"/>
        <v>9</v>
      </c>
      <c r="DO52" s="13">
        <f t="shared" si="7"/>
        <v>0</v>
      </c>
      <c r="DP52" s="13">
        <f t="shared" si="7"/>
        <v>6001.0923000000003</v>
      </c>
      <c r="DQ52" s="13">
        <f t="shared" si="7"/>
        <v>14.785800000000002</v>
      </c>
      <c r="DR52" s="13">
        <f t="shared" si="7"/>
        <v>5986.3065000000006</v>
      </c>
      <c r="DS52" s="14" t="s">
        <v>60</v>
      </c>
      <c r="DT52" s="14" t="s">
        <v>81</v>
      </c>
      <c r="DU52" s="14" t="s">
        <v>62</v>
      </c>
      <c r="DV52" s="14" t="s">
        <v>82</v>
      </c>
      <c r="DW52" s="14" t="s">
        <v>126</v>
      </c>
    </row>
    <row r="53" spans="2:127" x14ac:dyDescent="0.3">
      <c r="B53" s="11" t="s">
        <v>65</v>
      </c>
      <c r="C53" s="12">
        <v>5001341797</v>
      </c>
      <c r="D53" s="11" t="s">
        <v>250</v>
      </c>
      <c r="E53" s="11" t="s">
        <v>55</v>
      </c>
      <c r="F53" s="11" t="s">
        <v>251</v>
      </c>
      <c r="G53" s="11" t="s">
        <v>252</v>
      </c>
      <c r="H53" s="11" t="s">
        <v>253</v>
      </c>
      <c r="I53" s="11">
        <v>6519</v>
      </c>
      <c r="J53" s="11" t="s">
        <v>59</v>
      </c>
      <c r="K53" s="11"/>
      <c r="L53" s="11"/>
      <c r="M53" s="11"/>
      <c r="N53" s="11"/>
      <c r="O53" s="13">
        <v>2277</v>
      </c>
      <c r="P53" s="13">
        <v>2277</v>
      </c>
      <c r="Q53" s="13">
        <v>0</v>
      </c>
      <c r="R53" s="13">
        <v>96851.758799999996</v>
      </c>
      <c r="S53" s="13">
        <v>3181.4906999999998</v>
      </c>
      <c r="T53" s="13">
        <v>93670.268100000001</v>
      </c>
      <c r="U53" s="13">
        <v>146</v>
      </c>
      <c r="V53" s="13">
        <v>146</v>
      </c>
      <c r="W53" s="13">
        <v>0</v>
      </c>
      <c r="X53" s="13">
        <v>6977.7946999999995</v>
      </c>
      <c r="Y53" s="13">
        <v>176.85679999999999</v>
      </c>
      <c r="Z53" s="13">
        <v>6800.9378999999999</v>
      </c>
      <c r="AA53" s="13">
        <v>158</v>
      </c>
      <c r="AB53" s="13">
        <v>158</v>
      </c>
      <c r="AC53" s="13">
        <v>0</v>
      </c>
      <c r="AD53" s="13">
        <v>8098.3409000000001</v>
      </c>
      <c r="AE53" s="13">
        <v>223.57069999999999</v>
      </c>
      <c r="AF53" s="13">
        <v>7874.7701999999999</v>
      </c>
      <c r="AG53" s="13">
        <v>191</v>
      </c>
      <c r="AH53" s="13">
        <v>191</v>
      </c>
      <c r="AI53" s="13">
        <v>0</v>
      </c>
      <c r="AJ53" s="13">
        <v>6719.8143</v>
      </c>
      <c r="AK53" s="13">
        <v>276.82049999999998</v>
      </c>
      <c r="AL53" s="13">
        <v>6442.9938000000002</v>
      </c>
      <c r="AM53" s="13">
        <v>213</v>
      </c>
      <c r="AN53" s="13">
        <v>213</v>
      </c>
      <c r="AO53" s="13">
        <v>0</v>
      </c>
      <c r="AP53" s="13">
        <v>6837.2793000000001</v>
      </c>
      <c r="AQ53" s="13">
        <v>270.85649999999998</v>
      </c>
      <c r="AR53" s="13">
        <v>6566.4228000000003</v>
      </c>
      <c r="AS53" s="13">
        <v>231</v>
      </c>
      <c r="AT53" s="13">
        <v>231</v>
      </c>
      <c r="AU53" s="13">
        <v>0</v>
      </c>
      <c r="AV53" s="13">
        <v>7867.3971000000001</v>
      </c>
      <c r="AW53" s="13">
        <v>288.85649999999998</v>
      </c>
      <c r="AX53" s="13">
        <v>7578.5406000000003</v>
      </c>
      <c r="AY53" s="13">
        <v>149</v>
      </c>
      <c r="AZ53" s="13">
        <v>149</v>
      </c>
      <c r="BA53" s="13">
        <v>0</v>
      </c>
      <c r="BB53" s="13">
        <v>6807.2224999999999</v>
      </c>
      <c r="BC53" s="13">
        <v>191.4281</v>
      </c>
      <c r="BD53" s="13">
        <v>6615.7943999999998</v>
      </c>
      <c r="BE53" s="13">
        <v>158</v>
      </c>
      <c r="BF53" s="13">
        <v>158</v>
      </c>
      <c r="BG53" s="13">
        <v>0</v>
      </c>
      <c r="BH53" s="13">
        <v>6295.1205999999993</v>
      </c>
      <c r="BI53" s="13">
        <v>210.07089999999999</v>
      </c>
      <c r="BJ53" s="13">
        <v>6085.0496999999996</v>
      </c>
      <c r="BK53" s="13">
        <v>212</v>
      </c>
      <c r="BL53" s="13">
        <v>212</v>
      </c>
      <c r="BM53" s="13">
        <v>0</v>
      </c>
      <c r="BN53" s="13">
        <v>8737.8567000000003</v>
      </c>
      <c r="BO53" s="13">
        <v>319.99889999999999</v>
      </c>
      <c r="BP53" s="13">
        <v>8417.8577999999998</v>
      </c>
      <c r="BQ53" s="13">
        <v>150</v>
      </c>
      <c r="BR53" s="13">
        <v>150</v>
      </c>
      <c r="BS53" s="13">
        <v>0</v>
      </c>
      <c r="BT53" s="13">
        <v>7200.1089999999995</v>
      </c>
      <c r="BU53" s="13">
        <v>238.71339999999998</v>
      </c>
      <c r="BV53" s="13">
        <v>6961.3955999999998</v>
      </c>
      <c r="BW53" s="13">
        <v>133</v>
      </c>
      <c r="BX53" s="13">
        <v>133</v>
      </c>
      <c r="BY53" s="13">
        <v>0</v>
      </c>
      <c r="BZ53" s="13">
        <v>6916.9654999999993</v>
      </c>
      <c r="CA53" s="13">
        <v>202.42789999999999</v>
      </c>
      <c r="CB53" s="13">
        <v>6714.5375999999997</v>
      </c>
      <c r="CC53" s="13">
        <v>203</v>
      </c>
      <c r="CD53" s="13">
        <v>203</v>
      </c>
      <c r="CE53" s="13">
        <v>0</v>
      </c>
      <c r="CF53" s="13">
        <v>9174.7443000000003</v>
      </c>
      <c r="CG53" s="13">
        <v>287.85630000000003</v>
      </c>
      <c r="CH53" s="13">
        <v>8886.8880000000008</v>
      </c>
      <c r="CI53" s="13">
        <v>183</v>
      </c>
      <c r="CJ53" s="13">
        <v>183</v>
      </c>
      <c r="CK53" s="13">
        <v>0</v>
      </c>
      <c r="CL53" s="13">
        <v>7877.64</v>
      </c>
      <c r="CM53" s="13">
        <v>262.07069999999999</v>
      </c>
      <c r="CN53" s="13">
        <v>7615.5693000000001</v>
      </c>
      <c r="CO53" s="13">
        <v>150</v>
      </c>
      <c r="CP53" s="13">
        <v>150</v>
      </c>
      <c r="CQ53" s="13">
        <v>0</v>
      </c>
      <c r="CR53" s="13">
        <v>7341.4739</v>
      </c>
      <c r="CS53" s="13">
        <v>231.96350000000001</v>
      </c>
      <c r="CT53" s="13">
        <v>7109.5104000000001</v>
      </c>
      <c r="CU53" s="13">
        <f t="shared" si="4"/>
        <v>2131</v>
      </c>
      <c r="CV53" s="13">
        <f t="shared" si="4"/>
        <v>2131</v>
      </c>
      <c r="CW53" s="13">
        <f t="shared" si="4"/>
        <v>0</v>
      </c>
      <c r="CX53" s="13">
        <f t="shared" si="4"/>
        <v>89873.964099999997</v>
      </c>
      <c r="CY53" s="13">
        <f t="shared" si="4"/>
        <v>3004.6338999999998</v>
      </c>
      <c r="CZ53" s="13">
        <f t="shared" si="4"/>
        <v>86869.330200000011</v>
      </c>
      <c r="DA53" s="13">
        <f t="shared" si="5"/>
        <v>536</v>
      </c>
      <c r="DB53" s="13">
        <f t="shared" si="5"/>
        <v>536</v>
      </c>
      <c r="DC53" s="13">
        <f t="shared" si="5"/>
        <v>0</v>
      </c>
      <c r="DD53" s="13">
        <f t="shared" si="5"/>
        <v>24393.858200000002</v>
      </c>
      <c r="DE53" s="13">
        <f t="shared" si="5"/>
        <v>781.89049999999997</v>
      </c>
      <c r="DF53" s="13">
        <f t="shared" si="5"/>
        <v>23611.967700000001</v>
      </c>
      <c r="DG53" s="13">
        <f t="shared" si="6"/>
        <v>495</v>
      </c>
      <c r="DH53" s="13">
        <f t="shared" si="6"/>
        <v>495</v>
      </c>
      <c r="DI53" s="13">
        <f t="shared" si="6"/>
        <v>0</v>
      </c>
      <c r="DJ53" s="13">
        <f t="shared" si="6"/>
        <v>22854.931199999999</v>
      </c>
      <c r="DK53" s="13">
        <f t="shared" si="6"/>
        <v>761.14019999999994</v>
      </c>
      <c r="DL53" s="13">
        <f t="shared" si="6"/>
        <v>22093.790999999997</v>
      </c>
      <c r="DM53" s="13">
        <f t="shared" si="7"/>
        <v>333</v>
      </c>
      <c r="DN53" s="13">
        <f t="shared" si="7"/>
        <v>333</v>
      </c>
      <c r="DO53" s="13">
        <f t="shared" si="7"/>
        <v>0</v>
      </c>
      <c r="DP53" s="13">
        <f t="shared" si="7"/>
        <v>15219.1139</v>
      </c>
      <c r="DQ53" s="13">
        <f t="shared" si="7"/>
        <v>494.0342</v>
      </c>
      <c r="DR53" s="13">
        <f t="shared" si="7"/>
        <v>14725.0797</v>
      </c>
      <c r="DS53" s="14" t="s">
        <v>81</v>
      </c>
      <c r="DT53" s="14" t="s">
        <v>125</v>
      </c>
      <c r="DU53" s="14" t="s">
        <v>254</v>
      </c>
      <c r="DV53" s="14" t="s">
        <v>82</v>
      </c>
      <c r="DW53" s="14" t="s">
        <v>64</v>
      </c>
    </row>
    <row r="54" spans="2:127" x14ac:dyDescent="0.3">
      <c r="B54" s="11" t="s">
        <v>65</v>
      </c>
      <c r="C54" s="12">
        <v>5001341834</v>
      </c>
      <c r="D54" s="11" t="s">
        <v>255</v>
      </c>
      <c r="E54" s="11" t="s">
        <v>55</v>
      </c>
      <c r="F54" s="11" t="s">
        <v>256</v>
      </c>
      <c r="G54" s="11" t="s">
        <v>257</v>
      </c>
      <c r="H54" s="11" t="s">
        <v>239</v>
      </c>
      <c r="I54" s="11">
        <v>19129</v>
      </c>
      <c r="J54" s="11" t="s">
        <v>59</v>
      </c>
      <c r="K54" s="11"/>
      <c r="L54" s="11"/>
      <c r="M54" s="11"/>
      <c r="N54" s="11"/>
      <c r="O54" s="13">
        <v>1311</v>
      </c>
      <c r="P54" s="13">
        <v>1311</v>
      </c>
      <c r="Q54" s="13">
        <v>0</v>
      </c>
      <c r="R54" s="13">
        <v>33757.393700000001</v>
      </c>
      <c r="S54" s="13">
        <v>1727.5681999999999</v>
      </c>
      <c r="T54" s="13">
        <v>32029.825499999999</v>
      </c>
      <c r="U54" s="13">
        <v>156</v>
      </c>
      <c r="V54" s="13">
        <v>156</v>
      </c>
      <c r="W54" s="13">
        <v>0</v>
      </c>
      <c r="X54" s="13">
        <v>2204.5352000000003</v>
      </c>
      <c r="Y54" s="13">
        <v>192.64249999999998</v>
      </c>
      <c r="Z54" s="13">
        <v>2011.8927000000001</v>
      </c>
      <c r="AA54" s="13">
        <v>115</v>
      </c>
      <c r="AB54" s="13">
        <v>115</v>
      </c>
      <c r="AC54" s="13">
        <v>0</v>
      </c>
      <c r="AD54" s="13">
        <v>2339.0360000000001</v>
      </c>
      <c r="AE54" s="13">
        <v>141.99979999999999</v>
      </c>
      <c r="AF54" s="13">
        <v>2197.0362</v>
      </c>
      <c r="AG54" s="13">
        <v>106</v>
      </c>
      <c r="AH54" s="13">
        <v>106</v>
      </c>
      <c r="AI54" s="13">
        <v>0</v>
      </c>
      <c r="AJ54" s="13">
        <v>2111.9135999999999</v>
      </c>
      <c r="AK54" s="13">
        <v>149.39249999999998</v>
      </c>
      <c r="AL54" s="13">
        <v>1962.5210999999999</v>
      </c>
      <c r="AM54" s="13">
        <v>143</v>
      </c>
      <c r="AN54" s="13">
        <v>143</v>
      </c>
      <c r="AO54" s="13">
        <v>0</v>
      </c>
      <c r="AP54" s="13">
        <v>1897.2341999999999</v>
      </c>
      <c r="AQ54" s="13">
        <v>181.5711</v>
      </c>
      <c r="AR54" s="13">
        <v>1715.6631</v>
      </c>
      <c r="AS54" s="13">
        <v>72</v>
      </c>
      <c r="AT54" s="13">
        <v>72</v>
      </c>
      <c r="AU54" s="13">
        <v>0</v>
      </c>
      <c r="AV54" s="13">
        <v>3011.1525999999999</v>
      </c>
      <c r="AW54" s="13">
        <v>110.5711</v>
      </c>
      <c r="AX54" s="13">
        <v>2900.5814999999998</v>
      </c>
      <c r="AY54" s="13">
        <v>65</v>
      </c>
      <c r="AZ54" s="13">
        <v>65</v>
      </c>
      <c r="BA54" s="13">
        <v>0</v>
      </c>
      <c r="BB54" s="13">
        <v>1985.4775999999999</v>
      </c>
      <c r="BC54" s="13">
        <v>109.35679999999999</v>
      </c>
      <c r="BD54" s="13">
        <v>1876.1207999999999</v>
      </c>
      <c r="BE54" s="13">
        <v>81</v>
      </c>
      <c r="BF54" s="13">
        <v>81</v>
      </c>
      <c r="BG54" s="13">
        <v>0</v>
      </c>
      <c r="BH54" s="13">
        <v>2527.2082</v>
      </c>
      <c r="BI54" s="13">
        <v>107.99979999999999</v>
      </c>
      <c r="BJ54" s="13">
        <v>2419.2084</v>
      </c>
      <c r="BK54" s="13">
        <v>108</v>
      </c>
      <c r="BL54" s="13">
        <v>108</v>
      </c>
      <c r="BM54" s="13">
        <v>0</v>
      </c>
      <c r="BN54" s="13">
        <v>3343.1895</v>
      </c>
      <c r="BO54" s="13">
        <v>134.03550000000001</v>
      </c>
      <c r="BP54" s="13">
        <v>3209.154</v>
      </c>
      <c r="BQ54" s="13">
        <v>108</v>
      </c>
      <c r="BR54" s="13">
        <v>108</v>
      </c>
      <c r="BS54" s="13">
        <v>0</v>
      </c>
      <c r="BT54" s="13">
        <v>2940.5025000000001</v>
      </c>
      <c r="BU54" s="13">
        <v>126.32130000000001</v>
      </c>
      <c r="BV54" s="13">
        <v>2814.1812</v>
      </c>
      <c r="BW54" s="13">
        <v>97</v>
      </c>
      <c r="BX54" s="13">
        <v>97</v>
      </c>
      <c r="BY54" s="13">
        <v>0</v>
      </c>
      <c r="BZ54" s="13">
        <v>2394.1291000000001</v>
      </c>
      <c r="CA54" s="13">
        <v>123.0355</v>
      </c>
      <c r="CB54" s="13">
        <v>2271.0936000000002</v>
      </c>
      <c r="CC54" s="13">
        <v>172</v>
      </c>
      <c r="CD54" s="13">
        <v>172</v>
      </c>
      <c r="CE54" s="13">
        <v>0</v>
      </c>
      <c r="CF54" s="13">
        <v>3246.7318</v>
      </c>
      <c r="CG54" s="13">
        <v>198.03550000000001</v>
      </c>
      <c r="CH54" s="13">
        <v>3048.6963000000001</v>
      </c>
      <c r="CI54" s="13">
        <v>16</v>
      </c>
      <c r="CJ54" s="13">
        <v>16</v>
      </c>
      <c r="CK54" s="13">
        <v>0</v>
      </c>
      <c r="CL54" s="13">
        <v>2677.8231999999998</v>
      </c>
      <c r="CM54" s="13">
        <v>48.785499999999999</v>
      </c>
      <c r="CN54" s="13">
        <v>2629.0376999999999</v>
      </c>
      <c r="CO54" s="13">
        <v>72</v>
      </c>
      <c r="CP54" s="13">
        <v>72</v>
      </c>
      <c r="CQ54" s="13">
        <v>0</v>
      </c>
      <c r="CR54" s="13">
        <v>3078.4602</v>
      </c>
      <c r="CS54" s="13">
        <v>103.82130000000001</v>
      </c>
      <c r="CT54" s="13">
        <v>2974.6388999999999</v>
      </c>
      <c r="CU54" s="13">
        <f t="shared" si="4"/>
        <v>1155</v>
      </c>
      <c r="CV54" s="13">
        <f t="shared" si="4"/>
        <v>1155</v>
      </c>
      <c r="CW54" s="13">
        <f t="shared" si="4"/>
        <v>0</v>
      </c>
      <c r="CX54" s="13">
        <f t="shared" si="4"/>
        <v>31552.858500000002</v>
      </c>
      <c r="CY54" s="13">
        <f t="shared" si="4"/>
        <v>1534.9257</v>
      </c>
      <c r="CZ54" s="13">
        <f t="shared" si="4"/>
        <v>30017.932800000002</v>
      </c>
      <c r="DA54" s="13">
        <f t="shared" si="5"/>
        <v>260</v>
      </c>
      <c r="DB54" s="13">
        <f t="shared" si="5"/>
        <v>260</v>
      </c>
      <c r="DC54" s="13">
        <f t="shared" si="5"/>
        <v>0</v>
      </c>
      <c r="DD54" s="13">
        <f t="shared" si="5"/>
        <v>9003.0151999999998</v>
      </c>
      <c r="DE54" s="13">
        <f t="shared" si="5"/>
        <v>350.64230000000003</v>
      </c>
      <c r="DF54" s="13">
        <f t="shared" si="5"/>
        <v>8652.3729000000003</v>
      </c>
      <c r="DG54" s="13">
        <f t="shared" si="6"/>
        <v>313</v>
      </c>
      <c r="DH54" s="13">
        <f t="shared" si="6"/>
        <v>313</v>
      </c>
      <c r="DI54" s="13">
        <f t="shared" si="6"/>
        <v>0</v>
      </c>
      <c r="DJ54" s="13">
        <f t="shared" si="6"/>
        <v>8677.821100000001</v>
      </c>
      <c r="DK54" s="13">
        <f t="shared" si="6"/>
        <v>383.39230000000003</v>
      </c>
      <c r="DL54" s="13">
        <f t="shared" si="6"/>
        <v>8294.4287999999997</v>
      </c>
      <c r="DM54" s="13">
        <f t="shared" si="7"/>
        <v>88</v>
      </c>
      <c r="DN54" s="13">
        <f t="shared" si="7"/>
        <v>88</v>
      </c>
      <c r="DO54" s="13">
        <f t="shared" si="7"/>
        <v>0</v>
      </c>
      <c r="DP54" s="13">
        <f t="shared" si="7"/>
        <v>5756.2834000000003</v>
      </c>
      <c r="DQ54" s="13">
        <f t="shared" si="7"/>
        <v>152.60680000000002</v>
      </c>
      <c r="DR54" s="13">
        <f t="shared" si="7"/>
        <v>5603.6765999999998</v>
      </c>
      <c r="DS54" s="14" t="s">
        <v>60</v>
      </c>
      <c r="DT54" s="14" t="s">
        <v>72</v>
      </c>
      <c r="DU54" s="14" t="s">
        <v>73</v>
      </c>
      <c r="DV54" s="14" t="s">
        <v>82</v>
      </c>
      <c r="DW54" s="14" t="s">
        <v>64</v>
      </c>
    </row>
    <row r="55" spans="2:127" x14ac:dyDescent="0.3">
      <c r="B55" s="11" t="s">
        <v>65</v>
      </c>
      <c r="C55" s="12">
        <v>5001341845</v>
      </c>
      <c r="D55" s="11" t="s">
        <v>258</v>
      </c>
      <c r="E55" s="11" t="s">
        <v>55</v>
      </c>
      <c r="F55" s="11" t="s">
        <v>259</v>
      </c>
      <c r="G55" s="11" t="s">
        <v>260</v>
      </c>
      <c r="H55" s="11" t="s">
        <v>216</v>
      </c>
      <c r="I55" s="11">
        <v>43210</v>
      </c>
      <c r="J55" s="11" t="s">
        <v>59</v>
      </c>
      <c r="K55" s="11"/>
      <c r="L55" s="11"/>
      <c r="M55" s="11"/>
      <c r="N55" s="11"/>
      <c r="O55" s="13">
        <v>1965</v>
      </c>
      <c r="P55" s="13">
        <v>1965</v>
      </c>
      <c r="Q55" s="13">
        <v>0</v>
      </c>
      <c r="R55" s="13">
        <v>58017.946600000003</v>
      </c>
      <c r="S55" s="13">
        <v>3573.4147000000003</v>
      </c>
      <c r="T55" s="13">
        <v>54444.531900000002</v>
      </c>
      <c r="U55" s="13">
        <v>163</v>
      </c>
      <c r="V55" s="13">
        <v>163</v>
      </c>
      <c r="W55" s="13">
        <v>0</v>
      </c>
      <c r="X55" s="13">
        <v>3597.4097000000002</v>
      </c>
      <c r="Y55" s="13">
        <v>363.56989999999996</v>
      </c>
      <c r="Z55" s="13">
        <v>3233.8398000000002</v>
      </c>
      <c r="AA55" s="13">
        <v>278</v>
      </c>
      <c r="AB55" s="13">
        <v>278</v>
      </c>
      <c r="AC55" s="13">
        <v>0</v>
      </c>
      <c r="AD55" s="13">
        <v>4887.8769999999995</v>
      </c>
      <c r="AE55" s="13">
        <v>543.17619999999999</v>
      </c>
      <c r="AF55" s="13">
        <v>4344.7007999999996</v>
      </c>
      <c r="AG55" s="13">
        <v>201</v>
      </c>
      <c r="AH55" s="13">
        <v>201</v>
      </c>
      <c r="AI55" s="13">
        <v>0</v>
      </c>
      <c r="AJ55" s="13">
        <v>3879.9540999999999</v>
      </c>
      <c r="AK55" s="13">
        <v>312.85599999999999</v>
      </c>
      <c r="AL55" s="13">
        <v>3567.0981000000002</v>
      </c>
      <c r="AM55" s="13">
        <v>264</v>
      </c>
      <c r="AN55" s="13">
        <v>264</v>
      </c>
      <c r="AO55" s="13">
        <v>0</v>
      </c>
      <c r="AP55" s="13">
        <v>3597.1605</v>
      </c>
      <c r="AQ55" s="13">
        <v>363.32069999999999</v>
      </c>
      <c r="AR55" s="13">
        <v>3233.8398000000002</v>
      </c>
      <c r="AS55" s="13">
        <v>168</v>
      </c>
      <c r="AT55" s="13">
        <v>168</v>
      </c>
      <c r="AU55" s="13">
        <v>0</v>
      </c>
      <c r="AV55" s="13">
        <v>4546.2572</v>
      </c>
      <c r="AW55" s="13">
        <v>250.928</v>
      </c>
      <c r="AX55" s="13">
        <v>4295.3292000000001</v>
      </c>
      <c r="AY55" s="13">
        <v>195</v>
      </c>
      <c r="AZ55" s="13">
        <v>195</v>
      </c>
      <c r="BA55" s="13">
        <v>0</v>
      </c>
      <c r="BB55" s="13">
        <v>4073.3685</v>
      </c>
      <c r="BC55" s="13">
        <v>370.49850000000004</v>
      </c>
      <c r="BD55" s="13">
        <v>3702.87</v>
      </c>
      <c r="BE55" s="13">
        <v>60</v>
      </c>
      <c r="BF55" s="13">
        <v>60</v>
      </c>
      <c r="BG55" s="13">
        <v>0</v>
      </c>
      <c r="BH55" s="13">
        <v>4028.2413999999999</v>
      </c>
      <c r="BI55" s="13">
        <v>152.57080000000002</v>
      </c>
      <c r="BJ55" s="13">
        <v>3875.6705999999999</v>
      </c>
      <c r="BK55" s="13">
        <v>177</v>
      </c>
      <c r="BL55" s="13">
        <v>177</v>
      </c>
      <c r="BM55" s="13">
        <v>0</v>
      </c>
      <c r="BN55" s="13">
        <v>5404.6024000000007</v>
      </c>
      <c r="BO55" s="13">
        <v>294.64179999999999</v>
      </c>
      <c r="BP55" s="13">
        <v>5109.9606000000003</v>
      </c>
      <c r="BQ55" s="13">
        <v>108</v>
      </c>
      <c r="BR55" s="13">
        <v>108</v>
      </c>
      <c r="BS55" s="13">
        <v>0</v>
      </c>
      <c r="BT55" s="13">
        <v>4231.4921000000004</v>
      </c>
      <c r="BU55" s="13">
        <v>170.678</v>
      </c>
      <c r="BV55" s="13">
        <v>4060.8141000000001</v>
      </c>
      <c r="BW55" s="13">
        <v>72</v>
      </c>
      <c r="BX55" s="13">
        <v>72</v>
      </c>
      <c r="BY55" s="13">
        <v>0</v>
      </c>
      <c r="BZ55" s="13">
        <v>4237.5349999999999</v>
      </c>
      <c r="CA55" s="13">
        <v>152.0351</v>
      </c>
      <c r="CB55" s="13">
        <v>4085.4998999999998</v>
      </c>
      <c r="CC55" s="13">
        <v>179</v>
      </c>
      <c r="CD55" s="13">
        <v>179</v>
      </c>
      <c r="CE55" s="13">
        <v>0</v>
      </c>
      <c r="CF55" s="13">
        <v>5898.3904999999995</v>
      </c>
      <c r="CG55" s="13">
        <v>232.99940000000001</v>
      </c>
      <c r="CH55" s="13">
        <v>5665.3910999999998</v>
      </c>
      <c r="CI55" s="13">
        <v>25</v>
      </c>
      <c r="CJ55" s="13">
        <v>25</v>
      </c>
      <c r="CK55" s="13">
        <v>0</v>
      </c>
      <c r="CL55" s="13">
        <v>4522.6352999999999</v>
      </c>
      <c r="CM55" s="13">
        <v>153.24870000000001</v>
      </c>
      <c r="CN55" s="13">
        <v>4369.3865999999998</v>
      </c>
      <c r="CO55" s="13">
        <v>75</v>
      </c>
      <c r="CP55" s="13">
        <v>75</v>
      </c>
      <c r="CQ55" s="13">
        <v>0</v>
      </c>
      <c r="CR55" s="13">
        <v>5113.0228999999999</v>
      </c>
      <c r="CS55" s="13">
        <v>212.89160000000001</v>
      </c>
      <c r="CT55" s="13">
        <v>4900.1313</v>
      </c>
      <c r="CU55" s="13">
        <f t="shared" si="4"/>
        <v>1802</v>
      </c>
      <c r="CV55" s="13">
        <f t="shared" si="4"/>
        <v>1802</v>
      </c>
      <c r="CW55" s="13">
        <f t="shared" si="4"/>
        <v>0</v>
      </c>
      <c r="CX55" s="13">
        <f t="shared" si="4"/>
        <v>54420.536900000006</v>
      </c>
      <c r="CY55" s="13">
        <f t="shared" si="4"/>
        <v>3209.8447999999999</v>
      </c>
      <c r="CZ55" s="13">
        <f t="shared" si="4"/>
        <v>51210.6921</v>
      </c>
      <c r="DA55" s="13">
        <f t="shared" si="5"/>
        <v>279</v>
      </c>
      <c r="DB55" s="13">
        <f t="shared" si="5"/>
        <v>279</v>
      </c>
      <c r="DC55" s="13">
        <f t="shared" si="5"/>
        <v>0</v>
      </c>
      <c r="DD55" s="13">
        <f t="shared" si="5"/>
        <v>15534.048699999999</v>
      </c>
      <c r="DE55" s="13">
        <f t="shared" si="5"/>
        <v>599.13970000000006</v>
      </c>
      <c r="DF55" s="13">
        <f t="shared" si="5"/>
        <v>14934.909</v>
      </c>
      <c r="DG55" s="13">
        <f t="shared" si="6"/>
        <v>357</v>
      </c>
      <c r="DH55" s="13">
        <f t="shared" si="6"/>
        <v>357</v>
      </c>
      <c r="DI55" s="13">
        <f t="shared" si="6"/>
        <v>0</v>
      </c>
      <c r="DJ55" s="13">
        <f t="shared" si="6"/>
        <v>13873.629500000001</v>
      </c>
      <c r="DK55" s="13">
        <f t="shared" si="6"/>
        <v>617.35490000000004</v>
      </c>
      <c r="DL55" s="13">
        <f t="shared" si="6"/>
        <v>13256.274600000001</v>
      </c>
      <c r="DM55" s="13">
        <f t="shared" si="7"/>
        <v>100</v>
      </c>
      <c r="DN55" s="13">
        <f t="shared" si="7"/>
        <v>100</v>
      </c>
      <c r="DO55" s="13">
        <f t="shared" si="7"/>
        <v>0</v>
      </c>
      <c r="DP55" s="13">
        <f t="shared" si="7"/>
        <v>9635.6581999999999</v>
      </c>
      <c r="DQ55" s="13">
        <f t="shared" si="7"/>
        <v>366.14030000000002</v>
      </c>
      <c r="DR55" s="13">
        <f t="shared" si="7"/>
        <v>9269.5178999999989</v>
      </c>
      <c r="DS55" s="14" t="s">
        <v>60</v>
      </c>
      <c r="DT55" s="14" t="s">
        <v>61</v>
      </c>
      <c r="DU55" s="14" t="s">
        <v>62</v>
      </c>
      <c r="DV55" s="14" t="s">
        <v>97</v>
      </c>
      <c r="DW55" s="14" t="s">
        <v>64</v>
      </c>
    </row>
    <row r="56" spans="2:127" x14ac:dyDescent="0.3">
      <c r="B56" s="11" t="s">
        <v>75</v>
      </c>
      <c r="C56" s="12">
        <v>5001341849</v>
      </c>
      <c r="D56" s="11" t="s">
        <v>261</v>
      </c>
      <c r="E56" s="11" t="s">
        <v>55</v>
      </c>
      <c r="F56" s="11" t="s">
        <v>262</v>
      </c>
      <c r="G56" s="11" t="s">
        <v>215</v>
      </c>
      <c r="H56" s="11" t="s">
        <v>216</v>
      </c>
      <c r="I56" s="11">
        <v>45202</v>
      </c>
      <c r="J56" s="11" t="s">
        <v>80</v>
      </c>
      <c r="K56" s="11"/>
      <c r="L56" s="11"/>
      <c r="M56" s="11"/>
      <c r="N56" s="11"/>
      <c r="O56" s="13">
        <v>4508</v>
      </c>
      <c r="P56" s="13">
        <v>4508</v>
      </c>
      <c r="Q56" s="13">
        <v>0</v>
      </c>
      <c r="R56" s="13">
        <v>25426.891</v>
      </c>
      <c r="S56" s="13">
        <v>5283.2781999999997</v>
      </c>
      <c r="T56" s="13">
        <v>20143.612799999999</v>
      </c>
      <c r="U56" s="13">
        <v>271</v>
      </c>
      <c r="V56" s="13">
        <v>271</v>
      </c>
      <c r="W56" s="13">
        <v>0</v>
      </c>
      <c r="X56" s="13">
        <v>2095.2408999999998</v>
      </c>
      <c r="Y56" s="13">
        <v>354.892</v>
      </c>
      <c r="Z56" s="13">
        <v>1740.3489</v>
      </c>
      <c r="AA56" s="13">
        <v>318</v>
      </c>
      <c r="AB56" s="13">
        <v>318</v>
      </c>
      <c r="AC56" s="13">
        <v>0</v>
      </c>
      <c r="AD56" s="13">
        <v>2418.6061</v>
      </c>
      <c r="AE56" s="13">
        <v>406.71339999999998</v>
      </c>
      <c r="AF56" s="13">
        <v>2011.8927000000001</v>
      </c>
      <c r="AG56" s="13">
        <v>237</v>
      </c>
      <c r="AH56" s="13">
        <v>237</v>
      </c>
      <c r="AI56" s="13">
        <v>0</v>
      </c>
      <c r="AJ56" s="13">
        <v>1912.9333999999999</v>
      </c>
      <c r="AK56" s="13">
        <v>308.35640000000001</v>
      </c>
      <c r="AL56" s="13">
        <v>1604.577</v>
      </c>
      <c r="AM56" s="13">
        <v>202</v>
      </c>
      <c r="AN56" s="13">
        <v>202</v>
      </c>
      <c r="AO56" s="13">
        <v>0</v>
      </c>
      <c r="AP56" s="13">
        <v>1720.3685</v>
      </c>
      <c r="AQ56" s="13">
        <v>276.24919999999997</v>
      </c>
      <c r="AR56" s="13">
        <v>1444.1193000000001</v>
      </c>
      <c r="AS56" s="13">
        <v>273</v>
      </c>
      <c r="AT56" s="13">
        <v>273</v>
      </c>
      <c r="AU56" s="13">
        <v>0</v>
      </c>
      <c r="AV56" s="13">
        <v>1885.2903999999999</v>
      </c>
      <c r="AW56" s="13">
        <v>342.42790000000002</v>
      </c>
      <c r="AX56" s="13">
        <v>1542.8625</v>
      </c>
      <c r="AY56" s="13">
        <v>339</v>
      </c>
      <c r="AZ56" s="13">
        <v>339</v>
      </c>
      <c r="BA56" s="13">
        <v>0</v>
      </c>
      <c r="BB56" s="13">
        <v>1737.2186000000002</v>
      </c>
      <c r="BC56" s="13">
        <v>379.49959999999999</v>
      </c>
      <c r="BD56" s="13">
        <v>1357.7190000000001</v>
      </c>
      <c r="BE56" s="13">
        <v>416</v>
      </c>
      <c r="BF56" s="13">
        <v>416</v>
      </c>
      <c r="BG56" s="13">
        <v>0</v>
      </c>
      <c r="BH56" s="13">
        <v>1743.2467999999999</v>
      </c>
      <c r="BI56" s="13">
        <v>471.92809999999997</v>
      </c>
      <c r="BJ56" s="13">
        <v>1271.3187</v>
      </c>
      <c r="BK56" s="13">
        <v>444</v>
      </c>
      <c r="BL56" s="13">
        <v>444</v>
      </c>
      <c r="BM56" s="13">
        <v>0</v>
      </c>
      <c r="BN56" s="13">
        <v>2279.4268999999999</v>
      </c>
      <c r="BO56" s="13">
        <v>514.3922</v>
      </c>
      <c r="BP56" s="13">
        <v>1765.0346999999999</v>
      </c>
      <c r="BQ56" s="13">
        <v>414</v>
      </c>
      <c r="BR56" s="13">
        <v>414</v>
      </c>
      <c r="BS56" s="13">
        <v>0</v>
      </c>
      <c r="BT56" s="13">
        <v>1769.7896000000001</v>
      </c>
      <c r="BU56" s="13">
        <v>473.7851</v>
      </c>
      <c r="BV56" s="13">
        <v>1296.0045</v>
      </c>
      <c r="BW56" s="13">
        <v>386</v>
      </c>
      <c r="BX56" s="13">
        <v>386</v>
      </c>
      <c r="BY56" s="13">
        <v>0</v>
      </c>
      <c r="BZ56" s="13">
        <v>1684.7038</v>
      </c>
      <c r="CA56" s="13">
        <v>438.07089999999999</v>
      </c>
      <c r="CB56" s="13">
        <v>1246.6329000000001</v>
      </c>
      <c r="CC56" s="13">
        <v>480</v>
      </c>
      <c r="CD56" s="13">
        <v>480</v>
      </c>
      <c r="CE56" s="13">
        <v>0</v>
      </c>
      <c r="CF56" s="13">
        <v>2044.6548000000003</v>
      </c>
      <c r="CG56" s="13">
        <v>538.82100000000003</v>
      </c>
      <c r="CH56" s="13">
        <v>1505.8338000000001</v>
      </c>
      <c r="CI56" s="13">
        <v>364</v>
      </c>
      <c r="CJ56" s="13">
        <v>364</v>
      </c>
      <c r="CK56" s="13">
        <v>0</v>
      </c>
      <c r="CL56" s="13">
        <v>2058.2555000000002</v>
      </c>
      <c r="CM56" s="13">
        <v>391.964</v>
      </c>
      <c r="CN56" s="13">
        <v>1666.2915</v>
      </c>
      <c r="CO56" s="13">
        <v>364</v>
      </c>
      <c r="CP56" s="13">
        <v>364</v>
      </c>
      <c r="CQ56" s="13">
        <v>0</v>
      </c>
      <c r="CR56" s="13">
        <v>2077.1557000000003</v>
      </c>
      <c r="CS56" s="13">
        <v>386.17840000000001</v>
      </c>
      <c r="CT56" s="13">
        <v>1690.9773</v>
      </c>
      <c r="CU56" s="13">
        <f t="shared" si="4"/>
        <v>4237</v>
      </c>
      <c r="CV56" s="13">
        <f t="shared" si="4"/>
        <v>4237</v>
      </c>
      <c r="CW56" s="13">
        <f t="shared" si="4"/>
        <v>0</v>
      </c>
      <c r="CX56" s="13">
        <f t="shared" si="4"/>
        <v>23331.650099999999</v>
      </c>
      <c r="CY56" s="13">
        <f t="shared" si="4"/>
        <v>4928.3862000000008</v>
      </c>
      <c r="CZ56" s="13">
        <f t="shared" si="4"/>
        <v>18403.263899999998</v>
      </c>
      <c r="DA56" s="13">
        <f t="shared" si="5"/>
        <v>1208</v>
      </c>
      <c r="DB56" s="13">
        <f t="shared" si="5"/>
        <v>1208</v>
      </c>
      <c r="DC56" s="13">
        <f t="shared" si="5"/>
        <v>0</v>
      </c>
      <c r="DD56" s="13">
        <f t="shared" si="5"/>
        <v>6180.0660000000007</v>
      </c>
      <c r="DE56" s="13">
        <f t="shared" si="5"/>
        <v>1316.9634000000001</v>
      </c>
      <c r="DF56" s="13">
        <f t="shared" si="5"/>
        <v>4863.1026000000002</v>
      </c>
      <c r="DG56" s="13">
        <f t="shared" si="6"/>
        <v>1244</v>
      </c>
      <c r="DH56" s="13">
        <f t="shared" si="6"/>
        <v>1244</v>
      </c>
      <c r="DI56" s="13">
        <f t="shared" si="6"/>
        <v>0</v>
      </c>
      <c r="DJ56" s="13">
        <f t="shared" si="6"/>
        <v>5733.9202999999998</v>
      </c>
      <c r="DK56" s="13">
        <f t="shared" si="6"/>
        <v>1426.2482</v>
      </c>
      <c r="DL56" s="13">
        <f t="shared" si="6"/>
        <v>4307.6720999999998</v>
      </c>
      <c r="DM56" s="13">
        <f t="shared" si="7"/>
        <v>728</v>
      </c>
      <c r="DN56" s="13">
        <f t="shared" si="7"/>
        <v>728</v>
      </c>
      <c r="DO56" s="13">
        <f t="shared" si="7"/>
        <v>0</v>
      </c>
      <c r="DP56" s="13">
        <f t="shared" si="7"/>
        <v>4135.4112000000005</v>
      </c>
      <c r="DQ56" s="13">
        <f t="shared" si="7"/>
        <v>778.14239999999995</v>
      </c>
      <c r="DR56" s="13">
        <f t="shared" si="7"/>
        <v>3357.2687999999998</v>
      </c>
      <c r="DS56" s="14" t="s">
        <v>60</v>
      </c>
      <c r="DT56" s="14" t="s">
        <v>81</v>
      </c>
      <c r="DU56" s="14" t="s">
        <v>73</v>
      </c>
      <c r="DV56" s="14" t="s">
        <v>82</v>
      </c>
      <c r="DW56" s="14" t="s">
        <v>74</v>
      </c>
    </row>
    <row r="57" spans="2:127" x14ac:dyDescent="0.3">
      <c r="B57" s="11" t="s">
        <v>53</v>
      </c>
      <c r="C57" s="12">
        <v>5001341852</v>
      </c>
      <c r="D57" s="11" t="s">
        <v>263</v>
      </c>
      <c r="E57" s="11" t="s">
        <v>55</v>
      </c>
      <c r="F57" s="11" t="s">
        <v>264</v>
      </c>
      <c r="G57" s="11" t="s">
        <v>265</v>
      </c>
      <c r="H57" s="11" t="s">
        <v>58</v>
      </c>
      <c r="I57" s="11">
        <v>94607</v>
      </c>
      <c r="J57" s="11" t="s">
        <v>59</v>
      </c>
      <c r="K57" s="11"/>
      <c r="L57" s="11"/>
      <c r="M57" s="11"/>
      <c r="N57" s="11"/>
      <c r="O57" s="13">
        <v>1446</v>
      </c>
      <c r="P57" s="13">
        <v>1438</v>
      </c>
      <c r="Q57" s="13">
        <v>8</v>
      </c>
      <c r="R57" s="13">
        <v>211255.2047</v>
      </c>
      <c r="S57" s="13">
        <v>8650.8441000000003</v>
      </c>
      <c r="T57" s="13">
        <v>202604.36060000001</v>
      </c>
      <c r="U57" s="13">
        <v>110</v>
      </c>
      <c r="V57" s="13">
        <v>110</v>
      </c>
      <c r="W57" s="13">
        <v>0</v>
      </c>
      <c r="X57" s="13">
        <v>13553.151400000001</v>
      </c>
      <c r="Y57" s="13">
        <v>531.39190000000008</v>
      </c>
      <c r="Z57" s="13">
        <v>13021.7595</v>
      </c>
      <c r="AA57" s="13">
        <v>98</v>
      </c>
      <c r="AB57" s="13">
        <v>98</v>
      </c>
      <c r="AC57" s="13">
        <v>0</v>
      </c>
      <c r="AD57" s="13">
        <v>16262.5684</v>
      </c>
      <c r="AE57" s="13">
        <v>784.57180000000005</v>
      </c>
      <c r="AF57" s="13">
        <v>15477.9966</v>
      </c>
      <c r="AG57" s="13">
        <v>91</v>
      </c>
      <c r="AH57" s="13">
        <v>91</v>
      </c>
      <c r="AI57" s="13">
        <v>0</v>
      </c>
      <c r="AJ57" s="13">
        <v>14644.6263</v>
      </c>
      <c r="AK57" s="13">
        <v>487.32</v>
      </c>
      <c r="AL57" s="13">
        <v>14157.3063</v>
      </c>
      <c r="AM57" s="13">
        <v>76</v>
      </c>
      <c r="AN57" s="13">
        <v>76</v>
      </c>
      <c r="AO57" s="13">
        <v>0</v>
      </c>
      <c r="AP57" s="13">
        <v>14054.137699999999</v>
      </c>
      <c r="AQ57" s="13">
        <v>526.3193</v>
      </c>
      <c r="AR57" s="13">
        <v>13527.8184</v>
      </c>
      <c r="AS57" s="13">
        <v>121</v>
      </c>
      <c r="AT57" s="13">
        <v>121</v>
      </c>
      <c r="AU57" s="13">
        <v>0</v>
      </c>
      <c r="AV57" s="13">
        <v>18211.059399999998</v>
      </c>
      <c r="AW57" s="13">
        <v>745.85590000000002</v>
      </c>
      <c r="AX57" s="13">
        <v>17465.2035</v>
      </c>
      <c r="AY57" s="13">
        <v>102</v>
      </c>
      <c r="AZ57" s="13">
        <v>102</v>
      </c>
      <c r="BA57" s="13">
        <v>0</v>
      </c>
      <c r="BB57" s="13">
        <v>14393.5335</v>
      </c>
      <c r="BC57" s="13">
        <v>618.85709999999995</v>
      </c>
      <c r="BD57" s="13">
        <v>13774.6764</v>
      </c>
      <c r="BE57" s="13">
        <v>124</v>
      </c>
      <c r="BF57" s="13">
        <v>124</v>
      </c>
      <c r="BG57" s="13">
        <v>0</v>
      </c>
      <c r="BH57" s="13">
        <v>14554.9692</v>
      </c>
      <c r="BI57" s="13">
        <v>693.89250000000004</v>
      </c>
      <c r="BJ57" s="13">
        <v>13861.0767</v>
      </c>
      <c r="BK57" s="13">
        <v>163</v>
      </c>
      <c r="BL57" s="13">
        <v>163</v>
      </c>
      <c r="BM57" s="13">
        <v>0</v>
      </c>
      <c r="BN57" s="13">
        <v>19525.341800000002</v>
      </c>
      <c r="BO57" s="13">
        <v>973.96310000000005</v>
      </c>
      <c r="BP57" s="13">
        <v>18551.378700000001</v>
      </c>
      <c r="BQ57" s="13">
        <v>85</v>
      </c>
      <c r="BR57" s="13">
        <v>85</v>
      </c>
      <c r="BS57" s="13">
        <v>0</v>
      </c>
      <c r="BT57" s="13">
        <v>17033.921599999998</v>
      </c>
      <c r="BU57" s="13">
        <v>531.46429999999998</v>
      </c>
      <c r="BV57" s="13">
        <v>16502.457299999998</v>
      </c>
      <c r="BW57" s="13">
        <v>75</v>
      </c>
      <c r="BX57" s="13">
        <v>75</v>
      </c>
      <c r="BY57" s="13">
        <v>0</v>
      </c>
      <c r="BZ57" s="13">
        <v>15615.864100000001</v>
      </c>
      <c r="CA57" s="13">
        <v>705.64089999999999</v>
      </c>
      <c r="CB57" s="13">
        <v>14910.2232</v>
      </c>
      <c r="CC57" s="13">
        <v>126</v>
      </c>
      <c r="CD57" s="13">
        <v>126</v>
      </c>
      <c r="CE57" s="13">
        <v>0</v>
      </c>
      <c r="CF57" s="13">
        <v>19948.5016</v>
      </c>
      <c r="CG57" s="13">
        <v>792.32079999999996</v>
      </c>
      <c r="CH57" s="13">
        <v>19156.180799999998</v>
      </c>
      <c r="CI57" s="13">
        <v>98</v>
      </c>
      <c r="CJ57" s="13">
        <v>98</v>
      </c>
      <c r="CK57" s="13">
        <v>0</v>
      </c>
      <c r="CL57" s="13">
        <v>16445.974999999999</v>
      </c>
      <c r="CM57" s="13">
        <v>610.03430000000003</v>
      </c>
      <c r="CN57" s="13">
        <v>15835.940699999999</v>
      </c>
      <c r="CO57" s="13">
        <v>177</v>
      </c>
      <c r="CP57" s="13">
        <v>169</v>
      </c>
      <c r="CQ57" s="13">
        <v>8</v>
      </c>
      <c r="CR57" s="13">
        <v>17011.554700000001</v>
      </c>
      <c r="CS57" s="13">
        <v>649.21219999999994</v>
      </c>
      <c r="CT57" s="13">
        <v>16362.342500000001</v>
      </c>
      <c r="CU57" s="13">
        <f t="shared" si="4"/>
        <v>1336</v>
      </c>
      <c r="CV57" s="13">
        <f t="shared" si="4"/>
        <v>1328</v>
      </c>
      <c r="CW57" s="13">
        <f t="shared" si="4"/>
        <v>8</v>
      </c>
      <c r="CX57" s="13">
        <f t="shared" si="4"/>
        <v>197702.0533</v>
      </c>
      <c r="CY57" s="13">
        <f t="shared" si="4"/>
        <v>8119.4522000000006</v>
      </c>
      <c r="CZ57" s="13">
        <f t="shared" si="4"/>
        <v>189582.6011</v>
      </c>
      <c r="DA57" s="13">
        <f t="shared" si="5"/>
        <v>401</v>
      </c>
      <c r="DB57" s="13">
        <f t="shared" si="5"/>
        <v>393</v>
      </c>
      <c r="DC57" s="13">
        <f t="shared" si="5"/>
        <v>8</v>
      </c>
      <c r="DD57" s="13">
        <f t="shared" si="5"/>
        <v>53406.031299999995</v>
      </c>
      <c r="DE57" s="13">
        <f t="shared" si="5"/>
        <v>2051.5672999999997</v>
      </c>
      <c r="DF57" s="13">
        <f t="shared" si="5"/>
        <v>51354.463999999993</v>
      </c>
      <c r="DG57" s="13">
        <f t="shared" si="6"/>
        <v>323</v>
      </c>
      <c r="DH57" s="13">
        <f t="shared" si="6"/>
        <v>323</v>
      </c>
      <c r="DI57" s="13">
        <f t="shared" si="6"/>
        <v>0</v>
      </c>
      <c r="DJ57" s="13">
        <f t="shared" si="6"/>
        <v>52175.127499999995</v>
      </c>
      <c r="DK57" s="13">
        <f t="shared" si="6"/>
        <v>2211.0682999999999</v>
      </c>
      <c r="DL57" s="13">
        <f t="shared" si="6"/>
        <v>49964.059199999996</v>
      </c>
      <c r="DM57" s="13">
        <f t="shared" si="7"/>
        <v>275</v>
      </c>
      <c r="DN57" s="13">
        <f t="shared" si="7"/>
        <v>267</v>
      </c>
      <c r="DO57" s="13">
        <f t="shared" si="7"/>
        <v>8</v>
      </c>
      <c r="DP57" s="13">
        <f t="shared" si="7"/>
        <v>33457.529699999999</v>
      </c>
      <c r="DQ57" s="13">
        <f t="shared" si="7"/>
        <v>1259.2465</v>
      </c>
      <c r="DR57" s="13">
        <f t="shared" si="7"/>
        <v>32198.283199999998</v>
      </c>
      <c r="DS57" s="14" t="s">
        <v>71</v>
      </c>
      <c r="DT57" s="14" t="s">
        <v>125</v>
      </c>
      <c r="DU57" s="14" t="s">
        <v>73</v>
      </c>
      <c r="DV57" s="14" t="s">
        <v>82</v>
      </c>
      <c r="DW57" s="14" t="s">
        <v>64</v>
      </c>
    </row>
    <row r="58" spans="2:127" x14ac:dyDescent="0.3">
      <c r="B58" s="11" t="s">
        <v>65</v>
      </c>
      <c r="C58" s="12">
        <v>5001341861</v>
      </c>
      <c r="D58" s="11" t="s">
        <v>266</v>
      </c>
      <c r="E58" s="11" t="s">
        <v>55</v>
      </c>
      <c r="F58" s="11" t="s">
        <v>267</v>
      </c>
      <c r="G58" s="11" t="s">
        <v>268</v>
      </c>
      <c r="H58" s="11" t="s">
        <v>69</v>
      </c>
      <c r="I58" s="11">
        <v>21273</v>
      </c>
      <c r="J58" s="11" t="s">
        <v>59</v>
      </c>
      <c r="K58" s="11"/>
      <c r="L58" s="11"/>
      <c r="M58" s="11"/>
      <c r="N58" s="11"/>
      <c r="O58" s="13">
        <v>60</v>
      </c>
      <c r="P58" s="13">
        <v>60</v>
      </c>
      <c r="Q58" s="13">
        <v>0</v>
      </c>
      <c r="R58" s="13">
        <v>44625.758000000002</v>
      </c>
      <c r="S58" s="13">
        <v>1684.8089</v>
      </c>
      <c r="T58" s="13">
        <v>42940.949099999998</v>
      </c>
      <c r="U58" s="13">
        <v>10</v>
      </c>
      <c r="V58" s="13">
        <v>10</v>
      </c>
      <c r="W58" s="13">
        <v>0</v>
      </c>
      <c r="X58" s="13">
        <v>3305.9384999999997</v>
      </c>
      <c r="Y58" s="13">
        <v>158.499</v>
      </c>
      <c r="Z58" s="13">
        <v>3147.4395</v>
      </c>
      <c r="AA58" s="13">
        <v>10</v>
      </c>
      <c r="AB58" s="13">
        <v>10</v>
      </c>
      <c r="AC58" s="13">
        <v>0</v>
      </c>
      <c r="AD58" s="13">
        <v>4037.4475000000002</v>
      </c>
      <c r="AE58" s="13">
        <v>186.46270000000001</v>
      </c>
      <c r="AF58" s="13">
        <v>3850.9848000000002</v>
      </c>
      <c r="AG58" s="13">
        <v>10</v>
      </c>
      <c r="AH58" s="13">
        <v>10</v>
      </c>
      <c r="AI58" s="13">
        <v>0</v>
      </c>
      <c r="AJ58" s="13">
        <v>3516.5394000000001</v>
      </c>
      <c r="AK58" s="13">
        <v>146.92769999999999</v>
      </c>
      <c r="AL58" s="13">
        <v>3369.6116999999999</v>
      </c>
      <c r="AM58" s="13">
        <v>10</v>
      </c>
      <c r="AN58" s="13">
        <v>10</v>
      </c>
      <c r="AO58" s="13">
        <v>0</v>
      </c>
      <c r="AP58" s="13">
        <v>2920.6091000000001</v>
      </c>
      <c r="AQ58" s="13">
        <v>106.42789999999999</v>
      </c>
      <c r="AR58" s="13">
        <v>2814.1812</v>
      </c>
      <c r="AS58" s="13">
        <v>25</v>
      </c>
      <c r="AT58" s="13">
        <v>25</v>
      </c>
      <c r="AU58" s="13">
        <v>0</v>
      </c>
      <c r="AV58" s="13">
        <v>4182.8195999999998</v>
      </c>
      <c r="AW58" s="13">
        <v>220.74870000000001</v>
      </c>
      <c r="AX58" s="13">
        <v>3962.0709000000002</v>
      </c>
      <c r="AY58" s="13">
        <v>0</v>
      </c>
      <c r="AZ58" s="13">
        <v>0</v>
      </c>
      <c r="BA58" s="13">
        <v>0</v>
      </c>
      <c r="BB58" s="13">
        <v>2807.8151000000003</v>
      </c>
      <c r="BC58" s="13">
        <v>141.74870000000001</v>
      </c>
      <c r="BD58" s="13">
        <v>2666.0664000000002</v>
      </c>
      <c r="BE58" s="13">
        <v>0</v>
      </c>
      <c r="BF58" s="13">
        <v>0</v>
      </c>
      <c r="BG58" s="13">
        <v>0</v>
      </c>
      <c r="BH58" s="13">
        <v>3404.7111</v>
      </c>
      <c r="BI58" s="13">
        <v>59.785200000000003</v>
      </c>
      <c r="BJ58" s="13">
        <v>3344.9259000000002</v>
      </c>
      <c r="BK58" s="13">
        <v>-5</v>
      </c>
      <c r="BL58" s="13">
        <v>-5</v>
      </c>
      <c r="BM58" s="13">
        <v>0</v>
      </c>
      <c r="BN58" s="13">
        <v>4163.8123999999998</v>
      </c>
      <c r="BO58" s="13">
        <v>164.71279999999999</v>
      </c>
      <c r="BP58" s="13">
        <v>3999.0996</v>
      </c>
      <c r="BQ58" s="13">
        <v>0</v>
      </c>
      <c r="BR58" s="13">
        <v>0</v>
      </c>
      <c r="BS58" s="13">
        <v>0</v>
      </c>
      <c r="BT58" s="13">
        <v>3169.2318</v>
      </c>
      <c r="BU58" s="13">
        <v>58.820999999999998</v>
      </c>
      <c r="BV58" s="13">
        <v>3110.4108000000001</v>
      </c>
      <c r="BW58" s="13">
        <v>0</v>
      </c>
      <c r="BX58" s="13">
        <v>0</v>
      </c>
      <c r="BY58" s="13">
        <v>0</v>
      </c>
      <c r="BZ58" s="13">
        <v>3105.5880000000002</v>
      </c>
      <c r="CA58" s="13">
        <v>118.6062</v>
      </c>
      <c r="CB58" s="13">
        <v>2986.9818</v>
      </c>
      <c r="CC58" s="13">
        <v>0</v>
      </c>
      <c r="CD58" s="13">
        <v>0</v>
      </c>
      <c r="CE58" s="13">
        <v>0</v>
      </c>
      <c r="CF58" s="13">
        <v>3782.3263000000002</v>
      </c>
      <c r="CG58" s="13">
        <v>104.1421</v>
      </c>
      <c r="CH58" s="13">
        <v>3678.1842000000001</v>
      </c>
      <c r="CI58" s="13">
        <v>0</v>
      </c>
      <c r="CJ58" s="13">
        <v>0</v>
      </c>
      <c r="CK58" s="13">
        <v>0</v>
      </c>
      <c r="CL58" s="13">
        <v>3159.5882000000001</v>
      </c>
      <c r="CM58" s="13">
        <v>110.89190000000001</v>
      </c>
      <c r="CN58" s="13">
        <v>3048.6963000000001</v>
      </c>
      <c r="CO58" s="13">
        <v>0</v>
      </c>
      <c r="CP58" s="13">
        <v>0</v>
      </c>
      <c r="CQ58" s="13">
        <v>0</v>
      </c>
      <c r="CR58" s="13">
        <v>3069.3309999999997</v>
      </c>
      <c r="CS58" s="13">
        <v>107.035</v>
      </c>
      <c r="CT58" s="13">
        <v>2962.2959999999998</v>
      </c>
      <c r="CU58" s="13">
        <f t="shared" si="4"/>
        <v>50</v>
      </c>
      <c r="CV58" s="13">
        <f t="shared" si="4"/>
        <v>50</v>
      </c>
      <c r="CW58" s="13">
        <f t="shared" si="4"/>
        <v>0</v>
      </c>
      <c r="CX58" s="13">
        <f t="shared" si="4"/>
        <v>41319.819499999998</v>
      </c>
      <c r="CY58" s="13">
        <f t="shared" si="4"/>
        <v>1526.3099</v>
      </c>
      <c r="CZ58" s="13">
        <f t="shared" si="4"/>
        <v>39793.509600000012</v>
      </c>
      <c r="DA58" s="13">
        <f t="shared" si="5"/>
        <v>0</v>
      </c>
      <c r="DB58" s="13">
        <f t="shared" si="5"/>
        <v>0</v>
      </c>
      <c r="DC58" s="13">
        <f t="shared" si="5"/>
        <v>0</v>
      </c>
      <c r="DD58" s="13">
        <f t="shared" si="5"/>
        <v>10011.245500000001</v>
      </c>
      <c r="DE58" s="13">
        <f t="shared" si="5"/>
        <v>322.06899999999996</v>
      </c>
      <c r="DF58" s="13">
        <f t="shared" si="5"/>
        <v>9689.1764999999996</v>
      </c>
      <c r="DG58" s="13">
        <f t="shared" si="6"/>
        <v>-5</v>
      </c>
      <c r="DH58" s="13">
        <f t="shared" si="6"/>
        <v>-5</v>
      </c>
      <c r="DI58" s="13">
        <f t="shared" si="6"/>
        <v>0</v>
      </c>
      <c r="DJ58" s="13">
        <f t="shared" si="6"/>
        <v>10438.6322</v>
      </c>
      <c r="DK58" s="13">
        <f t="shared" si="6"/>
        <v>342.14</v>
      </c>
      <c r="DL58" s="13">
        <f t="shared" si="6"/>
        <v>10096.492200000001</v>
      </c>
      <c r="DM58" s="13">
        <f t="shared" si="7"/>
        <v>0</v>
      </c>
      <c r="DN58" s="13">
        <f t="shared" si="7"/>
        <v>0</v>
      </c>
      <c r="DO58" s="13">
        <f t="shared" si="7"/>
        <v>0</v>
      </c>
      <c r="DP58" s="13">
        <f t="shared" si="7"/>
        <v>6228.9192000000003</v>
      </c>
      <c r="DQ58" s="13">
        <f t="shared" si="7"/>
        <v>217.92689999999999</v>
      </c>
      <c r="DR58" s="13">
        <f t="shared" si="7"/>
        <v>6010.9922999999999</v>
      </c>
      <c r="DS58" s="14" t="s">
        <v>60</v>
      </c>
      <c r="DT58" s="14" t="s">
        <v>81</v>
      </c>
      <c r="DU58" s="14" t="s">
        <v>73</v>
      </c>
      <c r="DV58" s="14" t="s">
        <v>82</v>
      </c>
      <c r="DW58" s="14" t="s">
        <v>126</v>
      </c>
    </row>
    <row r="59" spans="2:127" x14ac:dyDescent="0.3">
      <c r="B59" s="11" t="s">
        <v>83</v>
      </c>
      <c r="C59" s="12">
        <v>5001341866</v>
      </c>
      <c r="D59" s="11" t="s">
        <v>269</v>
      </c>
      <c r="E59" s="11" t="s">
        <v>55</v>
      </c>
      <c r="F59" s="11" t="s">
        <v>270</v>
      </c>
      <c r="G59" s="11" t="s">
        <v>68</v>
      </c>
      <c r="H59" s="11" t="s">
        <v>87</v>
      </c>
      <c r="I59" s="11">
        <v>65212</v>
      </c>
      <c r="J59" s="11" t="s">
        <v>80</v>
      </c>
      <c r="K59" s="11"/>
      <c r="L59" s="11"/>
      <c r="M59" s="11"/>
      <c r="N59" s="11"/>
      <c r="O59" s="13">
        <v>288</v>
      </c>
      <c r="P59" s="13">
        <v>288</v>
      </c>
      <c r="Q59" s="13">
        <v>0</v>
      </c>
      <c r="R59" s="13">
        <v>7466.9372999999996</v>
      </c>
      <c r="S59" s="13">
        <v>480.85590000000002</v>
      </c>
      <c r="T59" s="13">
        <v>6986.0814</v>
      </c>
      <c r="U59" s="13">
        <v>11</v>
      </c>
      <c r="V59" s="13">
        <v>11</v>
      </c>
      <c r="W59" s="13">
        <v>0</v>
      </c>
      <c r="X59" s="13">
        <v>365.27969999999999</v>
      </c>
      <c r="Y59" s="13">
        <v>19.6785</v>
      </c>
      <c r="Z59" s="13">
        <v>345.60120000000001</v>
      </c>
      <c r="AA59" s="13">
        <v>33</v>
      </c>
      <c r="AB59" s="13">
        <v>33</v>
      </c>
      <c r="AC59" s="13">
        <v>0</v>
      </c>
      <c r="AD59" s="13">
        <v>618.13040000000001</v>
      </c>
      <c r="AE59" s="13">
        <v>50.356999999999999</v>
      </c>
      <c r="AF59" s="13">
        <v>567.77340000000004</v>
      </c>
      <c r="AG59" s="13">
        <v>11</v>
      </c>
      <c r="AH59" s="13">
        <v>11</v>
      </c>
      <c r="AI59" s="13">
        <v>0</v>
      </c>
      <c r="AJ59" s="13">
        <v>467.88010000000003</v>
      </c>
      <c r="AK59" s="13">
        <v>23.535699999999999</v>
      </c>
      <c r="AL59" s="13">
        <v>444.34440000000001</v>
      </c>
      <c r="AM59" s="13">
        <v>11</v>
      </c>
      <c r="AN59" s="13">
        <v>11</v>
      </c>
      <c r="AO59" s="13">
        <v>0</v>
      </c>
      <c r="AP59" s="13">
        <v>377.62259999999998</v>
      </c>
      <c r="AQ59" s="13">
        <v>19.6785</v>
      </c>
      <c r="AR59" s="13">
        <v>357.94409999999999</v>
      </c>
      <c r="AS59" s="13">
        <v>22</v>
      </c>
      <c r="AT59" s="13">
        <v>22</v>
      </c>
      <c r="AU59" s="13">
        <v>0</v>
      </c>
      <c r="AV59" s="13">
        <v>660.16639999999995</v>
      </c>
      <c r="AW59" s="13">
        <v>30.6785</v>
      </c>
      <c r="AX59" s="13">
        <v>629.48789999999997</v>
      </c>
      <c r="AY59" s="13">
        <v>23</v>
      </c>
      <c r="AZ59" s="13">
        <v>23</v>
      </c>
      <c r="BA59" s="13">
        <v>0</v>
      </c>
      <c r="BB59" s="13">
        <v>562.42319999999995</v>
      </c>
      <c r="BC59" s="13">
        <v>31.6785</v>
      </c>
      <c r="BD59" s="13">
        <v>530.74469999999997</v>
      </c>
      <c r="BE59" s="13">
        <v>21</v>
      </c>
      <c r="BF59" s="13">
        <v>21</v>
      </c>
      <c r="BG59" s="13">
        <v>0</v>
      </c>
      <c r="BH59" s="13">
        <v>442.7799</v>
      </c>
      <c r="BI59" s="13">
        <v>35.464199999999998</v>
      </c>
      <c r="BJ59" s="13">
        <v>407.31569999999999</v>
      </c>
      <c r="BK59" s="13">
        <v>33</v>
      </c>
      <c r="BL59" s="13">
        <v>33</v>
      </c>
      <c r="BM59" s="13">
        <v>0</v>
      </c>
      <c r="BN59" s="13">
        <v>752.16650000000004</v>
      </c>
      <c r="BO59" s="13">
        <v>60.964100000000002</v>
      </c>
      <c r="BP59" s="13">
        <v>691.20240000000001</v>
      </c>
      <c r="BQ59" s="13">
        <v>21</v>
      </c>
      <c r="BR59" s="13">
        <v>21</v>
      </c>
      <c r="BS59" s="13">
        <v>0</v>
      </c>
      <c r="BT59" s="13">
        <v>622.1377</v>
      </c>
      <c r="BU59" s="13">
        <v>29.6785</v>
      </c>
      <c r="BV59" s="13">
        <v>592.45920000000001</v>
      </c>
      <c r="BW59" s="13">
        <v>22</v>
      </c>
      <c r="BX59" s="13">
        <v>22</v>
      </c>
      <c r="BY59" s="13">
        <v>0</v>
      </c>
      <c r="BZ59" s="13">
        <v>605.39460000000008</v>
      </c>
      <c r="CA59" s="13">
        <v>49.964100000000002</v>
      </c>
      <c r="CB59" s="13">
        <v>555.43050000000005</v>
      </c>
      <c r="CC59" s="13">
        <v>54</v>
      </c>
      <c r="CD59" s="13">
        <v>54</v>
      </c>
      <c r="CE59" s="13">
        <v>0</v>
      </c>
      <c r="CF59" s="13">
        <v>768.15239999999994</v>
      </c>
      <c r="CG59" s="13">
        <v>64.607100000000003</v>
      </c>
      <c r="CH59" s="13">
        <v>703.5453</v>
      </c>
      <c r="CI59" s="13">
        <v>20</v>
      </c>
      <c r="CJ59" s="13">
        <v>20</v>
      </c>
      <c r="CK59" s="13">
        <v>0</v>
      </c>
      <c r="CL59" s="13">
        <v>628.08040000000005</v>
      </c>
      <c r="CM59" s="13">
        <v>47.964100000000002</v>
      </c>
      <c r="CN59" s="13">
        <v>580.11630000000002</v>
      </c>
      <c r="CO59" s="13">
        <v>6</v>
      </c>
      <c r="CP59" s="13">
        <v>6</v>
      </c>
      <c r="CQ59" s="13">
        <v>0</v>
      </c>
      <c r="CR59" s="13">
        <v>596.72340000000008</v>
      </c>
      <c r="CS59" s="13">
        <v>16.607100000000003</v>
      </c>
      <c r="CT59" s="13">
        <v>580.11630000000002</v>
      </c>
      <c r="CU59" s="13">
        <f t="shared" si="4"/>
        <v>277</v>
      </c>
      <c r="CV59" s="13">
        <f t="shared" si="4"/>
        <v>277</v>
      </c>
      <c r="CW59" s="13">
        <f t="shared" si="4"/>
        <v>0</v>
      </c>
      <c r="CX59" s="13">
        <f t="shared" si="4"/>
        <v>7101.6575999999995</v>
      </c>
      <c r="CY59" s="13">
        <f t="shared" si="4"/>
        <v>461.17739999999998</v>
      </c>
      <c r="CZ59" s="13">
        <f t="shared" si="4"/>
        <v>6640.4802</v>
      </c>
      <c r="DA59" s="13">
        <f t="shared" si="5"/>
        <v>80</v>
      </c>
      <c r="DB59" s="13">
        <f t="shared" si="5"/>
        <v>80</v>
      </c>
      <c r="DC59" s="13">
        <f t="shared" si="5"/>
        <v>0</v>
      </c>
      <c r="DD59" s="13">
        <f t="shared" si="5"/>
        <v>1992.9562000000001</v>
      </c>
      <c r="DE59" s="13">
        <f t="shared" si="5"/>
        <v>129.17830000000001</v>
      </c>
      <c r="DF59" s="13">
        <f t="shared" si="5"/>
        <v>1863.7779</v>
      </c>
      <c r="DG59" s="13">
        <f t="shared" si="6"/>
        <v>76</v>
      </c>
      <c r="DH59" s="13">
        <f t="shared" si="6"/>
        <v>76</v>
      </c>
      <c r="DI59" s="13">
        <f t="shared" si="6"/>
        <v>0</v>
      </c>
      <c r="DJ59" s="13">
        <f t="shared" si="6"/>
        <v>1979.6988000000001</v>
      </c>
      <c r="DK59" s="13">
        <f t="shared" si="6"/>
        <v>140.60669999999999</v>
      </c>
      <c r="DL59" s="13">
        <f t="shared" si="6"/>
        <v>1839.0920999999998</v>
      </c>
      <c r="DM59" s="13">
        <f t="shared" si="7"/>
        <v>26</v>
      </c>
      <c r="DN59" s="13">
        <f t="shared" si="7"/>
        <v>26</v>
      </c>
      <c r="DO59" s="13">
        <f t="shared" si="7"/>
        <v>0</v>
      </c>
      <c r="DP59" s="13">
        <f t="shared" si="7"/>
        <v>1224.8038000000001</v>
      </c>
      <c r="DQ59" s="13">
        <f t="shared" si="7"/>
        <v>64.571200000000005</v>
      </c>
      <c r="DR59" s="13">
        <f t="shared" si="7"/>
        <v>1160.2326</v>
      </c>
      <c r="DS59" s="14" t="s">
        <v>60</v>
      </c>
      <c r="DT59" s="14" t="s">
        <v>81</v>
      </c>
      <c r="DU59" s="14" t="s">
        <v>73</v>
      </c>
      <c r="DV59" s="14" t="s">
        <v>82</v>
      </c>
      <c r="DW59" s="14" t="s">
        <v>74</v>
      </c>
    </row>
    <row r="60" spans="2:127" x14ac:dyDescent="0.3">
      <c r="B60" s="11" t="s">
        <v>75</v>
      </c>
      <c r="C60" s="12">
        <v>5001341875</v>
      </c>
      <c r="D60" s="11" t="s">
        <v>271</v>
      </c>
      <c r="E60" s="11" t="s">
        <v>55</v>
      </c>
      <c r="F60" s="11" t="s">
        <v>272</v>
      </c>
      <c r="G60" s="11" t="s">
        <v>273</v>
      </c>
      <c r="H60" s="11" t="s">
        <v>220</v>
      </c>
      <c r="I60" s="11">
        <v>27514</v>
      </c>
      <c r="J60" s="11" t="s">
        <v>59</v>
      </c>
      <c r="K60" s="11"/>
      <c r="L60" s="11"/>
      <c r="M60" s="11"/>
      <c r="N60" s="11"/>
      <c r="O60" s="13">
        <v>1197</v>
      </c>
      <c r="P60" s="13">
        <v>1197</v>
      </c>
      <c r="Q60" s="13">
        <v>0</v>
      </c>
      <c r="R60" s="13">
        <v>73552.986399999994</v>
      </c>
      <c r="S60" s="13">
        <v>2865.1981000000001</v>
      </c>
      <c r="T60" s="13">
        <v>70687.7883</v>
      </c>
      <c r="U60" s="13">
        <v>60</v>
      </c>
      <c r="V60" s="13">
        <v>60</v>
      </c>
      <c r="W60" s="13">
        <v>0</v>
      </c>
      <c r="X60" s="13">
        <v>4914.0372000000007</v>
      </c>
      <c r="Y60" s="13">
        <v>149.67779999999999</v>
      </c>
      <c r="Z60" s="13">
        <v>4764.3594000000003</v>
      </c>
      <c r="AA60" s="13">
        <v>135</v>
      </c>
      <c r="AB60" s="13">
        <v>135</v>
      </c>
      <c r="AC60" s="13">
        <v>0</v>
      </c>
      <c r="AD60" s="13">
        <v>5993.0538000000006</v>
      </c>
      <c r="AE60" s="13">
        <v>315.31979999999999</v>
      </c>
      <c r="AF60" s="13">
        <v>5677.7340000000004</v>
      </c>
      <c r="AG60" s="13">
        <v>108</v>
      </c>
      <c r="AH60" s="13">
        <v>108</v>
      </c>
      <c r="AI60" s="13">
        <v>0</v>
      </c>
      <c r="AJ60" s="13">
        <v>5306.6732000000002</v>
      </c>
      <c r="AK60" s="13">
        <v>258.4271</v>
      </c>
      <c r="AL60" s="13">
        <v>5048.2461000000003</v>
      </c>
      <c r="AM60" s="13">
        <v>104</v>
      </c>
      <c r="AN60" s="13">
        <v>104</v>
      </c>
      <c r="AO60" s="13">
        <v>0</v>
      </c>
      <c r="AP60" s="13">
        <v>5705.5538000000006</v>
      </c>
      <c r="AQ60" s="13">
        <v>212.9633</v>
      </c>
      <c r="AR60" s="13">
        <v>5492.5905000000002</v>
      </c>
      <c r="AS60" s="13">
        <v>124</v>
      </c>
      <c r="AT60" s="13">
        <v>124</v>
      </c>
      <c r="AU60" s="13">
        <v>0</v>
      </c>
      <c r="AV60" s="13">
        <v>6355.0417000000007</v>
      </c>
      <c r="AW60" s="13">
        <v>232.9633</v>
      </c>
      <c r="AX60" s="13">
        <v>6122.0784000000003</v>
      </c>
      <c r="AY60" s="13">
        <v>110</v>
      </c>
      <c r="AZ60" s="13">
        <v>110</v>
      </c>
      <c r="BA60" s="13">
        <v>0</v>
      </c>
      <c r="BB60" s="13">
        <v>4416.1281000000008</v>
      </c>
      <c r="BC60" s="13">
        <v>194.8563</v>
      </c>
      <c r="BD60" s="13">
        <v>4221.2718000000004</v>
      </c>
      <c r="BE60" s="13">
        <v>36</v>
      </c>
      <c r="BF60" s="13">
        <v>36</v>
      </c>
      <c r="BG60" s="13">
        <v>0</v>
      </c>
      <c r="BH60" s="13">
        <v>6114.2982000000002</v>
      </c>
      <c r="BI60" s="13">
        <v>152.67750000000001</v>
      </c>
      <c r="BJ60" s="13">
        <v>5961.6207000000004</v>
      </c>
      <c r="BK60" s="13">
        <v>77</v>
      </c>
      <c r="BL60" s="13">
        <v>77</v>
      </c>
      <c r="BM60" s="13">
        <v>0</v>
      </c>
      <c r="BN60" s="13">
        <v>5468.1446999999998</v>
      </c>
      <c r="BO60" s="13">
        <v>271.78380000000004</v>
      </c>
      <c r="BP60" s="13">
        <v>5196.3608999999997</v>
      </c>
      <c r="BQ60" s="13">
        <v>47</v>
      </c>
      <c r="BR60" s="13">
        <v>47</v>
      </c>
      <c r="BS60" s="13">
        <v>0</v>
      </c>
      <c r="BT60" s="13">
        <v>5316.4522999999999</v>
      </c>
      <c r="BU60" s="13">
        <v>169.46299999999999</v>
      </c>
      <c r="BV60" s="13">
        <v>5146.9893000000002</v>
      </c>
      <c r="BW60" s="13">
        <v>47</v>
      </c>
      <c r="BX60" s="13">
        <v>47</v>
      </c>
      <c r="BY60" s="13">
        <v>0</v>
      </c>
      <c r="BZ60" s="13">
        <v>5129.3802999999998</v>
      </c>
      <c r="CA60" s="13">
        <v>167.53449999999998</v>
      </c>
      <c r="CB60" s="13">
        <v>4961.8458000000001</v>
      </c>
      <c r="CC60" s="13">
        <v>128</v>
      </c>
      <c r="CD60" s="13">
        <v>128</v>
      </c>
      <c r="CE60" s="13">
        <v>0</v>
      </c>
      <c r="CF60" s="13">
        <v>6835.7851000000001</v>
      </c>
      <c r="CG60" s="13">
        <v>306.39099999999996</v>
      </c>
      <c r="CH60" s="13">
        <v>6529.3941000000004</v>
      </c>
      <c r="CI60" s="13">
        <v>97</v>
      </c>
      <c r="CJ60" s="13">
        <v>97</v>
      </c>
      <c r="CK60" s="13">
        <v>0</v>
      </c>
      <c r="CL60" s="13">
        <v>6376.6415999999999</v>
      </c>
      <c r="CM60" s="13">
        <v>217.53449999999998</v>
      </c>
      <c r="CN60" s="13">
        <v>6159.1071000000002</v>
      </c>
      <c r="CO60" s="13">
        <v>124</v>
      </c>
      <c r="CP60" s="13">
        <v>124</v>
      </c>
      <c r="CQ60" s="13">
        <v>0</v>
      </c>
      <c r="CR60" s="13">
        <v>5621.7964000000002</v>
      </c>
      <c r="CS60" s="13">
        <v>215.6062</v>
      </c>
      <c r="CT60" s="13">
        <v>5406.1902</v>
      </c>
      <c r="CU60" s="13">
        <f t="shared" si="4"/>
        <v>1137</v>
      </c>
      <c r="CV60" s="13">
        <f t="shared" si="4"/>
        <v>1137</v>
      </c>
      <c r="CW60" s="13">
        <f t="shared" si="4"/>
        <v>0</v>
      </c>
      <c r="CX60" s="13">
        <f t="shared" si="4"/>
        <v>68638.949200000003</v>
      </c>
      <c r="CY60" s="13">
        <f t="shared" si="4"/>
        <v>2715.5203000000001</v>
      </c>
      <c r="CZ60" s="13">
        <f t="shared" si="4"/>
        <v>65923.428899999999</v>
      </c>
      <c r="DA60" s="13">
        <f t="shared" si="5"/>
        <v>349</v>
      </c>
      <c r="DB60" s="13">
        <f t="shared" si="5"/>
        <v>349</v>
      </c>
      <c r="DC60" s="13">
        <f t="shared" si="5"/>
        <v>0</v>
      </c>
      <c r="DD60" s="13">
        <f t="shared" si="5"/>
        <v>18834.223099999999</v>
      </c>
      <c r="DE60" s="13">
        <f t="shared" si="5"/>
        <v>739.5317</v>
      </c>
      <c r="DF60" s="13">
        <f t="shared" si="5"/>
        <v>18094.6914</v>
      </c>
      <c r="DG60" s="13">
        <f t="shared" si="6"/>
        <v>171</v>
      </c>
      <c r="DH60" s="13">
        <f t="shared" si="6"/>
        <v>171</v>
      </c>
      <c r="DI60" s="13">
        <f t="shared" si="6"/>
        <v>0</v>
      </c>
      <c r="DJ60" s="13">
        <f t="shared" si="6"/>
        <v>15913.977299999999</v>
      </c>
      <c r="DK60" s="13">
        <f t="shared" si="6"/>
        <v>608.78129999999999</v>
      </c>
      <c r="DL60" s="13">
        <f t="shared" si="6"/>
        <v>15305.196</v>
      </c>
      <c r="DM60" s="13">
        <f t="shared" si="7"/>
        <v>221</v>
      </c>
      <c r="DN60" s="13">
        <f t="shared" si="7"/>
        <v>221</v>
      </c>
      <c r="DO60" s="13">
        <f t="shared" si="7"/>
        <v>0</v>
      </c>
      <c r="DP60" s="13">
        <f t="shared" si="7"/>
        <v>11998.438</v>
      </c>
      <c r="DQ60" s="13">
        <f t="shared" si="7"/>
        <v>433.14069999999998</v>
      </c>
      <c r="DR60" s="13">
        <f t="shared" si="7"/>
        <v>11565.2973</v>
      </c>
      <c r="DS60" s="14" t="s">
        <v>71</v>
      </c>
      <c r="DT60" s="14" t="s">
        <v>92</v>
      </c>
      <c r="DU60" s="14" t="s">
        <v>73</v>
      </c>
      <c r="DV60" s="14" t="s">
        <v>82</v>
      </c>
      <c r="DW60" s="14" t="s">
        <v>64</v>
      </c>
    </row>
    <row r="61" spans="2:127" x14ac:dyDescent="0.3">
      <c r="B61" s="11" t="s">
        <v>75</v>
      </c>
      <c r="C61" s="12">
        <v>5001341878</v>
      </c>
      <c r="D61" s="11" t="s">
        <v>274</v>
      </c>
      <c r="E61" s="11" t="s">
        <v>55</v>
      </c>
      <c r="F61" s="11" t="s">
        <v>275</v>
      </c>
      <c r="G61" s="11" t="s">
        <v>276</v>
      </c>
      <c r="H61" s="11" t="s">
        <v>145</v>
      </c>
      <c r="I61" s="11">
        <v>36617</v>
      </c>
      <c r="J61" s="11" t="s">
        <v>80</v>
      </c>
      <c r="K61" s="11"/>
      <c r="L61" s="11"/>
      <c r="M61" s="11"/>
      <c r="N61" s="11"/>
      <c r="O61" s="13">
        <v>561</v>
      </c>
      <c r="P61" s="13">
        <v>561</v>
      </c>
      <c r="Q61" s="13">
        <v>0</v>
      </c>
      <c r="R61" s="13">
        <v>10583.434800000001</v>
      </c>
      <c r="S61" s="13">
        <v>561</v>
      </c>
      <c r="T61" s="13">
        <v>10022.434800000001</v>
      </c>
      <c r="U61" s="13">
        <v>30</v>
      </c>
      <c r="V61" s="13">
        <v>30</v>
      </c>
      <c r="W61" s="13">
        <v>0</v>
      </c>
      <c r="X61" s="13">
        <v>968.06039999999996</v>
      </c>
      <c r="Y61" s="13">
        <v>30</v>
      </c>
      <c r="Z61" s="13">
        <v>938.06039999999996</v>
      </c>
      <c r="AA61" s="13">
        <v>18</v>
      </c>
      <c r="AB61" s="13">
        <v>18</v>
      </c>
      <c r="AC61" s="13">
        <v>0</v>
      </c>
      <c r="AD61" s="13">
        <v>1042.4607000000001</v>
      </c>
      <c r="AE61" s="13">
        <v>18</v>
      </c>
      <c r="AF61" s="13">
        <v>1024.4607000000001</v>
      </c>
      <c r="AG61" s="13">
        <v>18</v>
      </c>
      <c r="AH61" s="13">
        <v>18</v>
      </c>
      <c r="AI61" s="13">
        <v>0</v>
      </c>
      <c r="AJ61" s="13">
        <v>820.2885</v>
      </c>
      <c r="AK61" s="13">
        <v>18</v>
      </c>
      <c r="AL61" s="13">
        <v>802.2885</v>
      </c>
      <c r="AM61" s="13">
        <v>18</v>
      </c>
      <c r="AN61" s="13">
        <v>18</v>
      </c>
      <c r="AO61" s="13">
        <v>0</v>
      </c>
      <c r="AP61" s="13">
        <v>721.5453</v>
      </c>
      <c r="AQ61" s="13">
        <v>18</v>
      </c>
      <c r="AR61" s="13">
        <v>703.5453</v>
      </c>
      <c r="AS61" s="13">
        <v>27</v>
      </c>
      <c r="AT61" s="13">
        <v>27</v>
      </c>
      <c r="AU61" s="13">
        <v>0</v>
      </c>
      <c r="AV61" s="13">
        <v>952.71749999999997</v>
      </c>
      <c r="AW61" s="13">
        <v>27</v>
      </c>
      <c r="AX61" s="13">
        <v>925.71749999999997</v>
      </c>
      <c r="AY61" s="13">
        <v>52</v>
      </c>
      <c r="AZ61" s="13">
        <v>52</v>
      </c>
      <c r="BA61" s="13">
        <v>0</v>
      </c>
      <c r="BB61" s="13">
        <v>644.45920000000001</v>
      </c>
      <c r="BC61" s="13">
        <v>52</v>
      </c>
      <c r="BD61" s="13">
        <v>592.45920000000001</v>
      </c>
      <c r="BE61" s="13">
        <v>65</v>
      </c>
      <c r="BF61" s="13">
        <v>65</v>
      </c>
      <c r="BG61" s="13">
        <v>0</v>
      </c>
      <c r="BH61" s="13">
        <v>706.83079999999995</v>
      </c>
      <c r="BI61" s="13">
        <v>65</v>
      </c>
      <c r="BJ61" s="13">
        <v>641.83079999999995</v>
      </c>
      <c r="BK61" s="13">
        <v>76</v>
      </c>
      <c r="BL61" s="13">
        <v>76</v>
      </c>
      <c r="BM61" s="13">
        <v>0</v>
      </c>
      <c r="BN61" s="13">
        <v>915.31719999999996</v>
      </c>
      <c r="BO61" s="13">
        <v>76</v>
      </c>
      <c r="BP61" s="13">
        <v>839.31719999999996</v>
      </c>
      <c r="BQ61" s="13">
        <v>49</v>
      </c>
      <c r="BR61" s="13">
        <v>49</v>
      </c>
      <c r="BS61" s="13">
        <v>0</v>
      </c>
      <c r="BT61" s="13">
        <v>764.88819999999998</v>
      </c>
      <c r="BU61" s="13">
        <v>49</v>
      </c>
      <c r="BV61" s="13">
        <v>715.88819999999998</v>
      </c>
      <c r="BW61" s="13">
        <v>61</v>
      </c>
      <c r="BX61" s="13">
        <v>61</v>
      </c>
      <c r="BY61" s="13">
        <v>0</v>
      </c>
      <c r="BZ61" s="13">
        <v>789.23109999999997</v>
      </c>
      <c r="CA61" s="13">
        <v>61</v>
      </c>
      <c r="CB61" s="13">
        <v>728.23109999999997</v>
      </c>
      <c r="CC61" s="13">
        <v>51</v>
      </c>
      <c r="CD61" s="13">
        <v>51</v>
      </c>
      <c r="CE61" s="13">
        <v>0</v>
      </c>
      <c r="CF61" s="13">
        <v>828.60270000000003</v>
      </c>
      <c r="CG61" s="13">
        <v>51</v>
      </c>
      <c r="CH61" s="13">
        <v>777.60270000000003</v>
      </c>
      <c r="CI61" s="13">
        <v>42</v>
      </c>
      <c r="CJ61" s="13">
        <v>42</v>
      </c>
      <c r="CK61" s="13">
        <v>0</v>
      </c>
      <c r="CL61" s="13">
        <v>745.5453</v>
      </c>
      <c r="CM61" s="13">
        <v>42</v>
      </c>
      <c r="CN61" s="13">
        <v>703.5453</v>
      </c>
      <c r="CO61" s="13">
        <v>54</v>
      </c>
      <c r="CP61" s="13">
        <v>54</v>
      </c>
      <c r="CQ61" s="13">
        <v>0</v>
      </c>
      <c r="CR61" s="13">
        <v>683.48789999999997</v>
      </c>
      <c r="CS61" s="13">
        <v>54</v>
      </c>
      <c r="CT61" s="13">
        <v>629.48789999999997</v>
      </c>
      <c r="CU61" s="13">
        <f t="shared" si="4"/>
        <v>531</v>
      </c>
      <c r="CV61" s="13">
        <f t="shared" si="4"/>
        <v>531</v>
      </c>
      <c r="CW61" s="13">
        <f t="shared" si="4"/>
        <v>0</v>
      </c>
      <c r="CX61" s="13">
        <f t="shared" si="4"/>
        <v>9615.3744000000006</v>
      </c>
      <c r="CY61" s="13">
        <f t="shared" si="4"/>
        <v>531</v>
      </c>
      <c r="CZ61" s="13">
        <f t="shared" si="4"/>
        <v>9084.3744000000006</v>
      </c>
      <c r="DA61" s="13">
        <f t="shared" si="5"/>
        <v>147</v>
      </c>
      <c r="DB61" s="13">
        <f t="shared" si="5"/>
        <v>147</v>
      </c>
      <c r="DC61" s="13">
        <f t="shared" si="5"/>
        <v>0</v>
      </c>
      <c r="DD61" s="13">
        <f t="shared" si="5"/>
        <v>2257.6359000000002</v>
      </c>
      <c r="DE61" s="13">
        <f t="shared" si="5"/>
        <v>147</v>
      </c>
      <c r="DF61" s="13">
        <f t="shared" si="5"/>
        <v>2110.6359000000002</v>
      </c>
      <c r="DG61" s="13">
        <f t="shared" si="6"/>
        <v>186</v>
      </c>
      <c r="DH61" s="13">
        <f t="shared" si="6"/>
        <v>186</v>
      </c>
      <c r="DI61" s="13">
        <f t="shared" si="6"/>
        <v>0</v>
      </c>
      <c r="DJ61" s="13">
        <f t="shared" si="6"/>
        <v>2469.4364999999998</v>
      </c>
      <c r="DK61" s="13">
        <f t="shared" si="6"/>
        <v>186</v>
      </c>
      <c r="DL61" s="13">
        <f t="shared" si="6"/>
        <v>2283.4364999999998</v>
      </c>
      <c r="DM61" s="13">
        <f t="shared" si="7"/>
        <v>96</v>
      </c>
      <c r="DN61" s="13">
        <f t="shared" si="7"/>
        <v>96</v>
      </c>
      <c r="DO61" s="13">
        <f t="shared" si="7"/>
        <v>0</v>
      </c>
      <c r="DP61" s="13">
        <f t="shared" si="7"/>
        <v>1429.0331999999999</v>
      </c>
      <c r="DQ61" s="13">
        <f t="shared" si="7"/>
        <v>96</v>
      </c>
      <c r="DR61" s="13">
        <f t="shared" si="7"/>
        <v>1333.0331999999999</v>
      </c>
      <c r="DS61" s="14" t="s">
        <v>81</v>
      </c>
      <c r="DT61" s="14" t="s">
        <v>81</v>
      </c>
      <c r="DU61" s="14" t="s">
        <v>73</v>
      </c>
      <c r="DV61" s="14" t="s">
        <v>82</v>
      </c>
      <c r="DW61" s="14" t="s">
        <v>74</v>
      </c>
    </row>
    <row r="62" spans="2:127" x14ac:dyDescent="0.3">
      <c r="B62" s="11" t="s">
        <v>65</v>
      </c>
      <c r="C62" s="12">
        <v>5001341882</v>
      </c>
      <c r="D62" s="11" t="s">
        <v>277</v>
      </c>
      <c r="E62" s="11" t="s">
        <v>55</v>
      </c>
      <c r="F62" s="11" t="s">
        <v>278</v>
      </c>
      <c r="G62" s="11" t="s">
        <v>232</v>
      </c>
      <c r="H62" s="11" t="s">
        <v>206</v>
      </c>
      <c r="I62" s="11">
        <v>10065</v>
      </c>
      <c r="J62" s="11" t="s">
        <v>80</v>
      </c>
      <c r="K62" s="11"/>
      <c r="L62" s="11"/>
      <c r="M62" s="11"/>
      <c r="N62" s="11"/>
      <c r="O62" s="13">
        <v>2552</v>
      </c>
      <c r="P62" s="13">
        <v>2552</v>
      </c>
      <c r="Q62" s="13">
        <v>0</v>
      </c>
      <c r="R62" s="13">
        <v>82644.278900000005</v>
      </c>
      <c r="S62" s="13">
        <v>4723.5511999999999</v>
      </c>
      <c r="T62" s="13">
        <v>77920.727700000003</v>
      </c>
      <c r="U62" s="13">
        <v>141</v>
      </c>
      <c r="V62" s="13">
        <v>141</v>
      </c>
      <c r="W62" s="13">
        <v>0</v>
      </c>
      <c r="X62" s="13">
        <v>5797.1322</v>
      </c>
      <c r="Y62" s="13">
        <v>279.85590000000002</v>
      </c>
      <c r="Z62" s="13">
        <v>5517.2763000000004</v>
      </c>
      <c r="AA62" s="13">
        <v>194</v>
      </c>
      <c r="AB62" s="13">
        <v>194</v>
      </c>
      <c r="AC62" s="13">
        <v>0</v>
      </c>
      <c r="AD62" s="13">
        <v>6574.8906999999999</v>
      </c>
      <c r="AE62" s="13">
        <v>415.78359999999998</v>
      </c>
      <c r="AF62" s="13">
        <v>6159.1071000000002</v>
      </c>
      <c r="AG62" s="13">
        <v>189</v>
      </c>
      <c r="AH62" s="13">
        <v>189</v>
      </c>
      <c r="AI62" s="13">
        <v>0</v>
      </c>
      <c r="AJ62" s="13">
        <v>5493.5528000000004</v>
      </c>
      <c r="AK62" s="13">
        <v>309.53480000000002</v>
      </c>
      <c r="AL62" s="13">
        <v>5184.018</v>
      </c>
      <c r="AM62" s="13">
        <v>184</v>
      </c>
      <c r="AN62" s="13">
        <v>184</v>
      </c>
      <c r="AO62" s="13">
        <v>0</v>
      </c>
      <c r="AP62" s="13">
        <v>5633.1956</v>
      </c>
      <c r="AQ62" s="13">
        <v>325.74860000000001</v>
      </c>
      <c r="AR62" s="13">
        <v>5307.4470000000001</v>
      </c>
      <c r="AS62" s="13">
        <v>196</v>
      </c>
      <c r="AT62" s="13">
        <v>196</v>
      </c>
      <c r="AU62" s="13">
        <v>0</v>
      </c>
      <c r="AV62" s="13">
        <v>7199.8229999999994</v>
      </c>
      <c r="AW62" s="13">
        <v>300.14190000000002</v>
      </c>
      <c r="AX62" s="13">
        <v>6899.6810999999998</v>
      </c>
      <c r="AY62" s="13">
        <v>132</v>
      </c>
      <c r="AZ62" s="13">
        <v>132</v>
      </c>
      <c r="BA62" s="13">
        <v>0</v>
      </c>
      <c r="BB62" s="13">
        <v>5372.9094000000005</v>
      </c>
      <c r="BC62" s="13">
        <v>250.60590000000002</v>
      </c>
      <c r="BD62" s="13">
        <v>5122.3035</v>
      </c>
      <c r="BE62" s="13">
        <v>189</v>
      </c>
      <c r="BF62" s="13">
        <v>189</v>
      </c>
      <c r="BG62" s="13">
        <v>0</v>
      </c>
      <c r="BH62" s="13">
        <v>6089.4819000000007</v>
      </c>
      <c r="BI62" s="13">
        <v>411.74789999999996</v>
      </c>
      <c r="BJ62" s="13">
        <v>5677.7340000000004</v>
      </c>
      <c r="BK62" s="13">
        <v>326</v>
      </c>
      <c r="BL62" s="13">
        <v>326</v>
      </c>
      <c r="BM62" s="13">
        <v>0</v>
      </c>
      <c r="BN62" s="13">
        <v>8027.1963999999998</v>
      </c>
      <c r="BO62" s="13">
        <v>460.99869999999999</v>
      </c>
      <c r="BP62" s="13">
        <v>7566.1976999999997</v>
      </c>
      <c r="BQ62" s="13">
        <v>238</v>
      </c>
      <c r="BR62" s="13">
        <v>238</v>
      </c>
      <c r="BS62" s="13">
        <v>0</v>
      </c>
      <c r="BT62" s="13">
        <v>6524.9698000000008</v>
      </c>
      <c r="BU62" s="13">
        <v>402.89139999999998</v>
      </c>
      <c r="BV62" s="13">
        <v>6122.0784000000003</v>
      </c>
      <c r="BW62" s="13">
        <v>189</v>
      </c>
      <c r="BX62" s="13">
        <v>189</v>
      </c>
      <c r="BY62" s="13">
        <v>0</v>
      </c>
      <c r="BZ62" s="13">
        <v>5902.2179999999998</v>
      </c>
      <c r="CA62" s="13">
        <v>335.57010000000002</v>
      </c>
      <c r="CB62" s="13">
        <v>5566.6478999999999</v>
      </c>
      <c r="CC62" s="13">
        <v>235</v>
      </c>
      <c r="CD62" s="13">
        <v>235</v>
      </c>
      <c r="CE62" s="13">
        <v>0</v>
      </c>
      <c r="CF62" s="13">
        <v>7799.2652000000007</v>
      </c>
      <c r="CG62" s="13">
        <v>541.64</v>
      </c>
      <c r="CH62" s="13">
        <v>7257.6252000000004</v>
      </c>
      <c r="CI62" s="13">
        <v>204</v>
      </c>
      <c r="CJ62" s="13">
        <v>204</v>
      </c>
      <c r="CK62" s="13">
        <v>0</v>
      </c>
      <c r="CL62" s="13">
        <v>6148.4548999999997</v>
      </c>
      <c r="CM62" s="13">
        <v>322.60609999999997</v>
      </c>
      <c r="CN62" s="13">
        <v>5825.8487999999998</v>
      </c>
      <c r="CO62" s="13">
        <v>135</v>
      </c>
      <c r="CP62" s="13">
        <v>135</v>
      </c>
      <c r="CQ62" s="13">
        <v>0</v>
      </c>
      <c r="CR62" s="13">
        <v>6081.1890000000003</v>
      </c>
      <c r="CS62" s="13">
        <v>366.42629999999997</v>
      </c>
      <c r="CT62" s="13">
        <v>5714.7627000000002</v>
      </c>
      <c r="CU62" s="13">
        <f t="shared" ref="CU62:CZ104" si="8">SUM(AA62,AG62,AM62,AS62,AY62,BE62,BK62,BQ62,BW62,CC62,CI62,CO62)</f>
        <v>2411</v>
      </c>
      <c r="CV62" s="13">
        <f t="shared" si="8"/>
        <v>2411</v>
      </c>
      <c r="CW62" s="13">
        <f t="shared" si="8"/>
        <v>0</v>
      </c>
      <c r="CX62" s="13">
        <f t="shared" si="8"/>
        <v>76847.146699999998</v>
      </c>
      <c r="CY62" s="13">
        <f t="shared" si="8"/>
        <v>4443.6952999999994</v>
      </c>
      <c r="CZ62" s="13">
        <f t="shared" si="8"/>
        <v>72403.451400000005</v>
      </c>
      <c r="DA62" s="13">
        <f t="shared" ref="DA62:DF104" si="9">SUM(CC62,CI62,CO62)</f>
        <v>574</v>
      </c>
      <c r="DB62" s="13">
        <f t="shared" si="9"/>
        <v>574</v>
      </c>
      <c r="DC62" s="13">
        <f t="shared" si="9"/>
        <v>0</v>
      </c>
      <c r="DD62" s="13">
        <f t="shared" si="9"/>
        <v>20028.909100000001</v>
      </c>
      <c r="DE62" s="13">
        <f t="shared" si="9"/>
        <v>1230.6723999999999</v>
      </c>
      <c r="DF62" s="13">
        <f t="shared" si="9"/>
        <v>18798.236700000001</v>
      </c>
      <c r="DG62" s="13">
        <f t="shared" ref="DG62:DL104" si="10">SUM(BK62,BQ62,BW62)</f>
        <v>753</v>
      </c>
      <c r="DH62" s="13">
        <f t="shared" si="10"/>
        <v>753</v>
      </c>
      <c r="DI62" s="13">
        <f t="shared" si="10"/>
        <v>0</v>
      </c>
      <c r="DJ62" s="13">
        <f t="shared" si="10"/>
        <v>20454.3842</v>
      </c>
      <c r="DK62" s="13">
        <f t="shared" si="10"/>
        <v>1199.4602</v>
      </c>
      <c r="DL62" s="13">
        <f t="shared" si="10"/>
        <v>19254.923999999999</v>
      </c>
      <c r="DM62" s="13">
        <f t="shared" ref="DM62:DR104" si="11">SUM(CI62,CO62)</f>
        <v>339</v>
      </c>
      <c r="DN62" s="13">
        <f t="shared" si="11"/>
        <v>339</v>
      </c>
      <c r="DO62" s="13">
        <f t="shared" si="11"/>
        <v>0</v>
      </c>
      <c r="DP62" s="13">
        <f t="shared" si="11"/>
        <v>12229.643899999999</v>
      </c>
      <c r="DQ62" s="13">
        <f t="shared" si="11"/>
        <v>689.03239999999994</v>
      </c>
      <c r="DR62" s="13">
        <f t="shared" si="11"/>
        <v>11540.611499999999</v>
      </c>
      <c r="DS62" s="14" t="s">
        <v>60</v>
      </c>
      <c r="DT62" s="14" t="s">
        <v>92</v>
      </c>
      <c r="DU62" s="14" t="s">
        <v>73</v>
      </c>
      <c r="DV62" s="14" t="s">
        <v>97</v>
      </c>
      <c r="DW62" s="14" t="s">
        <v>64</v>
      </c>
    </row>
    <row r="63" spans="2:127" x14ac:dyDescent="0.3">
      <c r="B63" s="11" t="s">
        <v>75</v>
      </c>
      <c r="C63" s="12">
        <v>5001341888</v>
      </c>
      <c r="D63" s="11" t="s">
        <v>279</v>
      </c>
      <c r="E63" s="11" t="s">
        <v>55</v>
      </c>
      <c r="F63" s="11" t="s">
        <v>280</v>
      </c>
      <c r="G63" s="11" t="s">
        <v>281</v>
      </c>
      <c r="H63" s="11" t="s">
        <v>282</v>
      </c>
      <c r="I63" s="11">
        <v>40222</v>
      </c>
      <c r="J63" s="11" t="s">
        <v>80</v>
      </c>
      <c r="K63" s="11"/>
      <c r="L63" s="11"/>
      <c r="M63" s="11"/>
      <c r="N63" s="11"/>
      <c r="O63" s="13">
        <v>484</v>
      </c>
      <c r="P63" s="13">
        <v>484</v>
      </c>
      <c r="Q63" s="13">
        <v>0</v>
      </c>
      <c r="R63" s="13">
        <v>30259.5072</v>
      </c>
      <c r="S63" s="13">
        <v>772.31909999999993</v>
      </c>
      <c r="T63" s="13">
        <v>29487.188099999999</v>
      </c>
      <c r="U63" s="13">
        <v>32</v>
      </c>
      <c r="V63" s="13">
        <v>32</v>
      </c>
      <c r="W63" s="13">
        <v>0</v>
      </c>
      <c r="X63" s="13">
        <v>2342.6290000000004</v>
      </c>
      <c r="Y63" s="13">
        <v>71.53540000000001</v>
      </c>
      <c r="Z63" s="13">
        <v>2271.0936000000002</v>
      </c>
      <c r="AA63" s="13">
        <v>59</v>
      </c>
      <c r="AB63" s="13">
        <v>59</v>
      </c>
      <c r="AC63" s="13">
        <v>0</v>
      </c>
      <c r="AD63" s="13">
        <v>2611.0867000000003</v>
      </c>
      <c r="AE63" s="13">
        <v>117.82089999999999</v>
      </c>
      <c r="AF63" s="13">
        <v>2493.2658000000001</v>
      </c>
      <c r="AG63" s="13">
        <v>14</v>
      </c>
      <c r="AH63" s="13">
        <v>14</v>
      </c>
      <c r="AI63" s="13">
        <v>0</v>
      </c>
      <c r="AJ63" s="13">
        <v>2384.0295000000001</v>
      </c>
      <c r="AK63" s="13">
        <v>26.535600000000002</v>
      </c>
      <c r="AL63" s="13">
        <v>2357.4938999999999</v>
      </c>
      <c r="AM63" s="13">
        <v>24</v>
      </c>
      <c r="AN63" s="13">
        <v>24</v>
      </c>
      <c r="AO63" s="13">
        <v>0</v>
      </c>
      <c r="AP63" s="13">
        <v>1928.0847999999999</v>
      </c>
      <c r="AQ63" s="13">
        <v>51.963999999999999</v>
      </c>
      <c r="AR63" s="13">
        <v>1876.1207999999999</v>
      </c>
      <c r="AS63" s="13">
        <v>24</v>
      </c>
      <c r="AT63" s="13">
        <v>24</v>
      </c>
      <c r="AU63" s="13">
        <v>0</v>
      </c>
      <c r="AV63" s="13">
        <v>2398.0792999999999</v>
      </c>
      <c r="AW63" s="13">
        <v>52.9283</v>
      </c>
      <c r="AX63" s="13">
        <v>2345.1509999999998</v>
      </c>
      <c r="AY63" s="13">
        <v>17</v>
      </c>
      <c r="AZ63" s="13">
        <v>17</v>
      </c>
      <c r="BA63" s="13">
        <v>0</v>
      </c>
      <c r="BB63" s="13">
        <v>1725.5269999999998</v>
      </c>
      <c r="BC63" s="13">
        <v>46.892600000000002</v>
      </c>
      <c r="BD63" s="13">
        <v>1678.6343999999999</v>
      </c>
      <c r="BE63" s="13">
        <v>34</v>
      </c>
      <c r="BF63" s="13">
        <v>34</v>
      </c>
      <c r="BG63" s="13">
        <v>0</v>
      </c>
      <c r="BH63" s="13">
        <v>2037.5996</v>
      </c>
      <c r="BI63" s="13">
        <v>50.392700000000005</v>
      </c>
      <c r="BJ63" s="13">
        <v>1987.2068999999999</v>
      </c>
      <c r="BK63" s="13">
        <v>36</v>
      </c>
      <c r="BL63" s="13">
        <v>36</v>
      </c>
      <c r="BM63" s="13">
        <v>0</v>
      </c>
      <c r="BN63" s="13">
        <v>2652.8875000000003</v>
      </c>
      <c r="BO63" s="13">
        <v>48.535600000000002</v>
      </c>
      <c r="BP63" s="13">
        <v>2604.3519000000001</v>
      </c>
      <c r="BQ63" s="13">
        <v>27</v>
      </c>
      <c r="BR63" s="13">
        <v>27</v>
      </c>
      <c r="BS63" s="13">
        <v>0</v>
      </c>
      <c r="BT63" s="13">
        <v>2162.5144</v>
      </c>
      <c r="BU63" s="13">
        <v>39.535600000000002</v>
      </c>
      <c r="BV63" s="13">
        <v>2122.9787999999999</v>
      </c>
      <c r="BW63" s="13">
        <v>48</v>
      </c>
      <c r="BX63" s="13">
        <v>48</v>
      </c>
      <c r="BY63" s="13">
        <v>0</v>
      </c>
      <c r="BZ63" s="13">
        <v>2557.6586000000002</v>
      </c>
      <c r="CA63" s="13">
        <v>64.392799999999994</v>
      </c>
      <c r="CB63" s="13">
        <v>2493.2658000000001</v>
      </c>
      <c r="CC63" s="13">
        <v>81</v>
      </c>
      <c r="CD63" s="13">
        <v>81</v>
      </c>
      <c r="CE63" s="13">
        <v>0</v>
      </c>
      <c r="CF63" s="13">
        <v>3133.7462</v>
      </c>
      <c r="CG63" s="13">
        <v>97.392799999999994</v>
      </c>
      <c r="CH63" s="13">
        <v>3036.3534</v>
      </c>
      <c r="CI63" s="13">
        <v>39</v>
      </c>
      <c r="CJ63" s="13">
        <v>39</v>
      </c>
      <c r="CK63" s="13">
        <v>0</v>
      </c>
      <c r="CL63" s="13">
        <v>2203.0574000000001</v>
      </c>
      <c r="CM63" s="13">
        <v>55.392800000000001</v>
      </c>
      <c r="CN63" s="13">
        <v>2147.6646000000001</v>
      </c>
      <c r="CO63" s="13">
        <v>49</v>
      </c>
      <c r="CP63" s="13">
        <v>49</v>
      </c>
      <c r="CQ63" s="13">
        <v>0</v>
      </c>
      <c r="CR63" s="13">
        <v>2122.6071999999999</v>
      </c>
      <c r="CS63" s="13">
        <v>49</v>
      </c>
      <c r="CT63" s="13">
        <v>2073.6071999999999</v>
      </c>
      <c r="CU63" s="13">
        <f t="shared" si="8"/>
        <v>452</v>
      </c>
      <c r="CV63" s="13">
        <f t="shared" si="8"/>
        <v>452</v>
      </c>
      <c r="CW63" s="13">
        <f t="shared" si="8"/>
        <v>0</v>
      </c>
      <c r="CX63" s="13">
        <f t="shared" si="8"/>
        <v>27916.878199999999</v>
      </c>
      <c r="CY63" s="13">
        <f t="shared" si="8"/>
        <v>700.78369999999984</v>
      </c>
      <c r="CZ63" s="13">
        <f t="shared" si="8"/>
        <v>27216.094499999999</v>
      </c>
      <c r="DA63" s="13">
        <f t="shared" si="9"/>
        <v>169</v>
      </c>
      <c r="DB63" s="13">
        <f t="shared" si="9"/>
        <v>169</v>
      </c>
      <c r="DC63" s="13">
        <f t="shared" si="9"/>
        <v>0</v>
      </c>
      <c r="DD63" s="13">
        <f t="shared" si="9"/>
        <v>7459.4107999999997</v>
      </c>
      <c r="DE63" s="13">
        <f t="shared" si="9"/>
        <v>201.78559999999999</v>
      </c>
      <c r="DF63" s="13">
        <f t="shared" si="9"/>
        <v>7257.6252000000004</v>
      </c>
      <c r="DG63" s="13">
        <f t="shared" si="10"/>
        <v>111</v>
      </c>
      <c r="DH63" s="13">
        <f t="shared" si="10"/>
        <v>111</v>
      </c>
      <c r="DI63" s="13">
        <f t="shared" si="10"/>
        <v>0</v>
      </c>
      <c r="DJ63" s="13">
        <f t="shared" si="10"/>
        <v>7373.0605000000014</v>
      </c>
      <c r="DK63" s="13">
        <f t="shared" si="10"/>
        <v>152.464</v>
      </c>
      <c r="DL63" s="13">
        <f t="shared" si="10"/>
        <v>7220.5965000000006</v>
      </c>
      <c r="DM63" s="13">
        <f t="shared" si="11"/>
        <v>88</v>
      </c>
      <c r="DN63" s="13">
        <f t="shared" si="11"/>
        <v>88</v>
      </c>
      <c r="DO63" s="13">
        <f t="shared" si="11"/>
        <v>0</v>
      </c>
      <c r="DP63" s="13">
        <f t="shared" si="11"/>
        <v>4325.6646000000001</v>
      </c>
      <c r="DQ63" s="13">
        <f t="shared" si="11"/>
        <v>104.39279999999999</v>
      </c>
      <c r="DR63" s="13">
        <f t="shared" si="11"/>
        <v>4221.2718000000004</v>
      </c>
      <c r="DS63" s="14" t="s">
        <v>71</v>
      </c>
      <c r="DT63" s="14" t="s">
        <v>81</v>
      </c>
      <c r="DU63" s="14" t="s">
        <v>73</v>
      </c>
      <c r="DV63" s="14" t="s">
        <v>82</v>
      </c>
      <c r="DW63" s="14" t="s">
        <v>64</v>
      </c>
    </row>
    <row r="64" spans="2:127" x14ac:dyDescent="0.3">
      <c r="B64" s="11" t="s">
        <v>75</v>
      </c>
      <c r="C64" s="12">
        <v>5001341890</v>
      </c>
      <c r="D64" s="11" t="s">
        <v>283</v>
      </c>
      <c r="E64" s="11" t="s">
        <v>55</v>
      </c>
      <c r="F64" s="11" t="s">
        <v>284</v>
      </c>
      <c r="G64" s="11" t="s">
        <v>285</v>
      </c>
      <c r="H64" s="11" t="s">
        <v>220</v>
      </c>
      <c r="I64" s="11">
        <v>27103</v>
      </c>
      <c r="J64" s="11" t="s">
        <v>80</v>
      </c>
      <c r="K64" s="11"/>
      <c r="L64" s="11"/>
      <c r="M64" s="11"/>
      <c r="N64" s="11"/>
      <c r="O64" s="13">
        <v>4100</v>
      </c>
      <c r="P64" s="13">
        <v>4092</v>
      </c>
      <c r="Q64" s="13">
        <v>8</v>
      </c>
      <c r="R64" s="13">
        <v>73852.794699999999</v>
      </c>
      <c r="S64" s="13">
        <v>5773.7011999999995</v>
      </c>
      <c r="T64" s="13">
        <v>68079.093500000003</v>
      </c>
      <c r="U64" s="13">
        <v>377</v>
      </c>
      <c r="V64" s="13">
        <v>377</v>
      </c>
      <c r="W64" s="13">
        <v>0</v>
      </c>
      <c r="X64" s="13">
        <v>5508.3669</v>
      </c>
      <c r="Y64" s="13">
        <v>472.46370000000002</v>
      </c>
      <c r="Z64" s="13">
        <v>5035.9031999999997</v>
      </c>
      <c r="AA64" s="13">
        <v>342</v>
      </c>
      <c r="AB64" s="13">
        <v>342</v>
      </c>
      <c r="AC64" s="13">
        <v>0</v>
      </c>
      <c r="AD64" s="13">
        <v>5955.1252000000004</v>
      </c>
      <c r="AE64" s="13">
        <v>462.53469999999999</v>
      </c>
      <c r="AF64" s="13">
        <v>5492.5905000000002</v>
      </c>
      <c r="AG64" s="13">
        <v>318</v>
      </c>
      <c r="AH64" s="13">
        <v>318</v>
      </c>
      <c r="AI64" s="13">
        <v>0</v>
      </c>
      <c r="AJ64" s="13">
        <v>4817.3713000000007</v>
      </c>
      <c r="AK64" s="13">
        <v>435.64179999999999</v>
      </c>
      <c r="AL64" s="13">
        <v>4381.7295000000004</v>
      </c>
      <c r="AM64" s="13">
        <v>342</v>
      </c>
      <c r="AN64" s="13">
        <v>342</v>
      </c>
      <c r="AO64" s="13">
        <v>0</v>
      </c>
      <c r="AP64" s="13">
        <v>4899.6149000000005</v>
      </c>
      <c r="AQ64" s="13">
        <v>419.1422</v>
      </c>
      <c r="AR64" s="13">
        <v>4480.4727000000003</v>
      </c>
      <c r="AS64" s="13">
        <v>428</v>
      </c>
      <c r="AT64" s="13">
        <v>428</v>
      </c>
      <c r="AU64" s="13">
        <v>0</v>
      </c>
      <c r="AV64" s="13">
        <v>7017.3714</v>
      </c>
      <c r="AW64" s="13">
        <v>562.03469999999993</v>
      </c>
      <c r="AX64" s="13">
        <v>6455.3366999999998</v>
      </c>
      <c r="AY64" s="13">
        <v>260</v>
      </c>
      <c r="AZ64" s="13">
        <v>260</v>
      </c>
      <c r="BA64" s="13">
        <v>0</v>
      </c>
      <c r="BB64" s="13">
        <v>5614.5032000000001</v>
      </c>
      <c r="BC64" s="13">
        <v>356.42779999999999</v>
      </c>
      <c r="BD64" s="13">
        <v>5258.0753999999997</v>
      </c>
      <c r="BE64" s="13">
        <v>272</v>
      </c>
      <c r="BF64" s="13">
        <v>272</v>
      </c>
      <c r="BG64" s="13">
        <v>0</v>
      </c>
      <c r="BH64" s="13">
        <v>4749.3849</v>
      </c>
      <c r="BI64" s="13">
        <v>441.71280000000002</v>
      </c>
      <c r="BJ64" s="13">
        <v>4307.6720999999998</v>
      </c>
      <c r="BK64" s="13">
        <v>394</v>
      </c>
      <c r="BL64" s="13">
        <v>394</v>
      </c>
      <c r="BM64" s="13">
        <v>0</v>
      </c>
      <c r="BN64" s="13">
        <v>6628.5135</v>
      </c>
      <c r="BO64" s="13">
        <v>481.74930000000001</v>
      </c>
      <c r="BP64" s="13">
        <v>6146.7641999999996</v>
      </c>
      <c r="BQ64" s="13">
        <v>303</v>
      </c>
      <c r="BR64" s="13">
        <v>303</v>
      </c>
      <c r="BS64" s="13">
        <v>0</v>
      </c>
      <c r="BT64" s="13">
        <v>5638.9893000000002</v>
      </c>
      <c r="BU64" s="13">
        <v>368.57100000000003</v>
      </c>
      <c r="BV64" s="13">
        <v>5270.4183000000003</v>
      </c>
      <c r="BW64" s="13">
        <v>253</v>
      </c>
      <c r="BX64" s="13">
        <v>253</v>
      </c>
      <c r="BY64" s="13">
        <v>0</v>
      </c>
      <c r="BZ64" s="13">
        <v>5487.3525</v>
      </c>
      <c r="CA64" s="13">
        <v>377.39190000000002</v>
      </c>
      <c r="CB64" s="13">
        <v>5109.9606000000003</v>
      </c>
      <c r="CC64" s="13">
        <v>350</v>
      </c>
      <c r="CD64" s="13">
        <v>350</v>
      </c>
      <c r="CE64" s="13">
        <v>0</v>
      </c>
      <c r="CF64" s="13">
        <v>7212.8424000000005</v>
      </c>
      <c r="CG64" s="13">
        <v>609.39089999999999</v>
      </c>
      <c r="CH64" s="13">
        <v>6603.4515000000001</v>
      </c>
      <c r="CI64" s="13">
        <v>255</v>
      </c>
      <c r="CJ64" s="13">
        <v>255</v>
      </c>
      <c r="CK64" s="13">
        <v>0</v>
      </c>
      <c r="CL64" s="13">
        <v>5324.2654999999995</v>
      </c>
      <c r="CM64" s="13">
        <v>448.82</v>
      </c>
      <c r="CN64" s="13">
        <v>4875.4454999999998</v>
      </c>
      <c r="CO64" s="13">
        <v>206</v>
      </c>
      <c r="CP64" s="13">
        <v>198</v>
      </c>
      <c r="CQ64" s="13">
        <v>8</v>
      </c>
      <c r="CR64" s="13">
        <v>4999.0936999999994</v>
      </c>
      <c r="CS64" s="13">
        <v>337.82040000000001</v>
      </c>
      <c r="CT64" s="13">
        <v>4661.2732999999998</v>
      </c>
      <c r="CU64" s="13">
        <f t="shared" si="8"/>
        <v>3723</v>
      </c>
      <c r="CV64" s="13">
        <f t="shared" si="8"/>
        <v>3715</v>
      </c>
      <c r="CW64" s="13">
        <f t="shared" si="8"/>
        <v>8</v>
      </c>
      <c r="CX64" s="13">
        <f t="shared" si="8"/>
        <v>68344.427800000005</v>
      </c>
      <c r="CY64" s="13">
        <f t="shared" si="8"/>
        <v>5301.2374999999993</v>
      </c>
      <c r="CZ64" s="13">
        <f t="shared" si="8"/>
        <v>63043.190300000002</v>
      </c>
      <c r="DA64" s="13">
        <f t="shared" si="9"/>
        <v>811</v>
      </c>
      <c r="DB64" s="13">
        <f t="shared" si="9"/>
        <v>803</v>
      </c>
      <c r="DC64" s="13">
        <f t="shared" si="9"/>
        <v>8</v>
      </c>
      <c r="DD64" s="13">
        <f t="shared" si="9"/>
        <v>17536.2016</v>
      </c>
      <c r="DE64" s="13">
        <f t="shared" si="9"/>
        <v>1396.0313000000001</v>
      </c>
      <c r="DF64" s="13">
        <f t="shared" si="9"/>
        <v>16140.170300000002</v>
      </c>
      <c r="DG64" s="13">
        <f t="shared" si="10"/>
        <v>950</v>
      </c>
      <c r="DH64" s="13">
        <f t="shared" si="10"/>
        <v>950</v>
      </c>
      <c r="DI64" s="13">
        <f t="shared" si="10"/>
        <v>0</v>
      </c>
      <c r="DJ64" s="13">
        <f t="shared" si="10"/>
        <v>17754.855299999999</v>
      </c>
      <c r="DK64" s="13">
        <f t="shared" si="10"/>
        <v>1227.7122000000002</v>
      </c>
      <c r="DL64" s="13">
        <f t="shared" si="10"/>
        <v>16527.143100000001</v>
      </c>
      <c r="DM64" s="13">
        <f t="shared" si="11"/>
        <v>461</v>
      </c>
      <c r="DN64" s="13">
        <f t="shared" si="11"/>
        <v>453</v>
      </c>
      <c r="DO64" s="13">
        <f t="shared" si="11"/>
        <v>8</v>
      </c>
      <c r="DP64" s="13">
        <f t="shared" si="11"/>
        <v>10323.359199999999</v>
      </c>
      <c r="DQ64" s="13">
        <f t="shared" si="11"/>
        <v>786.6404</v>
      </c>
      <c r="DR64" s="13">
        <f t="shared" si="11"/>
        <v>9536.7187999999987</v>
      </c>
      <c r="DS64" s="14" t="s">
        <v>71</v>
      </c>
      <c r="DT64" s="14" t="s">
        <v>92</v>
      </c>
      <c r="DU64" s="14" t="s">
        <v>62</v>
      </c>
      <c r="DV64" s="14" t="s">
        <v>82</v>
      </c>
      <c r="DW64" s="14" t="s">
        <v>74</v>
      </c>
    </row>
    <row r="65" spans="2:127" x14ac:dyDescent="0.3">
      <c r="B65" s="11" t="s">
        <v>65</v>
      </c>
      <c r="C65" s="12">
        <v>5001341891</v>
      </c>
      <c r="D65" s="11" t="s">
        <v>286</v>
      </c>
      <c r="E65" s="11" t="s">
        <v>55</v>
      </c>
      <c r="F65" s="11" t="s">
        <v>287</v>
      </c>
      <c r="G65" s="11" t="s">
        <v>260</v>
      </c>
      <c r="H65" s="11" t="s">
        <v>216</v>
      </c>
      <c r="I65" s="11">
        <v>43202</v>
      </c>
      <c r="J65" s="11" t="s">
        <v>80</v>
      </c>
      <c r="K65" s="11"/>
      <c r="L65" s="11"/>
      <c r="M65" s="11"/>
      <c r="N65" s="11"/>
      <c r="O65" s="13">
        <v>1308</v>
      </c>
      <c r="P65" s="13">
        <v>1308</v>
      </c>
      <c r="Q65" s="13">
        <v>0</v>
      </c>
      <c r="R65" s="13">
        <v>35557.232799999998</v>
      </c>
      <c r="S65" s="13">
        <v>1342.7139999999999</v>
      </c>
      <c r="T65" s="13">
        <v>34214.518799999998</v>
      </c>
      <c r="U65" s="13">
        <v>112</v>
      </c>
      <c r="V65" s="13">
        <v>112</v>
      </c>
      <c r="W65" s="13">
        <v>0</v>
      </c>
      <c r="X65" s="13">
        <v>2000.4637</v>
      </c>
      <c r="Y65" s="13">
        <v>112</v>
      </c>
      <c r="Z65" s="13">
        <v>1888.4637</v>
      </c>
      <c r="AA65" s="13">
        <v>124</v>
      </c>
      <c r="AB65" s="13">
        <v>124</v>
      </c>
      <c r="AC65" s="13">
        <v>0</v>
      </c>
      <c r="AD65" s="13">
        <v>2446.3938000000003</v>
      </c>
      <c r="AE65" s="13">
        <v>125.9286</v>
      </c>
      <c r="AF65" s="13">
        <v>2320.4652000000001</v>
      </c>
      <c r="AG65" s="13">
        <v>56</v>
      </c>
      <c r="AH65" s="13">
        <v>56</v>
      </c>
      <c r="AI65" s="13">
        <v>0</v>
      </c>
      <c r="AJ65" s="13">
        <v>2035.8780999999999</v>
      </c>
      <c r="AK65" s="13">
        <v>73.356999999999999</v>
      </c>
      <c r="AL65" s="13">
        <v>1962.5210999999999</v>
      </c>
      <c r="AM65" s="13">
        <v>146</v>
      </c>
      <c r="AN65" s="13">
        <v>146</v>
      </c>
      <c r="AO65" s="13">
        <v>0</v>
      </c>
      <c r="AP65" s="13">
        <v>1972.7492</v>
      </c>
      <c r="AQ65" s="13">
        <v>146</v>
      </c>
      <c r="AR65" s="13">
        <v>1826.7492</v>
      </c>
      <c r="AS65" s="13">
        <v>103</v>
      </c>
      <c r="AT65" s="13">
        <v>103</v>
      </c>
      <c r="AU65" s="13">
        <v>0</v>
      </c>
      <c r="AV65" s="13">
        <v>2793.7521999999999</v>
      </c>
      <c r="AW65" s="13">
        <v>103</v>
      </c>
      <c r="AX65" s="13">
        <v>2690.7521999999999</v>
      </c>
      <c r="AY65" s="13">
        <v>124</v>
      </c>
      <c r="AZ65" s="13">
        <v>124</v>
      </c>
      <c r="BA65" s="13">
        <v>0</v>
      </c>
      <c r="BB65" s="13">
        <v>2521.6081000000004</v>
      </c>
      <c r="BC65" s="13">
        <v>139.42840000000001</v>
      </c>
      <c r="BD65" s="13">
        <v>2382.1797000000001</v>
      </c>
      <c r="BE65" s="13">
        <v>116</v>
      </c>
      <c r="BF65" s="13">
        <v>116</v>
      </c>
      <c r="BG65" s="13">
        <v>0</v>
      </c>
      <c r="BH65" s="13">
        <v>2535.2084</v>
      </c>
      <c r="BI65" s="13">
        <v>116</v>
      </c>
      <c r="BJ65" s="13">
        <v>2419.2084</v>
      </c>
      <c r="BK65" s="13">
        <v>142</v>
      </c>
      <c r="BL65" s="13">
        <v>142</v>
      </c>
      <c r="BM65" s="13">
        <v>0</v>
      </c>
      <c r="BN65" s="13">
        <v>3585.6691000000001</v>
      </c>
      <c r="BO65" s="13">
        <v>142</v>
      </c>
      <c r="BP65" s="13">
        <v>3443.6691000000001</v>
      </c>
      <c r="BQ65" s="13">
        <v>48</v>
      </c>
      <c r="BR65" s="13">
        <v>48</v>
      </c>
      <c r="BS65" s="13">
        <v>0</v>
      </c>
      <c r="BT65" s="13">
        <v>3084.3534</v>
      </c>
      <c r="BU65" s="13">
        <v>48</v>
      </c>
      <c r="BV65" s="13">
        <v>3036.3534</v>
      </c>
      <c r="BW65" s="13">
        <v>87</v>
      </c>
      <c r="BX65" s="13">
        <v>87</v>
      </c>
      <c r="BY65" s="13">
        <v>0</v>
      </c>
      <c r="BZ65" s="13">
        <v>2604.9515999999999</v>
      </c>
      <c r="CA65" s="13">
        <v>87</v>
      </c>
      <c r="CB65" s="13">
        <v>2517.9515999999999</v>
      </c>
      <c r="CC65" s="13">
        <v>89</v>
      </c>
      <c r="CD65" s="13">
        <v>89</v>
      </c>
      <c r="CE65" s="13">
        <v>0</v>
      </c>
      <c r="CF65" s="13">
        <v>3715.1125000000002</v>
      </c>
      <c r="CG65" s="13">
        <v>98.642799999999994</v>
      </c>
      <c r="CH65" s="13">
        <v>3616.4697000000001</v>
      </c>
      <c r="CI65" s="13">
        <v>80</v>
      </c>
      <c r="CJ65" s="13">
        <v>80</v>
      </c>
      <c r="CK65" s="13">
        <v>0</v>
      </c>
      <c r="CL65" s="13">
        <v>3254.8253999999997</v>
      </c>
      <c r="CM65" s="13">
        <v>70.357200000000006</v>
      </c>
      <c r="CN65" s="13">
        <v>3184.4681999999998</v>
      </c>
      <c r="CO65" s="13">
        <v>81</v>
      </c>
      <c r="CP65" s="13">
        <v>81</v>
      </c>
      <c r="CQ65" s="13">
        <v>0</v>
      </c>
      <c r="CR65" s="13">
        <v>3006.2673</v>
      </c>
      <c r="CS65" s="13">
        <v>81</v>
      </c>
      <c r="CT65" s="13">
        <v>2925.2673</v>
      </c>
      <c r="CU65" s="13">
        <f t="shared" si="8"/>
        <v>1196</v>
      </c>
      <c r="CV65" s="13">
        <f t="shared" si="8"/>
        <v>1196</v>
      </c>
      <c r="CW65" s="13">
        <f t="shared" si="8"/>
        <v>0</v>
      </c>
      <c r="CX65" s="13">
        <f t="shared" si="8"/>
        <v>33556.769099999998</v>
      </c>
      <c r="CY65" s="13">
        <f t="shared" si="8"/>
        <v>1230.7139999999999</v>
      </c>
      <c r="CZ65" s="13">
        <f t="shared" si="8"/>
        <v>32326.055100000001</v>
      </c>
      <c r="DA65" s="13">
        <f t="shared" si="9"/>
        <v>250</v>
      </c>
      <c r="DB65" s="13">
        <f t="shared" si="9"/>
        <v>250</v>
      </c>
      <c r="DC65" s="13">
        <f t="shared" si="9"/>
        <v>0</v>
      </c>
      <c r="DD65" s="13">
        <f t="shared" si="9"/>
        <v>9976.2052000000003</v>
      </c>
      <c r="DE65" s="13">
        <f t="shared" si="9"/>
        <v>250</v>
      </c>
      <c r="DF65" s="13">
        <f t="shared" si="9"/>
        <v>9726.2052000000003</v>
      </c>
      <c r="DG65" s="13">
        <f t="shared" si="10"/>
        <v>277</v>
      </c>
      <c r="DH65" s="13">
        <f t="shared" si="10"/>
        <v>277</v>
      </c>
      <c r="DI65" s="13">
        <f t="shared" si="10"/>
        <v>0</v>
      </c>
      <c r="DJ65" s="13">
        <f t="shared" si="10"/>
        <v>9274.9740999999995</v>
      </c>
      <c r="DK65" s="13">
        <f t="shared" si="10"/>
        <v>277</v>
      </c>
      <c r="DL65" s="13">
        <f t="shared" si="10"/>
        <v>8997.9740999999995</v>
      </c>
      <c r="DM65" s="13">
        <f t="shared" si="11"/>
        <v>161</v>
      </c>
      <c r="DN65" s="13">
        <f t="shared" si="11"/>
        <v>161</v>
      </c>
      <c r="DO65" s="13">
        <f t="shared" si="11"/>
        <v>0</v>
      </c>
      <c r="DP65" s="13">
        <f t="shared" si="11"/>
        <v>6261.0926999999992</v>
      </c>
      <c r="DQ65" s="13">
        <f t="shared" si="11"/>
        <v>151.35720000000001</v>
      </c>
      <c r="DR65" s="13">
        <f t="shared" si="11"/>
        <v>6109.7354999999998</v>
      </c>
      <c r="DS65" s="14" t="s">
        <v>71</v>
      </c>
      <c r="DT65" s="14" t="s">
        <v>81</v>
      </c>
      <c r="DU65" s="14" t="s">
        <v>73</v>
      </c>
      <c r="DV65" s="14" t="s">
        <v>82</v>
      </c>
      <c r="DW65" s="14" t="s">
        <v>64</v>
      </c>
    </row>
    <row r="66" spans="2:127" x14ac:dyDescent="0.3">
      <c r="B66" s="11" t="s">
        <v>65</v>
      </c>
      <c r="C66" s="12">
        <v>5001341900</v>
      </c>
      <c r="D66" s="11" t="s">
        <v>288</v>
      </c>
      <c r="E66" s="11" t="s">
        <v>55</v>
      </c>
      <c r="F66" s="11" t="s">
        <v>289</v>
      </c>
      <c r="G66" s="11" t="s">
        <v>290</v>
      </c>
      <c r="H66" s="11" t="s">
        <v>291</v>
      </c>
      <c r="I66" s="11">
        <v>2199</v>
      </c>
      <c r="J66" s="11" t="s">
        <v>59</v>
      </c>
      <c r="K66" s="11"/>
      <c r="L66" s="11"/>
      <c r="M66" s="11"/>
      <c r="N66" s="11"/>
      <c r="O66" s="13">
        <v>9172</v>
      </c>
      <c r="P66" s="13">
        <v>9148</v>
      </c>
      <c r="Q66" s="13">
        <v>24</v>
      </c>
      <c r="R66" s="13">
        <v>153884.78</v>
      </c>
      <c r="S66" s="13">
        <v>9757.4225000000006</v>
      </c>
      <c r="T66" s="13">
        <v>144127.35750000001</v>
      </c>
      <c r="U66" s="13">
        <v>565</v>
      </c>
      <c r="V66" s="13">
        <v>565</v>
      </c>
      <c r="W66" s="13">
        <v>0</v>
      </c>
      <c r="X66" s="13">
        <v>11439.0949</v>
      </c>
      <c r="Y66" s="13">
        <v>565</v>
      </c>
      <c r="Z66" s="13">
        <v>10874.0949</v>
      </c>
      <c r="AA66" s="13">
        <v>710</v>
      </c>
      <c r="AB66" s="13">
        <v>710</v>
      </c>
      <c r="AC66" s="13">
        <v>0</v>
      </c>
      <c r="AD66" s="13">
        <v>11909.0605</v>
      </c>
      <c r="AE66" s="13">
        <v>726.3931</v>
      </c>
      <c r="AF66" s="13">
        <v>11182.6674</v>
      </c>
      <c r="AG66" s="13">
        <v>670</v>
      </c>
      <c r="AH66" s="13">
        <v>670</v>
      </c>
      <c r="AI66" s="13">
        <v>0</v>
      </c>
      <c r="AJ66" s="13">
        <v>10236.326300000001</v>
      </c>
      <c r="AK66" s="13">
        <v>645.89300000000003</v>
      </c>
      <c r="AL66" s="13">
        <v>9590.4333000000006</v>
      </c>
      <c r="AM66" s="13">
        <v>577</v>
      </c>
      <c r="AN66" s="13">
        <v>577</v>
      </c>
      <c r="AO66" s="13">
        <v>0</v>
      </c>
      <c r="AP66" s="13">
        <v>10870.9786</v>
      </c>
      <c r="AQ66" s="13">
        <v>577</v>
      </c>
      <c r="AR66" s="13">
        <v>10293.9786</v>
      </c>
      <c r="AS66" s="13">
        <v>778</v>
      </c>
      <c r="AT66" s="13">
        <v>778</v>
      </c>
      <c r="AU66" s="13">
        <v>0</v>
      </c>
      <c r="AV66" s="13">
        <v>13500.441700000001</v>
      </c>
      <c r="AW66" s="13">
        <v>947.7124</v>
      </c>
      <c r="AX66" s="13">
        <v>12552.729300000001</v>
      </c>
      <c r="AY66" s="13">
        <v>650</v>
      </c>
      <c r="AZ66" s="13">
        <v>650</v>
      </c>
      <c r="BA66" s="13">
        <v>0</v>
      </c>
      <c r="BB66" s="13">
        <v>10070.7186</v>
      </c>
      <c r="BC66" s="13">
        <v>665.42880000000002</v>
      </c>
      <c r="BD66" s="13">
        <v>9405.2898000000005</v>
      </c>
      <c r="BE66" s="13">
        <v>780</v>
      </c>
      <c r="BF66" s="13">
        <v>780</v>
      </c>
      <c r="BG66" s="13">
        <v>0</v>
      </c>
      <c r="BH66" s="13">
        <v>9691.5738000000001</v>
      </c>
      <c r="BI66" s="13">
        <v>780</v>
      </c>
      <c r="BJ66" s="13">
        <v>8911.5738000000001</v>
      </c>
      <c r="BK66" s="13">
        <v>782</v>
      </c>
      <c r="BL66" s="13">
        <v>782</v>
      </c>
      <c r="BM66" s="13">
        <v>0</v>
      </c>
      <c r="BN66" s="13">
        <v>13266.0695</v>
      </c>
      <c r="BO66" s="13">
        <v>947.85529999999994</v>
      </c>
      <c r="BP66" s="13">
        <v>12318.2142</v>
      </c>
      <c r="BQ66" s="13">
        <v>749</v>
      </c>
      <c r="BR66" s="13">
        <v>749</v>
      </c>
      <c r="BS66" s="13">
        <v>0</v>
      </c>
      <c r="BT66" s="13">
        <v>11252.8079</v>
      </c>
      <c r="BU66" s="13">
        <v>749</v>
      </c>
      <c r="BV66" s="13">
        <v>10503.8079</v>
      </c>
      <c r="BW66" s="13">
        <v>686</v>
      </c>
      <c r="BX66" s="13">
        <v>686</v>
      </c>
      <c r="BY66" s="13">
        <v>0</v>
      </c>
      <c r="BZ66" s="13">
        <v>11720.552600000001</v>
      </c>
      <c r="CA66" s="13">
        <v>686</v>
      </c>
      <c r="CB66" s="13">
        <v>11034.552600000001</v>
      </c>
      <c r="CC66" s="13">
        <v>830</v>
      </c>
      <c r="CD66" s="13">
        <v>830</v>
      </c>
      <c r="CE66" s="13">
        <v>0</v>
      </c>
      <c r="CF66" s="13">
        <v>16330.3649</v>
      </c>
      <c r="CG66" s="13">
        <v>1049.8547000000001</v>
      </c>
      <c r="CH66" s="13">
        <v>15280.510200000001</v>
      </c>
      <c r="CI66" s="13">
        <v>702</v>
      </c>
      <c r="CJ66" s="13">
        <v>678</v>
      </c>
      <c r="CK66" s="13">
        <v>24</v>
      </c>
      <c r="CL66" s="13">
        <v>11265.9792</v>
      </c>
      <c r="CM66" s="13">
        <v>701.14260000000002</v>
      </c>
      <c r="CN66" s="13">
        <v>10564.836600000001</v>
      </c>
      <c r="CO66" s="13">
        <v>693</v>
      </c>
      <c r="CP66" s="13">
        <v>693</v>
      </c>
      <c r="CQ66" s="13">
        <v>0</v>
      </c>
      <c r="CR66" s="13">
        <v>12330.8115</v>
      </c>
      <c r="CS66" s="13">
        <v>716.14260000000002</v>
      </c>
      <c r="CT66" s="13">
        <v>11614.668900000001</v>
      </c>
      <c r="CU66" s="13">
        <f t="shared" si="8"/>
        <v>8607</v>
      </c>
      <c r="CV66" s="13">
        <f t="shared" si="8"/>
        <v>8583</v>
      </c>
      <c r="CW66" s="13">
        <f t="shared" si="8"/>
        <v>24</v>
      </c>
      <c r="CX66" s="13">
        <f t="shared" si="8"/>
        <v>142445.6851</v>
      </c>
      <c r="CY66" s="13">
        <f t="shared" si="8"/>
        <v>9192.4224999999988</v>
      </c>
      <c r="CZ66" s="13">
        <f t="shared" si="8"/>
        <v>133253.26259999999</v>
      </c>
      <c r="DA66" s="13">
        <f t="shared" si="9"/>
        <v>2225</v>
      </c>
      <c r="DB66" s="13">
        <f t="shared" si="9"/>
        <v>2201</v>
      </c>
      <c r="DC66" s="13">
        <f t="shared" si="9"/>
        <v>24</v>
      </c>
      <c r="DD66" s="13">
        <f t="shared" si="9"/>
        <v>39927.155599999998</v>
      </c>
      <c r="DE66" s="13">
        <f t="shared" si="9"/>
        <v>2467.1399000000001</v>
      </c>
      <c r="DF66" s="13">
        <f t="shared" si="9"/>
        <v>37460.015700000004</v>
      </c>
      <c r="DG66" s="13">
        <f t="shared" si="10"/>
        <v>2217</v>
      </c>
      <c r="DH66" s="13">
        <f t="shared" si="10"/>
        <v>2217</v>
      </c>
      <c r="DI66" s="13">
        <f t="shared" si="10"/>
        <v>0</v>
      </c>
      <c r="DJ66" s="13">
        <f t="shared" si="10"/>
        <v>36239.43</v>
      </c>
      <c r="DK66" s="13">
        <f t="shared" si="10"/>
        <v>2382.8553000000002</v>
      </c>
      <c r="DL66" s="13">
        <f t="shared" si="10"/>
        <v>33856.574700000005</v>
      </c>
      <c r="DM66" s="13">
        <f t="shared" si="11"/>
        <v>1395</v>
      </c>
      <c r="DN66" s="13">
        <f t="shared" si="11"/>
        <v>1371</v>
      </c>
      <c r="DO66" s="13">
        <f t="shared" si="11"/>
        <v>24</v>
      </c>
      <c r="DP66" s="13">
        <f t="shared" si="11"/>
        <v>23596.790699999998</v>
      </c>
      <c r="DQ66" s="13">
        <f t="shared" si="11"/>
        <v>1417.2852</v>
      </c>
      <c r="DR66" s="13">
        <f t="shared" si="11"/>
        <v>22179.505499999999</v>
      </c>
      <c r="DS66" s="14" t="s">
        <v>81</v>
      </c>
      <c r="DT66" s="14" t="s">
        <v>61</v>
      </c>
      <c r="DU66" s="14" t="s">
        <v>73</v>
      </c>
      <c r="DV66" s="14" t="s">
        <v>63</v>
      </c>
      <c r="DW66" s="14" t="s">
        <v>292</v>
      </c>
    </row>
    <row r="67" spans="2:127" x14ac:dyDescent="0.3">
      <c r="B67" s="11" t="s">
        <v>83</v>
      </c>
      <c r="C67" s="12">
        <v>5001341915</v>
      </c>
      <c r="D67" s="11" t="s">
        <v>293</v>
      </c>
      <c r="E67" s="11" t="s">
        <v>55</v>
      </c>
      <c r="F67" s="11" t="s">
        <v>294</v>
      </c>
      <c r="G67" s="11" t="s">
        <v>295</v>
      </c>
      <c r="H67" s="11" t="s">
        <v>296</v>
      </c>
      <c r="I67" s="11">
        <v>60612</v>
      </c>
      <c r="J67" s="11" t="s">
        <v>80</v>
      </c>
      <c r="K67" s="11"/>
      <c r="L67" s="11"/>
      <c r="M67" s="11"/>
      <c r="N67" s="11"/>
      <c r="O67" s="13">
        <v>152</v>
      </c>
      <c r="P67" s="13">
        <v>152</v>
      </c>
      <c r="Q67" s="13">
        <v>0</v>
      </c>
      <c r="R67" s="13">
        <v>35951.034099999997</v>
      </c>
      <c r="S67" s="13">
        <v>514.56819999999993</v>
      </c>
      <c r="T67" s="13">
        <v>35436.465900000003</v>
      </c>
      <c r="U67" s="13">
        <v>14</v>
      </c>
      <c r="V67" s="13">
        <v>14</v>
      </c>
      <c r="W67" s="13">
        <v>0</v>
      </c>
      <c r="X67" s="13">
        <v>2101.2997999999998</v>
      </c>
      <c r="Y67" s="13">
        <v>40.035499999999999</v>
      </c>
      <c r="Z67" s="13">
        <v>2061.2642999999998</v>
      </c>
      <c r="AA67" s="13">
        <v>0</v>
      </c>
      <c r="AB67" s="13">
        <v>0</v>
      </c>
      <c r="AC67" s="13">
        <v>0</v>
      </c>
      <c r="AD67" s="13">
        <v>2753.8164000000002</v>
      </c>
      <c r="AE67" s="13">
        <v>26.035499999999999</v>
      </c>
      <c r="AF67" s="13">
        <v>2727.7809000000002</v>
      </c>
      <c r="AG67" s="13">
        <v>0</v>
      </c>
      <c r="AH67" s="13">
        <v>0</v>
      </c>
      <c r="AI67" s="13">
        <v>0</v>
      </c>
      <c r="AJ67" s="13">
        <v>2568.6729</v>
      </c>
      <c r="AK67" s="13">
        <v>26.035499999999999</v>
      </c>
      <c r="AL67" s="13">
        <v>2542.6374000000001</v>
      </c>
      <c r="AM67" s="13">
        <v>1</v>
      </c>
      <c r="AN67" s="13">
        <v>1</v>
      </c>
      <c r="AO67" s="13">
        <v>0</v>
      </c>
      <c r="AP67" s="13">
        <v>2507.9584</v>
      </c>
      <c r="AQ67" s="13">
        <v>27.035499999999999</v>
      </c>
      <c r="AR67" s="13">
        <v>2480.9229</v>
      </c>
      <c r="AS67" s="13">
        <v>32</v>
      </c>
      <c r="AT67" s="13">
        <v>32</v>
      </c>
      <c r="AU67" s="13">
        <v>0</v>
      </c>
      <c r="AV67" s="13">
        <v>3045.0173</v>
      </c>
      <c r="AW67" s="13">
        <v>58.035499999999999</v>
      </c>
      <c r="AX67" s="13">
        <v>2986.9818</v>
      </c>
      <c r="AY67" s="13">
        <v>16</v>
      </c>
      <c r="AZ67" s="13">
        <v>16</v>
      </c>
      <c r="BA67" s="13">
        <v>0</v>
      </c>
      <c r="BB67" s="13">
        <v>2328.5575000000003</v>
      </c>
      <c r="BC67" s="13">
        <v>57.463900000000002</v>
      </c>
      <c r="BD67" s="13">
        <v>2271.0936000000002</v>
      </c>
      <c r="BE67" s="13">
        <v>9</v>
      </c>
      <c r="BF67" s="13">
        <v>9</v>
      </c>
      <c r="BG67" s="13">
        <v>0</v>
      </c>
      <c r="BH67" s="13">
        <v>2441.9009999999998</v>
      </c>
      <c r="BI67" s="13">
        <v>35.035499999999999</v>
      </c>
      <c r="BJ67" s="13">
        <v>2406.8654999999999</v>
      </c>
      <c r="BK67" s="13">
        <v>15</v>
      </c>
      <c r="BL67" s="13">
        <v>15</v>
      </c>
      <c r="BM67" s="13">
        <v>0</v>
      </c>
      <c r="BN67" s="13">
        <v>3410.6471999999999</v>
      </c>
      <c r="BO67" s="13">
        <v>41.035499999999999</v>
      </c>
      <c r="BP67" s="13">
        <v>3369.6116999999999</v>
      </c>
      <c r="BQ67" s="13">
        <v>16</v>
      </c>
      <c r="BR67" s="13">
        <v>16</v>
      </c>
      <c r="BS67" s="13">
        <v>0</v>
      </c>
      <c r="BT67" s="13">
        <v>2843.8737999999998</v>
      </c>
      <c r="BU67" s="13">
        <v>42.035499999999999</v>
      </c>
      <c r="BV67" s="13">
        <v>2801.8382999999999</v>
      </c>
      <c r="BW67" s="13">
        <v>17</v>
      </c>
      <c r="BX67" s="13">
        <v>17</v>
      </c>
      <c r="BY67" s="13">
        <v>0</v>
      </c>
      <c r="BZ67" s="13">
        <v>2647.3874000000001</v>
      </c>
      <c r="CA67" s="13">
        <v>43.035499999999999</v>
      </c>
      <c r="CB67" s="13">
        <v>2604.3519000000001</v>
      </c>
      <c r="CC67" s="13">
        <v>16</v>
      </c>
      <c r="CD67" s="13">
        <v>16</v>
      </c>
      <c r="CE67" s="13">
        <v>0</v>
      </c>
      <c r="CF67" s="13">
        <v>3449.6401000000001</v>
      </c>
      <c r="CG67" s="13">
        <v>42.999700000000004</v>
      </c>
      <c r="CH67" s="13">
        <v>3406.6404000000002</v>
      </c>
      <c r="CI67" s="13">
        <v>8</v>
      </c>
      <c r="CJ67" s="13">
        <v>8</v>
      </c>
      <c r="CK67" s="13">
        <v>0</v>
      </c>
      <c r="CL67" s="13">
        <v>2775.1234999999997</v>
      </c>
      <c r="CM67" s="13">
        <v>34.999700000000004</v>
      </c>
      <c r="CN67" s="13">
        <v>2740.1237999999998</v>
      </c>
      <c r="CO67" s="13">
        <v>8</v>
      </c>
      <c r="CP67" s="13">
        <v>8</v>
      </c>
      <c r="CQ67" s="13">
        <v>0</v>
      </c>
      <c r="CR67" s="13">
        <v>3077.1388000000002</v>
      </c>
      <c r="CS67" s="13">
        <v>40.785400000000003</v>
      </c>
      <c r="CT67" s="13">
        <v>3036.3534</v>
      </c>
      <c r="CU67" s="13">
        <f t="shared" si="8"/>
        <v>138</v>
      </c>
      <c r="CV67" s="13">
        <f t="shared" si="8"/>
        <v>138</v>
      </c>
      <c r="CW67" s="13">
        <f t="shared" si="8"/>
        <v>0</v>
      </c>
      <c r="CX67" s="13">
        <f t="shared" si="8"/>
        <v>33849.734300000004</v>
      </c>
      <c r="CY67" s="13">
        <f t="shared" si="8"/>
        <v>474.53270000000003</v>
      </c>
      <c r="CZ67" s="13">
        <f t="shared" si="8"/>
        <v>33375.2016</v>
      </c>
      <c r="DA67" s="13">
        <f t="shared" si="9"/>
        <v>32</v>
      </c>
      <c r="DB67" s="13">
        <f t="shared" si="9"/>
        <v>32</v>
      </c>
      <c r="DC67" s="13">
        <f t="shared" si="9"/>
        <v>0</v>
      </c>
      <c r="DD67" s="13">
        <f t="shared" si="9"/>
        <v>9301.9024000000009</v>
      </c>
      <c r="DE67" s="13">
        <f t="shared" si="9"/>
        <v>118.78480000000002</v>
      </c>
      <c r="DF67" s="13">
        <f t="shared" si="9"/>
        <v>9183.1175999999996</v>
      </c>
      <c r="DG67" s="13">
        <f t="shared" si="10"/>
        <v>48</v>
      </c>
      <c r="DH67" s="13">
        <f t="shared" si="10"/>
        <v>48</v>
      </c>
      <c r="DI67" s="13">
        <f t="shared" si="10"/>
        <v>0</v>
      </c>
      <c r="DJ67" s="13">
        <f t="shared" si="10"/>
        <v>8901.9084000000003</v>
      </c>
      <c r="DK67" s="13">
        <f t="shared" si="10"/>
        <v>126.1065</v>
      </c>
      <c r="DL67" s="13">
        <f t="shared" si="10"/>
        <v>8775.8019000000004</v>
      </c>
      <c r="DM67" s="13">
        <f t="shared" si="11"/>
        <v>16</v>
      </c>
      <c r="DN67" s="13">
        <f t="shared" si="11"/>
        <v>16</v>
      </c>
      <c r="DO67" s="13">
        <f t="shared" si="11"/>
        <v>0</v>
      </c>
      <c r="DP67" s="13">
        <f t="shared" si="11"/>
        <v>5852.2623000000003</v>
      </c>
      <c r="DQ67" s="13">
        <f t="shared" si="11"/>
        <v>75.7851</v>
      </c>
      <c r="DR67" s="13">
        <f t="shared" si="11"/>
        <v>5776.4771999999994</v>
      </c>
      <c r="DS67" s="14" t="s">
        <v>60</v>
      </c>
      <c r="DT67" s="14" t="s">
        <v>81</v>
      </c>
      <c r="DU67" s="14" t="s">
        <v>73</v>
      </c>
      <c r="DV67" s="14" t="s">
        <v>82</v>
      </c>
      <c r="DW67" s="14" t="s">
        <v>126</v>
      </c>
    </row>
    <row r="68" spans="2:127" x14ac:dyDescent="0.3">
      <c r="B68" s="11" t="s">
        <v>53</v>
      </c>
      <c r="C68" s="12">
        <v>5001341945</v>
      </c>
      <c r="D68" s="11" t="s">
        <v>297</v>
      </c>
      <c r="E68" s="11" t="s">
        <v>55</v>
      </c>
      <c r="F68" s="11" t="s">
        <v>298</v>
      </c>
      <c r="G68" s="11" t="s">
        <v>242</v>
      </c>
      <c r="H68" s="11" t="s">
        <v>243</v>
      </c>
      <c r="I68" s="11">
        <v>84111</v>
      </c>
      <c r="J68" s="11" t="s">
        <v>80</v>
      </c>
      <c r="K68" s="11"/>
      <c r="L68" s="11"/>
      <c r="M68" s="11"/>
      <c r="N68" s="11"/>
      <c r="O68" s="13">
        <v>633</v>
      </c>
      <c r="P68" s="13">
        <v>633</v>
      </c>
      <c r="Q68" s="13">
        <v>0</v>
      </c>
      <c r="R68" s="13">
        <v>61167.584600000002</v>
      </c>
      <c r="S68" s="13">
        <v>1637.7779</v>
      </c>
      <c r="T68" s="13">
        <v>59529.806700000001</v>
      </c>
      <c r="U68" s="13">
        <v>52</v>
      </c>
      <c r="V68" s="13">
        <v>52</v>
      </c>
      <c r="W68" s="13">
        <v>0</v>
      </c>
      <c r="X68" s="13">
        <v>3343.5029999999997</v>
      </c>
      <c r="Y68" s="13">
        <v>159.03480000000002</v>
      </c>
      <c r="Z68" s="13">
        <v>3184.4681999999998</v>
      </c>
      <c r="AA68" s="13">
        <v>52</v>
      </c>
      <c r="AB68" s="13">
        <v>52</v>
      </c>
      <c r="AC68" s="13">
        <v>0</v>
      </c>
      <c r="AD68" s="13">
        <v>5987.0047999999997</v>
      </c>
      <c r="AE68" s="13">
        <v>173.49889999999999</v>
      </c>
      <c r="AF68" s="13">
        <v>5813.5059000000001</v>
      </c>
      <c r="AG68" s="13">
        <v>39</v>
      </c>
      <c r="AH68" s="13">
        <v>39</v>
      </c>
      <c r="AI68" s="13">
        <v>0</v>
      </c>
      <c r="AJ68" s="13">
        <v>4272.8068000000003</v>
      </c>
      <c r="AK68" s="13">
        <v>113.2495</v>
      </c>
      <c r="AL68" s="13">
        <v>4159.5573000000004</v>
      </c>
      <c r="AM68" s="13">
        <v>18</v>
      </c>
      <c r="AN68" s="13">
        <v>18</v>
      </c>
      <c r="AO68" s="13">
        <v>0</v>
      </c>
      <c r="AP68" s="13">
        <v>3878.8197</v>
      </c>
      <c r="AQ68" s="13">
        <v>101.89230000000001</v>
      </c>
      <c r="AR68" s="13">
        <v>3776.9274</v>
      </c>
      <c r="AS68" s="13">
        <v>49</v>
      </c>
      <c r="AT68" s="13">
        <v>49</v>
      </c>
      <c r="AU68" s="13">
        <v>0</v>
      </c>
      <c r="AV68" s="13">
        <v>5363.9669999999996</v>
      </c>
      <c r="AW68" s="13">
        <v>167.6061</v>
      </c>
      <c r="AX68" s="13">
        <v>5196.3608999999997</v>
      </c>
      <c r="AY68" s="13">
        <v>53</v>
      </c>
      <c r="AZ68" s="13">
        <v>53</v>
      </c>
      <c r="BA68" s="13">
        <v>0</v>
      </c>
      <c r="BB68" s="13">
        <v>3448.261</v>
      </c>
      <c r="BC68" s="13">
        <v>115.678</v>
      </c>
      <c r="BD68" s="13">
        <v>3332.5830000000001</v>
      </c>
      <c r="BE68" s="13">
        <v>46</v>
      </c>
      <c r="BF68" s="13">
        <v>46</v>
      </c>
      <c r="BG68" s="13">
        <v>0</v>
      </c>
      <c r="BH68" s="13">
        <v>4776.9943999999996</v>
      </c>
      <c r="BI68" s="13">
        <v>99.035300000000007</v>
      </c>
      <c r="BJ68" s="13">
        <v>4677.9591</v>
      </c>
      <c r="BK68" s="13">
        <v>72</v>
      </c>
      <c r="BL68" s="13">
        <v>72</v>
      </c>
      <c r="BM68" s="13">
        <v>0</v>
      </c>
      <c r="BN68" s="13">
        <v>5980.5839000000005</v>
      </c>
      <c r="BO68" s="13">
        <v>142.3922</v>
      </c>
      <c r="BP68" s="13">
        <v>5838.1917000000003</v>
      </c>
      <c r="BQ68" s="13">
        <v>80</v>
      </c>
      <c r="BR68" s="13">
        <v>80</v>
      </c>
      <c r="BS68" s="13">
        <v>0</v>
      </c>
      <c r="BT68" s="13">
        <v>4764.5156999999999</v>
      </c>
      <c r="BU68" s="13">
        <v>135.9282</v>
      </c>
      <c r="BV68" s="13">
        <v>4628.5874999999996</v>
      </c>
      <c r="BW68" s="13">
        <v>28</v>
      </c>
      <c r="BX68" s="13">
        <v>28</v>
      </c>
      <c r="BY68" s="13">
        <v>0</v>
      </c>
      <c r="BZ68" s="13">
        <v>4917.9088999999994</v>
      </c>
      <c r="CA68" s="13">
        <v>104.17789999999999</v>
      </c>
      <c r="CB68" s="13">
        <v>4813.7309999999998</v>
      </c>
      <c r="CC68" s="13">
        <v>53</v>
      </c>
      <c r="CD68" s="13">
        <v>53</v>
      </c>
      <c r="CE68" s="13">
        <v>0</v>
      </c>
      <c r="CF68" s="13">
        <v>5317.6320999999998</v>
      </c>
      <c r="CG68" s="13">
        <v>108.92830000000001</v>
      </c>
      <c r="CH68" s="13">
        <v>5208.7038000000002</v>
      </c>
      <c r="CI68" s="13">
        <v>44</v>
      </c>
      <c r="CJ68" s="13">
        <v>44</v>
      </c>
      <c r="CK68" s="13">
        <v>0</v>
      </c>
      <c r="CL68" s="13">
        <v>4538.7435999999998</v>
      </c>
      <c r="CM68" s="13">
        <v>107.6425</v>
      </c>
      <c r="CN68" s="13">
        <v>4431.1010999999999</v>
      </c>
      <c r="CO68" s="13">
        <v>47</v>
      </c>
      <c r="CP68" s="13">
        <v>47</v>
      </c>
      <c r="CQ68" s="13">
        <v>0</v>
      </c>
      <c r="CR68" s="13">
        <v>4576.8436999999994</v>
      </c>
      <c r="CS68" s="13">
        <v>108.7139</v>
      </c>
      <c r="CT68" s="13">
        <v>4468.1297999999997</v>
      </c>
      <c r="CU68" s="13">
        <f t="shared" si="8"/>
        <v>581</v>
      </c>
      <c r="CV68" s="13">
        <f t="shared" si="8"/>
        <v>581</v>
      </c>
      <c r="CW68" s="13">
        <f t="shared" si="8"/>
        <v>0</v>
      </c>
      <c r="CX68" s="13">
        <f t="shared" si="8"/>
        <v>57824.081599999998</v>
      </c>
      <c r="CY68" s="13">
        <f t="shared" si="8"/>
        <v>1478.7430999999999</v>
      </c>
      <c r="CZ68" s="13">
        <f t="shared" si="8"/>
        <v>56345.338500000005</v>
      </c>
      <c r="DA68" s="13">
        <f t="shared" si="9"/>
        <v>144</v>
      </c>
      <c r="DB68" s="13">
        <f t="shared" si="9"/>
        <v>144</v>
      </c>
      <c r="DC68" s="13">
        <f t="shared" si="9"/>
        <v>0</v>
      </c>
      <c r="DD68" s="13">
        <f t="shared" si="9"/>
        <v>14433.2194</v>
      </c>
      <c r="DE68" s="13">
        <f t="shared" si="9"/>
        <v>325.28470000000004</v>
      </c>
      <c r="DF68" s="13">
        <f t="shared" si="9"/>
        <v>14107.934699999998</v>
      </c>
      <c r="DG68" s="13">
        <f t="shared" si="10"/>
        <v>180</v>
      </c>
      <c r="DH68" s="13">
        <f t="shared" si="10"/>
        <v>180</v>
      </c>
      <c r="DI68" s="13">
        <f t="shared" si="10"/>
        <v>0</v>
      </c>
      <c r="DJ68" s="13">
        <f t="shared" si="10"/>
        <v>15663.0085</v>
      </c>
      <c r="DK68" s="13">
        <f t="shared" si="10"/>
        <v>382.49829999999997</v>
      </c>
      <c r="DL68" s="13">
        <f t="shared" si="10"/>
        <v>15280.510200000001</v>
      </c>
      <c r="DM68" s="13">
        <f t="shared" si="11"/>
        <v>91</v>
      </c>
      <c r="DN68" s="13">
        <f t="shared" si="11"/>
        <v>91</v>
      </c>
      <c r="DO68" s="13">
        <f t="shared" si="11"/>
        <v>0</v>
      </c>
      <c r="DP68" s="13">
        <f t="shared" si="11"/>
        <v>9115.5872999999992</v>
      </c>
      <c r="DQ68" s="13">
        <f t="shared" si="11"/>
        <v>216.35640000000001</v>
      </c>
      <c r="DR68" s="13">
        <f t="shared" si="11"/>
        <v>8899.2308999999987</v>
      </c>
      <c r="DS68" s="14" t="s">
        <v>71</v>
      </c>
      <c r="DT68" s="14" t="s">
        <v>81</v>
      </c>
      <c r="DU68" s="14" t="s">
        <v>62</v>
      </c>
      <c r="DV68" s="14" t="s">
        <v>97</v>
      </c>
      <c r="DW68" s="14" t="s">
        <v>64</v>
      </c>
    </row>
    <row r="69" spans="2:127" x14ac:dyDescent="0.3">
      <c r="B69" s="11" t="s">
        <v>65</v>
      </c>
      <c r="C69" s="12">
        <v>5001341948</v>
      </c>
      <c r="D69" s="11" t="s">
        <v>299</v>
      </c>
      <c r="E69" s="11" t="s">
        <v>55</v>
      </c>
      <c r="F69" s="11" t="s">
        <v>300</v>
      </c>
      <c r="G69" s="11" t="s">
        <v>257</v>
      </c>
      <c r="H69" s="11" t="s">
        <v>239</v>
      </c>
      <c r="I69" s="11">
        <v>19107</v>
      </c>
      <c r="J69" s="11" t="s">
        <v>59</v>
      </c>
      <c r="K69" s="11"/>
      <c r="L69" s="11"/>
      <c r="M69" s="11"/>
      <c r="N69" s="11"/>
      <c r="O69" s="13">
        <v>760</v>
      </c>
      <c r="P69" s="13">
        <v>760</v>
      </c>
      <c r="Q69" s="13">
        <v>0</v>
      </c>
      <c r="R69" s="13">
        <v>51548.896099999998</v>
      </c>
      <c r="S69" s="13">
        <v>2226.6677</v>
      </c>
      <c r="T69" s="13">
        <v>49322.2284</v>
      </c>
      <c r="U69" s="13">
        <v>88</v>
      </c>
      <c r="V69" s="13">
        <v>88</v>
      </c>
      <c r="W69" s="13">
        <v>0</v>
      </c>
      <c r="X69" s="13">
        <v>3803.2114999999999</v>
      </c>
      <c r="Y69" s="13">
        <v>211.42759999999998</v>
      </c>
      <c r="Z69" s="13">
        <v>3591.7838999999999</v>
      </c>
      <c r="AA69" s="13">
        <v>20</v>
      </c>
      <c r="AB69" s="13">
        <v>20</v>
      </c>
      <c r="AC69" s="13">
        <v>0</v>
      </c>
      <c r="AD69" s="13">
        <v>4251.8775000000005</v>
      </c>
      <c r="AE69" s="13">
        <v>154.03469999999999</v>
      </c>
      <c r="AF69" s="13">
        <v>4097.8428000000004</v>
      </c>
      <c r="AG69" s="13">
        <v>68</v>
      </c>
      <c r="AH69" s="13">
        <v>68</v>
      </c>
      <c r="AI69" s="13">
        <v>0</v>
      </c>
      <c r="AJ69" s="13">
        <v>3328.6454000000003</v>
      </c>
      <c r="AK69" s="13">
        <v>205.89169999999999</v>
      </c>
      <c r="AL69" s="13">
        <v>3122.7537000000002</v>
      </c>
      <c r="AM69" s="13">
        <v>102</v>
      </c>
      <c r="AN69" s="13">
        <v>102</v>
      </c>
      <c r="AO69" s="13">
        <v>0</v>
      </c>
      <c r="AP69" s="13">
        <v>3431.1104999999998</v>
      </c>
      <c r="AQ69" s="13">
        <v>184.92779999999999</v>
      </c>
      <c r="AR69" s="13">
        <v>3246.1826999999998</v>
      </c>
      <c r="AS69" s="13">
        <v>77</v>
      </c>
      <c r="AT69" s="13">
        <v>77</v>
      </c>
      <c r="AU69" s="13">
        <v>0</v>
      </c>
      <c r="AV69" s="13">
        <v>4113.5132000000003</v>
      </c>
      <c r="AW69" s="13">
        <v>163.7852</v>
      </c>
      <c r="AX69" s="13">
        <v>3949.7280000000001</v>
      </c>
      <c r="AY69" s="13">
        <v>59</v>
      </c>
      <c r="AZ69" s="13">
        <v>59</v>
      </c>
      <c r="BA69" s="13">
        <v>0</v>
      </c>
      <c r="BB69" s="13">
        <v>3644.4187000000002</v>
      </c>
      <c r="BC69" s="13">
        <v>139.0351</v>
      </c>
      <c r="BD69" s="13">
        <v>3505.3836000000001</v>
      </c>
      <c r="BE69" s="13">
        <v>82</v>
      </c>
      <c r="BF69" s="13">
        <v>82</v>
      </c>
      <c r="BG69" s="13">
        <v>0</v>
      </c>
      <c r="BH69" s="13">
        <v>3349.3961999999997</v>
      </c>
      <c r="BI69" s="13">
        <v>164.928</v>
      </c>
      <c r="BJ69" s="13">
        <v>3184.4681999999998</v>
      </c>
      <c r="BK69" s="13">
        <v>87</v>
      </c>
      <c r="BL69" s="13">
        <v>87</v>
      </c>
      <c r="BM69" s="13">
        <v>0</v>
      </c>
      <c r="BN69" s="13">
        <v>4736.9937</v>
      </c>
      <c r="BO69" s="13">
        <v>182.46359999999999</v>
      </c>
      <c r="BP69" s="13">
        <v>4554.5300999999999</v>
      </c>
      <c r="BQ69" s="13">
        <v>41</v>
      </c>
      <c r="BR69" s="13">
        <v>41</v>
      </c>
      <c r="BS69" s="13">
        <v>0</v>
      </c>
      <c r="BT69" s="13">
        <v>3945.2123000000001</v>
      </c>
      <c r="BU69" s="13">
        <v>168.28489999999999</v>
      </c>
      <c r="BV69" s="13">
        <v>3776.9274</v>
      </c>
      <c r="BW69" s="13">
        <v>47</v>
      </c>
      <c r="BX69" s="13">
        <v>47</v>
      </c>
      <c r="BY69" s="13">
        <v>0</v>
      </c>
      <c r="BZ69" s="13">
        <v>3919.3896</v>
      </c>
      <c r="CA69" s="13">
        <v>265.89120000000003</v>
      </c>
      <c r="CB69" s="13">
        <v>3653.4983999999999</v>
      </c>
      <c r="CC69" s="13">
        <v>57</v>
      </c>
      <c r="CD69" s="13">
        <v>57</v>
      </c>
      <c r="CE69" s="13">
        <v>0</v>
      </c>
      <c r="CF69" s="13">
        <v>4993.1950999999999</v>
      </c>
      <c r="CG69" s="13">
        <v>117.7496</v>
      </c>
      <c r="CH69" s="13">
        <v>4875.4454999999998</v>
      </c>
      <c r="CI69" s="13">
        <v>7</v>
      </c>
      <c r="CJ69" s="13">
        <v>7</v>
      </c>
      <c r="CK69" s="13">
        <v>0</v>
      </c>
      <c r="CL69" s="13">
        <v>3640.8261000000002</v>
      </c>
      <c r="CM69" s="13">
        <v>86.070899999999995</v>
      </c>
      <c r="CN69" s="13">
        <v>3554.7552000000001</v>
      </c>
      <c r="CO69" s="13">
        <v>25</v>
      </c>
      <c r="CP69" s="13">
        <v>25</v>
      </c>
      <c r="CQ69" s="13">
        <v>0</v>
      </c>
      <c r="CR69" s="13">
        <v>4391.1062999999995</v>
      </c>
      <c r="CS69" s="13">
        <v>182.17740000000001</v>
      </c>
      <c r="CT69" s="13">
        <v>4208.9288999999999</v>
      </c>
      <c r="CU69" s="13">
        <f t="shared" si="8"/>
        <v>672</v>
      </c>
      <c r="CV69" s="13">
        <f t="shared" si="8"/>
        <v>672</v>
      </c>
      <c r="CW69" s="13">
        <f t="shared" si="8"/>
        <v>0</v>
      </c>
      <c r="CX69" s="13">
        <f t="shared" si="8"/>
        <v>47745.684599999993</v>
      </c>
      <c r="CY69" s="13">
        <f t="shared" si="8"/>
        <v>2015.2401000000002</v>
      </c>
      <c r="CZ69" s="13">
        <f t="shared" si="8"/>
        <v>45730.444499999998</v>
      </c>
      <c r="DA69" s="13">
        <f t="shared" si="9"/>
        <v>89</v>
      </c>
      <c r="DB69" s="13">
        <f t="shared" si="9"/>
        <v>89</v>
      </c>
      <c r="DC69" s="13">
        <f t="shared" si="9"/>
        <v>0</v>
      </c>
      <c r="DD69" s="13">
        <f t="shared" si="9"/>
        <v>13025.127499999999</v>
      </c>
      <c r="DE69" s="13">
        <f t="shared" si="9"/>
        <v>385.99789999999996</v>
      </c>
      <c r="DF69" s="13">
        <f t="shared" si="9"/>
        <v>12639.1296</v>
      </c>
      <c r="DG69" s="13">
        <f t="shared" si="10"/>
        <v>175</v>
      </c>
      <c r="DH69" s="13">
        <f t="shared" si="10"/>
        <v>175</v>
      </c>
      <c r="DI69" s="13">
        <f t="shared" si="10"/>
        <v>0</v>
      </c>
      <c r="DJ69" s="13">
        <f t="shared" si="10"/>
        <v>12601.595600000001</v>
      </c>
      <c r="DK69" s="13">
        <f t="shared" si="10"/>
        <v>616.63969999999995</v>
      </c>
      <c r="DL69" s="13">
        <f t="shared" si="10"/>
        <v>11984.955900000001</v>
      </c>
      <c r="DM69" s="13">
        <f t="shared" si="11"/>
        <v>32</v>
      </c>
      <c r="DN69" s="13">
        <f t="shared" si="11"/>
        <v>32</v>
      </c>
      <c r="DO69" s="13">
        <f t="shared" si="11"/>
        <v>0</v>
      </c>
      <c r="DP69" s="13">
        <f t="shared" si="11"/>
        <v>8031.9323999999997</v>
      </c>
      <c r="DQ69" s="13">
        <f t="shared" si="11"/>
        <v>268.24829999999997</v>
      </c>
      <c r="DR69" s="13">
        <f t="shared" si="11"/>
        <v>7763.6841000000004</v>
      </c>
      <c r="DS69" s="14" t="s">
        <v>60</v>
      </c>
      <c r="DT69" s="14" t="s">
        <v>92</v>
      </c>
      <c r="DU69" s="14" t="s">
        <v>73</v>
      </c>
      <c r="DV69" s="14" t="s">
        <v>82</v>
      </c>
      <c r="DW69" s="14" t="s">
        <v>64</v>
      </c>
    </row>
    <row r="70" spans="2:127" x14ac:dyDescent="0.3">
      <c r="B70" s="11" t="s">
        <v>65</v>
      </c>
      <c r="C70" s="12">
        <v>5001341951</v>
      </c>
      <c r="D70" s="11" t="s">
        <v>301</v>
      </c>
      <c r="E70" s="11" t="s">
        <v>55</v>
      </c>
      <c r="F70" s="11" t="s">
        <v>302</v>
      </c>
      <c r="G70" s="11" t="s">
        <v>268</v>
      </c>
      <c r="H70" s="11" t="s">
        <v>69</v>
      </c>
      <c r="I70" s="11">
        <v>21287</v>
      </c>
      <c r="J70" s="11" t="s">
        <v>59</v>
      </c>
      <c r="K70" s="11"/>
      <c r="L70" s="11"/>
      <c r="M70" s="11"/>
      <c r="N70" s="11"/>
      <c r="O70" s="13">
        <v>285</v>
      </c>
      <c r="P70" s="13">
        <v>285</v>
      </c>
      <c r="Q70" s="13">
        <v>0</v>
      </c>
      <c r="R70" s="13">
        <v>72252.951499999996</v>
      </c>
      <c r="S70" s="13">
        <v>2774.7674000000002</v>
      </c>
      <c r="T70" s="13">
        <v>69478.184099999999</v>
      </c>
      <c r="U70" s="13">
        <v>35</v>
      </c>
      <c r="V70" s="13">
        <v>35</v>
      </c>
      <c r="W70" s="13">
        <v>0</v>
      </c>
      <c r="X70" s="13">
        <v>4518.9426000000003</v>
      </c>
      <c r="Y70" s="13">
        <v>198.92760000000001</v>
      </c>
      <c r="Z70" s="13">
        <v>4320.0150000000003</v>
      </c>
      <c r="AA70" s="13">
        <v>21</v>
      </c>
      <c r="AB70" s="13">
        <v>21</v>
      </c>
      <c r="AC70" s="13">
        <v>0</v>
      </c>
      <c r="AD70" s="13">
        <v>6262.0703000000003</v>
      </c>
      <c r="AE70" s="13">
        <v>164.67769999999999</v>
      </c>
      <c r="AF70" s="13">
        <v>6097.3926000000001</v>
      </c>
      <c r="AG70" s="13">
        <v>0</v>
      </c>
      <c r="AH70" s="13">
        <v>0</v>
      </c>
      <c r="AI70" s="13">
        <v>0</v>
      </c>
      <c r="AJ70" s="13">
        <v>4929.4443000000001</v>
      </c>
      <c r="AK70" s="13">
        <v>115.7133</v>
      </c>
      <c r="AL70" s="13">
        <v>4813.7309999999998</v>
      </c>
      <c r="AM70" s="13">
        <v>9</v>
      </c>
      <c r="AN70" s="13">
        <v>9</v>
      </c>
      <c r="AO70" s="13">
        <v>0</v>
      </c>
      <c r="AP70" s="13">
        <v>4963.7085999999999</v>
      </c>
      <c r="AQ70" s="13">
        <v>162.32050000000001</v>
      </c>
      <c r="AR70" s="13">
        <v>4801.3881000000001</v>
      </c>
      <c r="AS70" s="13">
        <v>45</v>
      </c>
      <c r="AT70" s="13">
        <v>45</v>
      </c>
      <c r="AU70" s="13">
        <v>0</v>
      </c>
      <c r="AV70" s="13">
        <v>5766.1246000000001</v>
      </c>
      <c r="AW70" s="13">
        <v>273.53409999999997</v>
      </c>
      <c r="AX70" s="13">
        <v>5492.5905000000002</v>
      </c>
      <c r="AY70" s="13">
        <v>18</v>
      </c>
      <c r="AZ70" s="13">
        <v>18</v>
      </c>
      <c r="BA70" s="13">
        <v>0</v>
      </c>
      <c r="BB70" s="13">
        <v>5174.6292999999996</v>
      </c>
      <c r="BC70" s="13">
        <v>274.49799999999999</v>
      </c>
      <c r="BD70" s="13">
        <v>4900.1313</v>
      </c>
      <c r="BE70" s="13">
        <v>19</v>
      </c>
      <c r="BF70" s="13">
        <v>19</v>
      </c>
      <c r="BG70" s="13">
        <v>0</v>
      </c>
      <c r="BH70" s="13">
        <v>5643.5024999999996</v>
      </c>
      <c r="BI70" s="13">
        <v>261.99810000000002</v>
      </c>
      <c r="BJ70" s="13">
        <v>5381.5043999999998</v>
      </c>
      <c r="BK70" s="13">
        <v>13</v>
      </c>
      <c r="BL70" s="13">
        <v>13</v>
      </c>
      <c r="BM70" s="13">
        <v>0</v>
      </c>
      <c r="BN70" s="13">
        <v>6970.1495999999997</v>
      </c>
      <c r="BO70" s="13">
        <v>292.64069999999998</v>
      </c>
      <c r="BP70" s="13">
        <v>6677.5088999999998</v>
      </c>
      <c r="BQ70" s="13">
        <v>18</v>
      </c>
      <c r="BR70" s="13">
        <v>18</v>
      </c>
      <c r="BS70" s="13">
        <v>0</v>
      </c>
      <c r="BT70" s="13">
        <v>4979.4573</v>
      </c>
      <c r="BU70" s="13">
        <v>239.78370000000001</v>
      </c>
      <c r="BV70" s="13">
        <v>4739.6736000000001</v>
      </c>
      <c r="BW70" s="13">
        <v>4</v>
      </c>
      <c r="BX70" s="13">
        <v>4</v>
      </c>
      <c r="BY70" s="13">
        <v>0</v>
      </c>
      <c r="BZ70" s="13">
        <v>5298.3311999999996</v>
      </c>
      <c r="CA70" s="13">
        <v>138.999</v>
      </c>
      <c r="CB70" s="13">
        <v>5159.3321999999998</v>
      </c>
      <c r="CC70" s="13">
        <v>29</v>
      </c>
      <c r="CD70" s="13">
        <v>29</v>
      </c>
      <c r="CE70" s="13">
        <v>0</v>
      </c>
      <c r="CF70" s="13">
        <v>6829.7426000000005</v>
      </c>
      <c r="CG70" s="13">
        <v>263.31979999999999</v>
      </c>
      <c r="CH70" s="13">
        <v>6566.4228000000003</v>
      </c>
      <c r="CI70" s="13">
        <v>33</v>
      </c>
      <c r="CJ70" s="13">
        <v>33</v>
      </c>
      <c r="CK70" s="13">
        <v>0</v>
      </c>
      <c r="CL70" s="13">
        <v>5262.9168</v>
      </c>
      <c r="CM70" s="13">
        <v>177.642</v>
      </c>
      <c r="CN70" s="13">
        <v>5085.2748000000001</v>
      </c>
      <c r="CO70" s="13">
        <v>41</v>
      </c>
      <c r="CP70" s="13">
        <v>41</v>
      </c>
      <c r="CQ70" s="13">
        <v>0</v>
      </c>
      <c r="CR70" s="13">
        <v>5653.9318000000003</v>
      </c>
      <c r="CS70" s="13">
        <v>210.71289999999999</v>
      </c>
      <c r="CT70" s="13">
        <v>5443.2188999999998</v>
      </c>
      <c r="CU70" s="13">
        <f t="shared" si="8"/>
        <v>250</v>
      </c>
      <c r="CV70" s="13">
        <f t="shared" si="8"/>
        <v>250</v>
      </c>
      <c r="CW70" s="13">
        <f t="shared" si="8"/>
        <v>0</v>
      </c>
      <c r="CX70" s="13">
        <f t="shared" si="8"/>
        <v>67734.008900000001</v>
      </c>
      <c r="CY70" s="13">
        <f t="shared" si="8"/>
        <v>2575.8397999999997</v>
      </c>
      <c r="CZ70" s="13">
        <f t="shared" si="8"/>
        <v>65158.169099999999</v>
      </c>
      <c r="DA70" s="13">
        <f t="shared" si="9"/>
        <v>103</v>
      </c>
      <c r="DB70" s="13">
        <f t="shared" si="9"/>
        <v>103</v>
      </c>
      <c r="DC70" s="13">
        <f t="shared" si="9"/>
        <v>0</v>
      </c>
      <c r="DD70" s="13">
        <f t="shared" si="9"/>
        <v>17746.591200000003</v>
      </c>
      <c r="DE70" s="13">
        <f t="shared" si="9"/>
        <v>651.67470000000003</v>
      </c>
      <c r="DF70" s="13">
        <f t="shared" si="9"/>
        <v>17094.916499999999</v>
      </c>
      <c r="DG70" s="13">
        <f t="shared" si="10"/>
        <v>35</v>
      </c>
      <c r="DH70" s="13">
        <f t="shared" si="10"/>
        <v>35</v>
      </c>
      <c r="DI70" s="13">
        <f t="shared" si="10"/>
        <v>0</v>
      </c>
      <c r="DJ70" s="13">
        <f t="shared" si="10"/>
        <v>17247.938099999999</v>
      </c>
      <c r="DK70" s="13">
        <f t="shared" si="10"/>
        <v>671.42340000000002</v>
      </c>
      <c r="DL70" s="13">
        <f t="shared" si="10"/>
        <v>16576.5147</v>
      </c>
      <c r="DM70" s="13">
        <f t="shared" si="11"/>
        <v>74</v>
      </c>
      <c r="DN70" s="13">
        <f t="shared" si="11"/>
        <v>74</v>
      </c>
      <c r="DO70" s="13">
        <f t="shared" si="11"/>
        <v>0</v>
      </c>
      <c r="DP70" s="13">
        <f t="shared" si="11"/>
        <v>10916.848600000001</v>
      </c>
      <c r="DQ70" s="13">
        <f t="shared" si="11"/>
        <v>388.35489999999999</v>
      </c>
      <c r="DR70" s="13">
        <f t="shared" si="11"/>
        <v>10528.493699999999</v>
      </c>
      <c r="DS70" s="14" t="s">
        <v>60</v>
      </c>
      <c r="DT70" s="14" t="s">
        <v>72</v>
      </c>
      <c r="DU70" s="14" t="s">
        <v>73</v>
      </c>
      <c r="DV70" s="14" t="s">
        <v>82</v>
      </c>
      <c r="DW70" s="14" t="s">
        <v>64</v>
      </c>
    </row>
    <row r="71" spans="2:127" x14ac:dyDescent="0.3">
      <c r="B71" s="11" t="s">
        <v>53</v>
      </c>
      <c r="C71" s="12">
        <v>5001341965</v>
      </c>
      <c r="D71" s="11" t="s">
        <v>303</v>
      </c>
      <c r="E71" s="11" t="s">
        <v>55</v>
      </c>
      <c r="F71" s="11" t="s">
        <v>304</v>
      </c>
      <c r="G71" s="11" t="s">
        <v>305</v>
      </c>
      <c r="H71" s="11" t="s">
        <v>58</v>
      </c>
      <c r="I71" s="11">
        <v>92354</v>
      </c>
      <c r="J71" s="11" t="s">
        <v>80</v>
      </c>
      <c r="K71" s="11"/>
      <c r="L71" s="11"/>
      <c r="M71" s="11"/>
      <c r="N71" s="11"/>
      <c r="O71" s="13">
        <v>1667</v>
      </c>
      <c r="P71" s="13">
        <v>1667</v>
      </c>
      <c r="Q71" s="13">
        <v>0</v>
      </c>
      <c r="R71" s="13">
        <v>10483.298500000001</v>
      </c>
      <c r="S71" s="13">
        <v>2016.0690999999999</v>
      </c>
      <c r="T71" s="13">
        <v>8467.2294000000002</v>
      </c>
      <c r="U71" s="13">
        <v>178</v>
      </c>
      <c r="V71" s="13">
        <v>178</v>
      </c>
      <c r="W71" s="13">
        <v>0</v>
      </c>
      <c r="X71" s="13">
        <v>656.28690000000006</v>
      </c>
      <c r="Y71" s="13">
        <v>224.28540000000001</v>
      </c>
      <c r="Z71" s="13">
        <v>432.00150000000002</v>
      </c>
      <c r="AA71" s="13">
        <v>158</v>
      </c>
      <c r="AB71" s="13">
        <v>158</v>
      </c>
      <c r="AC71" s="13">
        <v>0</v>
      </c>
      <c r="AD71" s="13">
        <v>789.60919999999999</v>
      </c>
      <c r="AE71" s="13">
        <v>172.46420000000001</v>
      </c>
      <c r="AF71" s="13">
        <v>617.14499999999998</v>
      </c>
      <c r="AG71" s="13">
        <v>178</v>
      </c>
      <c r="AH71" s="13">
        <v>178</v>
      </c>
      <c r="AI71" s="13">
        <v>0</v>
      </c>
      <c r="AJ71" s="13">
        <v>739.4088999999999</v>
      </c>
      <c r="AK71" s="13">
        <v>196.32130000000001</v>
      </c>
      <c r="AL71" s="13">
        <v>543.08759999999995</v>
      </c>
      <c r="AM71" s="13">
        <v>127</v>
      </c>
      <c r="AN71" s="13">
        <v>127</v>
      </c>
      <c r="AO71" s="13">
        <v>0</v>
      </c>
      <c r="AP71" s="13">
        <v>559.00150000000008</v>
      </c>
      <c r="AQ71" s="13">
        <v>127</v>
      </c>
      <c r="AR71" s="13">
        <v>432.00150000000002</v>
      </c>
      <c r="AS71" s="13">
        <v>107</v>
      </c>
      <c r="AT71" s="13">
        <v>107</v>
      </c>
      <c r="AU71" s="13">
        <v>0</v>
      </c>
      <c r="AV71" s="13">
        <v>767.15219999999999</v>
      </c>
      <c r="AW71" s="13">
        <v>125.3214</v>
      </c>
      <c r="AX71" s="13">
        <v>641.83079999999995</v>
      </c>
      <c r="AY71" s="13">
        <v>186</v>
      </c>
      <c r="AZ71" s="13">
        <v>186</v>
      </c>
      <c r="BA71" s="13">
        <v>0</v>
      </c>
      <c r="BB71" s="13">
        <v>684.73009999999999</v>
      </c>
      <c r="BC71" s="13">
        <v>203.357</v>
      </c>
      <c r="BD71" s="13">
        <v>481.37310000000002</v>
      </c>
      <c r="BE71" s="13">
        <v>80</v>
      </c>
      <c r="BF71" s="13">
        <v>80</v>
      </c>
      <c r="BG71" s="13">
        <v>0</v>
      </c>
      <c r="BH71" s="13">
        <v>737.25919999999996</v>
      </c>
      <c r="BI71" s="13">
        <v>95.428399999999996</v>
      </c>
      <c r="BJ71" s="13">
        <v>641.83079999999995</v>
      </c>
      <c r="BK71" s="13">
        <v>144</v>
      </c>
      <c r="BL71" s="13">
        <v>144</v>
      </c>
      <c r="BM71" s="13">
        <v>0</v>
      </c>
      <c r="BN71" s="13">
        <v>1120.2461000000001</v>
      </c>
      <c r="BO71" s="13">
        <v>157.4999</v>
      </c>
      <c r="BP71" s="13">
        <v>962.74620000000004</v>
      </c>
      <c r="BQ71" s="13">
        <v>69</v>
      </c>
      <c r="BR71" s="13">
        <v>69</v>
      </c>
      <c r="BS71" s="13">
        <v>0</v>
      </c>
      <c r="BT71" s="13">
        <v>846.60270000000003</v>
      </c>
      <c r="BU71" s="13">
        <v>69</v>
      </c>
      <c r="BV71" s="13">
        <v>777.60270000000003</v>
      </c>
      <c r="BW71" s="13">
        <v>105</v>
      </c>
      <c r="BX71" s="13">
        <v>105</v>
      </c>
      <c r="BY71" s="13">
        <v>0</v>
      </c>
      <c r="BZ71" s="13">
        <v>811.6309</v>
      </c>
      <c r="CA71" s="13">
        <v>120.4285</v>
      </c>
      <c r="CB71" s="13">
        <v>691.20240000000001</v>
      </c>
      <c r="CC71" s="13">
        <v>161</v>
      </c>
      <c r="CD71" s="13">
        <v>161</v>
      </c>
      <c r="CE71" s="13">
        <v>0</v>
      </c>
      <c r="CF71" s="13">
        <v>1082.6664000000001</v>
      </c>
      <c r="CG71" s="13">
        <v>268.03499999999997</v>
      </c>
      <c r="CH71" s="13">
        <v>814.63139999999999</v>
      </c>
      <c r="CI71" s="13">
        <v>48</v>
      </c>
      <c r="CJ71" s="13">
        <v>48</v>
      </c>
      <c r="CK71" s="13">
        <v>0</v>
      </c>
      <c r="CL71" s="13">
        <v>820.58789999999999</v>
      </c>
      <c r="CM71" s="13">
        <v>92.356799999999993</v>
      </c>
      <c r="CN71" s="13">
        <v>728.23109999999997</v>
      </c>
      <c r="CO71" s="13">
        <v>126</v>
      </c>
      <c r="CP71" s="13">
        <v>126</v>
      </c>
      <c r="CQ71" s="13">
        <v>0</v>
      </c>
      <c r="CR71" s="13">
        <v>868.11649999999997</v>
      </c>
      <c r="CS71" s="13">
        <v>164.5712</v>
      </c>
      <c r="CT71" s="13">
        <v>703.5453</v>
      </c>
      <c r="CU71" s="13">
        <f t="shared" si="8"/>
        <v>1489</v>
      </c>
      <c r="CV71" s="13">
        <f t="shared" si="8"/>
        <v>1489</v>
      </c>
      <c r="CW71" s="13">
        <f t="shared" si="8"/>
        <v>0</v>
      </c>
      <c r="CX71" s="13">
        <f t="shared" si="8"/>
        <v>9827.0115999999998</v>
      </c>
      <c r="CY71" s="13">
        <f t="shared" si="8"/>
        <v>1791.7837000000002</v>
      </c>
      <c r="CZ71" s="13">
        <f t="shared" si="8"/>
        <v>8035.2278999999999</v>
      </c>
      <c r="DA71" s="13">
        <f t="shared" si="9"/>
        <v>335</v>
      </c>
      <c r="DB71" s="13">
        <f t="shared" si="9"/>
        <v>335</v>
      </c>
      <c r="DC71" s="13">
        <f t="shared" si="9"/>
        <v>0</v>
      </c>
      <c r="DD71" s="13">
        <f t="shared" si="9"/>
        <v>2771.3708000000001</v>
      </c>
      <c r="DE71" s="13">
        <f t="shared" si="9"/>
        <v>524.96299999999997</v>
      </c>
      <c r="DF71" s="13">
        <f t="shared" si="9"/>
        <v>2246.4078</v>
      </c>
      <c r="DG71" s="13">
        <f t="shared" si="10"/>
        <v>318</v>
      </c>
      <c r="DH71" s="13">
        <f t="shared" si="10"/>
        <v>318</v>
      </c>
      <c r="DI71" s="13">
        <f t="shared" si="10"/>
        <v>0</v>
      </c>
      <c r="DJ71" s="13">
        <f t="shared" si="10"/>
        <v>2778.4797000000003</v>
      </c>
      <c r="DK71" s="13">
        <f t="shared" si="10"/>
        <v>346.92840000000001</v>
      </c>
      <c r="DL71" s="13">
        <f t="shared" si="10"/>
        <v>2431.5513000000001</v>
      </c>
      <c r="DM71" s="13">
        <f t="shared" si="11"/>
        <v>174</v>
      </c>
      <c r="DN71" s="13">
        <f t="shared" si="11"/>
        <v>174</v>
      </c>
      <c r="DO71" s="13">
        <f t="shared" si="11"/>
        <v>0</v>
      </c>
      <c r="DP71" s="13">
        <f t="shared" si="11"/>
        <v>1688.7044000000001</v>
      </c>
      <c r="DQ71" s="13">
        <f t="shared" si="11"/>
        <v>256.928</v>
      </c>
      <c r="DR71" s="13">
        <f t="shared" si="11"/>
        <v>1431.7764</v>
      </c>
      <c r="DS71" s="14" t="s">
        <v>71</v>
      </c>
      <c r="DT71" s="14" t="s">
        <v>81</v>
      </c>
      <c r="DU71" s="14" t="s">
        <v>73</v>
      </c>
      <c r="DV71" s="14" t="s">
        <v>97</v>
      </c>
      <c r="DW71" s="14" t="s">
        <v>74</v>
      </c>
    </row>
    <row r="72" spans="2:127" x14ac:dyDescent="0.3">
      <c r="B72" s="11" t="s">
        <v>83</v>
      </c>
      <c r="C72" s="12">
        <v>5001341972</v>
      </c>
      <c r="D72" s="11" t="s">
        <v>306</v>
      </c>
      <c r="E72" s="11" t="s">
        <v>55</v>
      </c>
      <c r="F72" s="11" t="s">
        <v>307</v>
      </c>
      <c r="G72" s="11" t="s">
        <v>308</v>
      </c>
      <c r="H72" s="11" t="s">
        <v>309</v>
      </c>
      <c r="I72" s="11">
        <v>55905</v>
      </c>
      <c r="J72" s="11" t="s">
        <v>59</v>
      </c>
      <c r="K72" s="11"/>
      <c r="L72" s="11"/>
      <c r="M72" s="11"/>
      <c r="N72" s="11"/>
      <c r="O72" s="13">
        <v>2731</v>
      </c>
      <c r="P72" s="13">
        <v>2731</v>
      </c>
      <c r="Q72" s="13">
        <v>0</v>
      </c>
      <c r="R72" s="13">
        <v>146154.30249999999</v>
      </c>
      <c r="S72" s="13">
        <v>6235.1880999999994</v>
      </c>
      <c r="T72" s="13">
        <v>139919.11439999999</v>
      </c>
      <c r="U72" s="13">
        <v>210</v>
      </c>
      <c r="V72" s="13">
        <v>210</v>
      </c>
      <c r="W72" s="13">
        <v>0</v>
      </c>
      <c r="X72" s="13">
        <v>9911.7091999999993</v>
      </c>
      <c r="Y72" s="13">
        <v>469.39069999999998</v>
      </c>
      <c r="Z72" s="13">
        <v>9442.3184999999994</v>
      </c>
      <c r="AA72" s="13">
        <v>254</v>
      </c>
      <c r="AB72" s="13">
        <v>254</v>
      </c>
      <c r="AC72" s="13">
        <v>0</v>
      </c>
      <c r="AD72" s="13">
        <v>12054.965900000001</v>
      </c>
      <c r="AE72" s="13">
        <v>576.06889999999999</v>
      </c>
      <c r="AF72" s="13">
        <v>11478.897000000001</v>
      </c>
      <c r="AG72" s="13">
        <v>243</v>
      </c>
      <c r="AH72" s="13">
        <v>243</v>
      </c>
      <c r="AI72" s="13">
        <v>0</v>
      </c>
      <c r="AJ72" s="13">
        <v>9638.6440999999995</v>
      </c>
      <c r="AK72" s="13">
        <v>480.21230000000003</v>
      </c>
      <c r="AL72" s="13">
        <v>9158.4318000000003</v>
      </c>
      <c r="AM72" s="13">
        <v>183</v>
      </c>
      <c r="AN72" s="13">
        <v>183</v>
      </c>
      <c r="AO72" s="13">
        <v>0</v>
      </c>
      <c r="AP72" s="13">
        <v>12124.7541</v>
      </c>
      <c r="AQ72" s="13">
        <v>337.28460000000001</v>
      </c>
      <c r="AR72" s="13">
        <v>11787.469499999999</v>
      </c>
      <c r="AS72" s="13">
        <v>237</v>
      </c>
      <c r="AT72" s="13">
        <v>237</v>
      </c>
      <c r="AU72" s="13">
        <v>0</v>
      </c>
      <c r="AV72" s="13">
        <v>10960.854499999999</v>
      </c>
      <c r="AW72" s="13">
        <v>592.81849999999997</v>
      </c>
      <c r="AX72" s="13">
        <v>10368.036</v>
      </c>
      <c r="AY72" s="13">
        <v>212</v>
      </c>
      <c r="AZ72" s="13">
        <v>212</v>
      </c>
      <c r="BA72" s="13">
        <v>0</v>
      </c>
      <c r="BB72" s="13">
        <v>9850.6453000000001</v>
      </c>
      <c r="BC72" s="13">
        <v>445.35550000000001</v>
      </c>
      <c r="BD72" s="13">
        <v>9405.2898000000005</v>
      </c>
      <c r="BE72" s="13">
        <v>195</v>
      </c>
      <c r="BF72" s="13">
        <v>195</v>
      </c>
      <c r="BG72" s="13">
        <v>0</v>
      </c>
      <c r="BH72" s="13">
        <v>10666.7914</v>
      </c>
      <c r="BI72" s="13">
        <v>397.49860000000001</v>
      </c>
      <c r="BJ72" s="13">
        <v>10269.292799999999</v>
      </c>
      <c r="BK72" s="13">
        <v>302</v>
      </c>
      <c r="BL72" s="13">
        <v>302</v>
      </c>
      <c r="BM72" s="13">
        <v>0</v>
      </c>
      <c r="BN72" s="13">
        <v>13614.777099999999</v>
      </c>
      <c r="BO72" s="13">
        <v>704.1037</v>
      </c>
      <c r="BP72" s="13">
        <v>12910.6734</v>
      </c>
      <c r="BQ72" s="13">
        <v>212</v>
      </c>
      <c r="BR72" s="13">
        <v>212</v>
      </c>
      <c r="BS72" s="13">
        <v>0</v>
      </c>
      <c r="BT72" s="13">
        <v>10564.410599999999</v>
      </c>
      <c r="BU72" s="13">
        <v>554.31870000000004</v>
      </c>
      <c r="BV72" s="13">
        <v>10010.091899999999</v>
      </c>
      <c r="BW72" s="13">
        <v>159</v>
      </c>
      <c r="BX72" s="13">
        <v>159</v>
      </c>
      <c r="BY72" s="13">
        <v>0</v>
      </c>
      <c r="BZ72" s="13">
        <v>10464.7399</v>
      </c>
      <c r="CA72" s="13">
        <v>429.9622</v>
      </c>
      <c r="CB72" s="13">
        <v>10034.777700000001</v>
      </c>
      <c r="CC72" s="13">
        <v>195</v>
      </c>
      <c r="CD72" s="13">
        <v>195</v>
      </c>
      <c r="CE72" s="13">
        <v>0</v>
      </c>
      <c r="CF72" s="13">
        <v>14669.747600000001</v>
      </c>
      <c r="CG72" s="13">
        <v>463.06970000000001</v>
      </c>
      <c r="CH72" s="13">
        <v>14206.677900000001</v>
      </c>
      <c r="CI72" s="13">
        <v>164</v>
      </c>
      <c r="CJ72" s="13">
        <v>164</v>
      </c>
      <c r="CK72" s="13">
        <v>0</v>
      </c>
      <c r="CL72" s="13">
        <v>10718.7207</v>
      </c>
      <c r="CM72" s="13">
        <v>325.99889999999999</v>
      </c>
      <c r="CN72" s="13">
        <v>10392.721799999999</v>
      </c>
      <c r="CO72" s="13">
        <v>165</v>
      </c>
      <c r="CP72" s="13">
        <v>165</v>
      </c>
      <c r="CQ72" s="13">
        <v>0</v>
      </c>
      <c r="CR72" s="13">
        <v>10913.542099999999</v>
      </c>
      <c r="CS72" s="13">
        <v>459.10579999999999</v>
      </c>
      <c r="CT72" s="13">
        <v>10454.436299999999</v>
      </c>
      <c r="CU72" s="13">
        <f t="shared" si="8"/>
        <v>2521</v>
      </c>
      <c r="CV72" s="13">
        <f t="shared" si="8"/>
        <v>2521</v>
      </c>
      <c r="CW72" s="13">
        <f t="shared" si="8"/>
        <v>0</v>
      </c>
      <c r="CX72" s="13">
        <f t="shared" si="8"/>
        <v>136242.59330000001</v>
      </c>
      <c r="CY72" s="13">
        <f t="shared" si="8"/>
        <v>5765.7973999999995</v>
      </c>
      <c r="CZ72" s="13">
        <f t="shared" si="8"/>
        <v>130476.7959</v>
      </c>
      <c r="DA72" s="13">
        <f t="shared" si="9"/>
        <v>524</v>
      </c>
      <c r="DB72" s="13">
        <f t="shared" si="9"/>
        <v>524</v>
      </c>
      <c r="DC72" s="13">
        <f t="shared" si="9"/>
        <v>0</v>
      </c>
      <c r="DD72" s="13">
        <f t="shared" si="9"/>
        <v>36302.010399999999</v>
      </c>
      <c r="DE72" s="13">
        <f t="shared" si="9"/>
        <v>1248.1744000000001</v>
      </c>
      <c r="DF72" s="13">
        <f t="shared" si="9"/>
        <v>35053.836000000003</v>
      </c>
      <c r="DG72" s="13">
        <f t="shared" si="10"/>
        <v>673</v>
      </c>
      <c r="DH72" s="13">
        <f t="shared" si="10"/>
        <v>673</v>
      </c>
      <c r="DI72" s="13">
        <f t="shared" si="10"/>
        <v>0</v>
      </c>
      <c r="DJ72" s="13">
        <f t="shared" si="10"/>
        <v>34643.927599999995</v>
      </c>
      <c r="DK72" s="13">
        <f t="shared" si="10"/>
        <v>1688.3845999999999</v>
      </c>
      <c r="DL72" s="13">
        <f t="shared" si="10"/>
        <v>32955.542999999998</v>
      </c>
      <c r="DM72" s="13">
        <f t="shared" si="11"/>
        <v>329</v>
      </c>
      <c r="DN72" s="13">
        <f t="shared" si="11"/>
        <v>329</v>
      </c>
      <c r="DO72" s="13">
        <f t="shared" si="11"/>
        <v>0</v>
      </c>
      <c r="DP72" s="13">
        <f t="shared" si="11"/>
        <v>21632.262799999997</v>
      </c>
      <c r="DQ72" s="13">
        <f t="shared" si="11"/>
        <v>785.10469999999998</v>
      </c>
      <c r="DR72" s="13">
        <f t="shared" si="11"/>
        <v>20847.158100000001</v>
      </c>
      <c r="DS72" s="14" t="s">
        <v>71</v>
      </c>
      <c r="DT72" s="14" t="s">
        <v>125</v>
      </c>
      <c r="DU72" s="14" t="s">
        <v>73</v>
      </c>
      <c r="DV72" s="14" t="s">
        <v>97</v>
      </c>
      <c r="DW72" s="14" t="s">
        <v>64</v>
      </c>
    </row>
    <row r="73" spans="2:127" x14ac:dyDescent="0.3">
      <c r="B73" s="11" t="s">
        <v>65</v>
      </c>
      <c r="C73" s="12">
        <v>5001341974</v>
      </c>
      <c r="D73" s="11" t="s">
        <v>310</v>
      </c>
      <c r="E73" s="11" t="s">
        <v>55</v>
      </c>
      <c r="F73" s="11" t="s">
        <v>311</v>
      </c>
      <c r="G73" s="11" t="s">
        <v>312</v>
      </c>
      <c r="H73" s="11" t="s">
        <v>199</v>
      </c>
      <c r="I73" s="11">
        <v>48439</v>
      </c>
      <c r="J73" s="11" t="s">
        <v>80</v>
      </c>
      <c r="K73" s="11"/>
      <c r="L73" s="11"/>
      <c r="M73" s="11"/>
      <c r="N73" s="11"/>
      <c r="O73" s="13">
        <v>934</v>
      </c>
      <c r="P73" s="13">
        <v>934</v>
      </c>
      <c r="Q73" s="13">
        <v>0</v>
      </c>
      <c r="R73" s="13">
        <v>51874.304499999998</v>
      </c>
      <c r="S73" s="13">
        <v>1009.2136</v>
      </c>
      <c r="T73" s="13">
        <v>50865.090900000003</v>
      </c>
      <c r="U73" s="13">
        <v>51</v>
      </c>
      <c r="V73" s="13">
        <v>51</v>
      </c>
      <c r="W73" s="13">
        <v>0</v>
      </c>
      <c r="X73" s="13">
        <v>3149.2606000000001</v>
      </c>
      <c r="Y73" s="13">
        <v>63.535600000000002</v>
      </c>
      <c r="Z73" s="13">
        <v>3085.7249999999999</v>
      </c>
      <c r="AA73" s="13">
        <v>119</v>
      </c>
      <c r="AB73" s="13">
        <v>119</v>
      </c>
      <c r="AC73" s="13">
        <v>0</v>
      </c>
      <c r="AD73" s="13">
        <v>4315.7786999999998</v>
      </c>
      <c r="AE73" s="13">
        <v>131.53559999999999</v>
      </c>
      <c r="AF73" s="13">
        <v>4184.2430999999997</v>
      </c>
      <c r="AG73" s="13">
        <v>55</v>
      </c>
      <c r="AH73" s="13">
        <v>55</v>
      </c>
      <c r="AI73" s="13">
        <v>0</v>
      </c>
      <c r="AJ73" s="13">
        <v>3523.5476000000003</v>
      </c>
      <c r="AK73" s="13">
        <v>67.535600000000002</v>
      </c>
      <c r="AL73" s="13">
        <v>3456.0120000000002</v>
      </c>
      <c r="AM73" s="13">
        <v>99</v>
      </c>
      <c r="AN73" s="13">
        <v>99</v>
      </c>
      <c r="AO73" s="13">
        <v>0</v>
      </c>
      <c r="AP73" s="13">
        <v>3481.1473000000001</v>
      </c>
      <c r="AQ73" s="13">
        <v>111.5356</v>
      </c>
      <c r="AR73" s="13">
        <v>3369.6116999999999</v>
      </c>
      <c r="AS73" s="13">
        <v>70</v>
      </c>
      <c r="AT73" s="13">
        <v>70</v>
      </c>
      <c r="AU73" s="13">
        <v>0</v>
      </c>
      <c r="AV73" s="13">
        <v>4353.3717000000006</v>
      </c>
      <c r="AW73" s="13">
        <v>95.071200000000005</v>
      </c>
      <c r="AX73" s="13">
        <v>4258.3005000000003</v>
      </c>
      <c r="AY73" s="13">
        <v>95</v>
      </c>
      <c r="AZ73" s="13">
        <v>95</v>
      </c>
      <c r="BA73" s="13">
        <v>0</v>
      </c>
      <c r="BB73" s="13">
        <v>3936.5355</v>
      </c>
      <c r="BC73" s="13">
        <v>36.179099999999998</v>
      </c>
      <c r="BD73" s="13">
        <v>3900.3564000000001</v>
      </c>
      <c r="BE73" s="13">
        <v>32</v>
      </c>
      <c r="BF73" s="13">
        <v>32</v>
      </c>
      <c r="BG73" s="13">
        <v>0</v>
      </c>
      <c r="BH73" s="13">
        <v>2821.6881000000003</v>
      </c>
      <c r="BI73" s="13">
        <v>44.535600000000002</v>
      </c>
      <c r="BJ73" s="13">
        <v>2777.1525000000001</v>
      </c>
      <c r="BK73" s="13">
        <v>63</v>
      </c>
      <c r="BL73" s="13">
        <v>63</v>
      </c>
      <c r="BM73" s="13">
        <v>0</v>
      </c>
      <c r="BN73" s="13">
        <v>4939.0244000000002</v>
      </c>
      <c r="BO73" s="13">
        <v>38.893100000000004</v>
      </c>
      <c r="BP73" s="13">
        <v>4900.1313</v>
      </c>
      <c r="BQ73" s="13">
        <v>32</v>
      </c>
      <c r="BR73" s="13">
        <v>32</v>
      </c>
      <c r="BS73" s="13">
        <v>0</v>
      </c>
      <c r="BT73" s="13">
        <v>4142.3784000000005</v>
      </c>
      <c r="BU73" s="13">
        <v>44.535600000000002</v>
      </c>
      <c r="BV73" s="13">
        <v>4097.8428000000004</v>
      </c>
      <c r="BW73" s="13">
        <v>45</v>
      </c>
      <c r="BX73" s="13">
        <v>45</v>
      </c>
      <c r="BY73" s="13">
        <v>0</v>
      </c>
      <c r="BZ73" s="13">
        <v>3908.3276999999998</v>
      </c>
      <c r="CA73" s="13">
        <v>45</v>
      </c>
      <c r="CB73" s="13">
        <v>3863.3276999999998</v>
      </c>
      <c r="CC73" s="13">
        <v>126</v>
      </c>
      <c r="CD73" s="13">
        <v>126</v>
      </c>
      <c r="CE73" s="13">
        <v>0</v>
      </c>
      <c r="CF73" s="13">
        <v>4936.4520000000002</v>
      </c>
      <c r="CG73" s="13">
        <v>159.74969999999999</v>
      </c>
      <c r="CH73" s="13">
        <v>4776.7022999999999</v>
      </c>
      <c r="CI73" s="13">
        <v>62</v>
      </c>
      <c r="CJ73" s="13">
        <v>62</v>
      </c>
      <c r="CK73" s="13">
        <v>0</v>
      </c>
      <c r="CL73" s="13">
        <v>4110.6638999999996</v>
      </c>
      <c r="CM73" s="13">
        <v>74.535600000000002</v>
      </c>
      <c r="CN73" s="13">
        <v>4036.1282999999999</v>
      </c>
      <c r="CO73" s="13">
        <v>85</v>
      </c>
      <c r="CP73" s="13">
        <v>85</v>
      </c>
      <c r="CQ73" s="13">
        <v>0</v>
      </c>
      <c r="CR73" s="13">
        <v>4256.1286</v>
      </c>
      <c r="CS73" s="13">
        <v>96.571300000000008</v>
      </c>
      <c r="CT73" s="13">
        <v>4159.5573000000004</v>
      </c>
      <c r="CU73" s="13">
        <f t="shared" si="8"/>
        <v>883</v>
      </c>
      <c r="CV73" s="13">
        <f t="shared" si="8"/>
        <v>883</v>
      </c>
      <c r="CW73" s="13">
        <f t="shared" si="8"/>
        <v>0</v>
      </c>
      <c r="CX73" s="13">
        <f t="shared" si="8"/>
        <v>48725.043900000004</v>
      </c>
      <c r="CY73" s="13">
        <f t="shared" si="8"/>
        <v>945.67800000000011</v>
      </c>
      <c r="CZ73" s="13">
        <f t="shared" si="8"/>
        <v>47779.365899999997</v>
      </c>
      <c r="DA73" s="13">
        <f t="shared" si="9"/>
        <v>273</v>
      </c>
      <c r="DB73" s="13">
        <f t="shared" si="9"/>
        <v>273</v>
      </c>
      <c r="DC73" s="13">
        <f t="shared" si="9"/>
        <v>0</v>
      </c>
      <c r="DD73" s="13">
        <f t="shared" si="9"/>
        <v>13303.244500000001</v>
      </c>
      <c r="DE73" s="13">
        <f t="shared" si="9"/>
        <v>330.85660000000001</v>
      </c>
      <c r="DF73" s="13">
        <f t="shared" si="9"/>
        <v>12972.3879</v>
      </c>
      <c r="DG73" s="13">
        <f t="shared" si="10"/>
        <v>140</v>
      </c>
      <c r="DH73" s="13">
        <f t="shared" si="10"/>
        <v>140</v>
      </c>
      <c r="DI73" s="13">
        <f t="shared" si="10"/>
        <v>0</v>
      </c>
      <c r="DJ73" s="13">
        <f t="shared" si="10"/>
        <v>12989.7305</v>
      </c>
      <c r="DK73" s="13">
        <f t="shared" si="10"/>
        <v>128.42869999999999</v>
      </c>
      <c r="DL73" s="13">
        <f t="shared" si="10"/>
        <v>12861.301799999999</v>
      </c>
      <c r="DM73" s="13">
        <f t="shared" si="11"/>
        <v>147</v>
      </c>
      <c r="DN73" s="13">
        <f t="shared" si="11"/>
        <v>147</v>
      </c>
      <c r="DO73" s="13">
        <f t="shared" si="11"/>
        <v>0</v>
      </c>
      <c r="DP73" s="13">
        <f t="shared" si="11"/>
        <v>8366.7924999999996</v>
      </c>
      <c r="DQ73" s="13">
        <f t="shared" si="11"/>
        <v>171.1069</v>
      </c>
      <c r="DR73" s="13">
        <f t="shared" si="11"/>
        <v>8195.6856000000007</v>
      </c>
      <c r="DS73" s="14" t="s">
        <v>60</v>
      </c>
      <c r="DT73" s="14" t="s">
        <v>81</v>
      </c>
      <c r="DU73" s="14" t="s">
        <v>73</v>
      </c>
      <c r="DV73" s="14" t="s">
        <v>82</v>
      </c>
      <c r="DW73" s="14" t="s">
        <v>74</v>
      </c>
    </row>
    <row r="74" spans="2:127" x14ac:dyDescent="0.3">
      <c r="B74" s="11" t="s">
        <v>75</v>
      </c>
      <c r="C74" s="12">
        <v>5001341982</v>
      </c>
      <c r="D74" s="11" t="s">
        <v>313</v>
      </c>
      <c r="E74" s="11" t="s">
        <v>55</v>
      </c>
      <c r="F74" s="11" t="s">
        <v>314</v>
      </c>
      <c r="G74" s="11" t="s">
        <v>315</v>
      </c>
      <c r="H74" s="11" t="s">
        <v>104</v>
      </c>
      <c r="I74" s="11">
        <v>33021</v>
      </c>
      <c r="J74" s="11" t="s">
        <v>80</v>
      </c>
      <c r="K74" s="11"/>
      <c r="L74" s="11"/>
      <c r="M74" s="11"/>
      <c r="N74" s="11"/>
      <c r="O74" s="13">
        <v>1460</v>
      </c>
      <c r="P74" s="13">
        <v>1460</v>
      </c>
      <c r="Q74" s="13">
        <v>0</v>
      </c>
      <c r="R74" s="13">
        <v>34560.183900000004</v>
      </c>
      <c r="S74" s="13">
        <v>1666.3553999999999</v>
      </c>
      <c r="T74" s="13">
        <v>32893.828500000003</v>
      </c>
      <c r="U74" s="13">
        <v>75</v>
      </c>
      <c r="V74" s="13">
        <v>75</v>
      </c>
      <c r="W74" s="13">
        <v>0</v>
      </c>
      <c r="X74" s="13">
        <v>1900.9776000000002</v>
      </c>
      <c r="Y74" s="13">
        <v>86.571300000000008</v>
      </c>
      <c r="Z74" s="13">
        <v>1814.4063000000001</v>
      </c>
      <c r="AA74" s="13">
        <v>156</v>
      </c>
      <c r="AB74" s="13">
        <v>156</v>
      </c>
      <c r="AC74" s="13">
        <v>0</v>
      </c>
      <c r="AD74" s="13">
        <v>4199.0709000000006</v>
      </c>
      <c r="AE74" s="13">
        <v>175.28550000000001</v>
      </c>
      <c r="AF74" s="13">
        <v>4023.7854000000002</v>
      </c>
      <c r="AG74" s="13">
        <v>45</v>
      </c>
      <c r="AH74" s="13">
        <v>45</v>
      </c>
      <c r="AI74" s="13">
        <v>0</v>
      </c>
      <c r="AJ74" s="13">
        <v>1624.1196</v>
      </c>
      <c r="AK74" s="13">
        <v>56.571300000000001</v>
      </c>
      <c r="AL74" s="13">
        <v>1567.5482999999999</v>
      </c>
      <c r="AM74" s="13">
        <v>71</v>
      </c>
      <c r="AN74" s="13">
        <v>71</v>
      </c>
      <c r="AO74" s="13">
        <v>0</v>
      </c>
      <c r="AP74" s="13">
        <v>2514.8942000000002</v>
      </c>
      <c r="AQ74" s="13">
        <v>71</v>
      </c>
      <c r="AR74" s="13">
        <v>2443.8942000000002</v>
      </c>
      <c r="AS74" s="13">
        <v>180</v>
      </c>
      <c r="AT74" s="13">
        <v>180</v>
      </c>
      <c r="AU74" s="13">
        <v>0</v>
      </c>
      <c r="AV74" s="13">
        <v>3512.5830000000001</v>
      </c>
      <c r="AW74" s="13">
        <v>180</v>
      </c>
      <c r="AX74" s="13">
        <v>3332.5830000000001</v>
      </c>
      <c r="AY74" s="13">
        <v>80</v>
      </c>
      <c r="AZ74" s="13">
        <v>80</v>
      </c>
      <c r="BA74" s="13">
        <v>0</v>
      </c>
      <c r="BB74" s="13">
        <v>1746.2915</v>
      </c>
      <c r="BC74" s="13">
        <v>80</v>
      </c>
      <c r="BD74" s="13">
        <v>1666.2915</v>
      </c>
      <c r="BE74" s="13">
        <v>138</v>
      </c>
      <c r="BF74" s="13">
        <v>138</v>
      </c>
      <c r="BG74" s="13">
        <v>0</v>
      </c>
      <c r="BH74" s="13">
        <v>2038.8065999999999</v>
      </c>
      <c r="BI74" s="13">
        <v>138</v>
      </c>
      <c r="BJ74" s="13">
        <v>1900.8065999999999</v>
      </c>
      <c r="BK74" s="13">
        <v>165</v>
      </c>
      <c r="BL74" s="13">
        <v>165</v>
      </c>
      <c r="BM74" s="13">
        <v>0</v>
      </c>
      <c r="BN74" s="13">
        <v>3258.4391999999998</v>
      </c>
      <c r="BO74" s="13">
        <v>172.71420000000001</v>
      </c>
      <c r="BP74" s="13">
        <v>3085.7249999999999</v>
      </c>
      <c r="BQ74" s="13">
        <v>87</v>
      </c>
      <c r="BR74" s="13">
        <v>87</v>
      </c>
      <c r="BS74" s="13">
        <v>0</v>
      </c>
      <c r="BT74" s="13">
        <v>3010.7241999999997</v>
      </c>
      <c r="BU74" s="13">
        <v>110.1427</v>
      </c>
      <c r="BV74" s="13">
        <v>2900.5814999999998</v>
      </c>
      <c r="BW74" s="13">
        <v>111</v>
      </c>
      <c r="BX74" s="13">
        <v>111</v>
      </c>
      <c r="BY74" s="13">
        <v>0</v>
      </c>
      <c r="BZ74" s="13">
        <v>2134.4639999999999</v>
      </c>
      <c r="CA74" s="13">
        <v>122.57130000000001</v>
      </c>
      <c r="CB74" s="13">
        <v>2011.8927000000001</v>
      </c>
      <c r="CC74" s="13">
        <v>125</v>
      </c>
      <c r="CD74" s="13">
        <v>125</v>
      </c>
      <c r="CE74" s="13">
        <v>0</v>
      </c>
      <c r="CF74" s="13">
        <v>3864.1271000000002</v>
      </c>
      <c r="CG74" s="13">
        <v>136.57130000000001</v>
      </c>
      <c r="CH74" s="13">
        <v>3727.5558000000001</v>
      </c>
      <c r="CI74" s="13">
        <v>131</v>
      </c>
      <c r="CJ74" s="13">
        <v>131</v>
      </c>
      <c r="CK74" s="13">
        <v>0</v>
      </c>
      <c r="CL74" s="13">
        <v>2059.5774000000001</v>
      </c>
      <c r="CM74" s="13">
        <v>208.14240000000001</v>
      </c>
      <c r="CN74" s="13">
        <v>1851.4349999999999</v>
      </c>
      <c r="CO74" s="13">
        <v>96</v>
      </c>
      <c r="CP74" s="13">
        <v>96</v>
      </c>
      <c r="CQ74" s="13">
        <v>0</v>
      </c>
      <c r="CR74" s="13">
        <v>2696.1086</v>
      </c>
      <c r="CS74" s="13">
        <v>128.78540000000001</v>
      </c>
      <c r="CT74" s="13">
        <v>2567.3231999999998</v>
      </c>
      <c r="CU74" s="13">
        <f t="shared" si="8"/>
        <v>1385</v>
      </c>
      <c r="CV74" s="13">
        <f t="shared" si="8"/>
        <v>1385</v>
      </c>
      <c r="CW74" s="13">
        <f t="shared" si="8"/>
        <v>0</v>
      </c>
      <c r="CX74" s="13">
        <f t="shared" si="8"/>
        <v>32659.206300000005</v>
      </c>
      <c r="CY74" s="13">
        <f t="shared" si="8"/>
        <v>1579.7841000000001</v>
      </c>
      <c r="CZ74" s="13">
        <f t="shared" si="8"/>
        <v>31079.422199999997</v>
      </c>
      <c r="DA74" s="13">
        <f t="shared" si="9"/>
        <v>352</v>
      </c>
      <c r="DB74" s="13">
        <f t="shared" si="9"/>
        <v>352</v>
      </c>
      <c r="DC74" s="13">
        <f t="shared" si="9"/>
        <v>0</v>
      </c>
      <c r="DD74" s="13">
        <f t="shared" si="9"/>
        <v>8619.8130999999994</v>
      </c>
      <c r="DE74" s="13">
        <f t="shared" si="9"/>
        <v>473.4991</v>
      </c>
      <c r="DF74" s="13">
        <f t="shared" si="9"/>
        <v>8146.3139999999994</v>
      </c>
      <c r="DG74" s="13">
        <f t="shared" si="10"/>
        <v>363</v>
      </c>
      <c r="DH74" s="13">
        <f t="shared" si="10"/>
        <v>363</v>
      </c>
      <c r="DI74" s="13">
        <f t="shared" si="10"/>
        <v>0</v>
      </c>
      <c r="DJ74" s="13">
        <f t="shared" si="10"/>
        <v>8403.6273999999994</v>
      </c>
      <c r="DK74" s="13">
        <f t="shared" si="10"/>
        <v>405.4282</v>
      </c>
      <c r="DL74" s="13">
        <f t="shared" si="10"/>
        <v>7998.1992</v>
      </c>
      <c r="DM74" s="13">
        <f t="shared" si="11"/>
        <v>227</v>
      </c>
      <c r="DN74" s="13">
        <f t="shared" si="11"/>
        <v>227</v>
      </c>
      <c r="DO74" s="13">
        <f t="shared" si="11"/>
        <v>0</v>
      </c>
      <c r="DP74" s="13">
        <f t="shared" si="11"/>
        <v>4755.6859999999997</v>
      </c>
      <c r="DQ74" s="13">
        <f t="shared" si="11"/>
        <v>336.92780000000005</v>
      </c>
      <c r="DR74" s="13">
        <f t="shared" si="11"/>
        <v>4418.7582000000002</v>
      </c>
      <c r="DS74" s="14" t="s">
        <v>71</v>
      </c>
      <c r="DT74" s="14" t="s">
        <v>61</v>
      </c>
      <c r="DU74" s="14" t="s">
        <v>73</v>
      </c>
      <c r="DV74" s="14" t="s">
        <v>82</v>
      </c>
      <c r="DW74" s="14" t="s">
        <v>64</v>
      </c>
    </row>
    <row r="75" spans="2:127" x14ac:dyDescent="0.3">
      <c r="B75" s="11" t="s">
        <v>65</v>
      </c>
      <c r="C75" s="12">
        <v>5001342003</v>
      </c>
      <c r="D75" s="11" t="s">
        <v>316</v>
      </c>
      <c r="E75" s="11" t="s">
        <v>55</v>
      </c>
      <c r="F75" s="11" t="s">
        <v>317</v>
      </c>
      <c r="G75" s="11" t="s">
        <v>232</v>
      </c>
      <c r="H75" s="11" t="s">
        <v>206</v>
      </c>
      <c r="I75" s="11">
        <v>10029</v>
      </c>
      <c r="J75" s="11" t="s">
        <v>59</v>
      </c>
      <c r="K75" s="11"/>
      <c r="L75" s="11"/>
      <c r="M75" s="11"/>
      <c r="N75" s="11"/>
      <c r="O75" s="13">
        <v>1417</v>
      </c>
      <c r="P75" s="13">
        <v>1417</v>
      </c>
      <c r="Q75" s="13">
        <v>0</v>
      </c>
      <c r="R75" s="13">
        <v>104387.6381</v>
      </c>
      <c r="S75" s="13">
        <v>1879.8535999999999</v>
      </c>
      <c r="T75" s="13">
        <v>102507.78449999999</v>
      </c>
      <c r="U75" s="13">
        <v>161</v>
      </c>
      <c r="V75" s="13">
        <v>161</v>
      </c>
      <c r="W75" s="13">
        <v>0</v>
      </c>
      <c r="X75" s="13">
        <v>7852.1692000000003</v>
      </c>
      <c r="Y75" s="13">
        <v>199.5712</v>
      </c>
      <c r="Z75" s="13">
        <v>7652.598</v>
      </c>
      <c r="AA75" s="13">
        <v>169</v>
      </c>
      <c r="AB75" s="13">
        <v>169</v>
      </c>
      <c r="AC75" s="13">
        <v>0</v>
      </c>
      <c r="AD75" s="13">
        <v>8881.5442999999996</v>
      </c>
      <c r="AE75" s="13">
        <v>192.14269999999999</v>
      </c>
      <c r="AF75" s="13">
        <v>8689.4015999999992</v>
      </c>
      <c r="AG75" s="13">
        <v>103</v>
      </c>
      <c r="AH75" s="13">
        <v>103</v>
      </c>
      <c r="AI75" s="13">
        <v>0</v>
      </c>
      <c r="AJ75" s="13">
        <v>7130.3526999999995</v>
      </c>
      <c r="AK75" s="13">
        <v>131.92840000000001</v>
      </c>
      <c r="AL75" s="13">
        <v>6998.4242999999997</v>
      </c>
      <c r="AM75" s="13">
        <v>58</v>
      </c>
      <c r="AN75" s="13">
        <v>58</v>
      </c>
      <c r="AO75" s="13">
        <v>0</v>
      </c>
      <c r="AP75" s="13">
        <v>6877.2591999999995</v>
      </c>
      <c r="AQ75" s="13">
        <v>76.321300000000008</v>
      </c>
      <c r="AR75" s="13">
        <v>6800.9378999999999</v>
      </c>
      <c r="AS75" s="13">
        <v>161</v>
      </c>
      <c r="AT75" s="13">
        <v>161</v>
      </c>
      <c r="AU75" s="13">
        <v>0</v>
      </c>
      <c r="AV75" s="13">
        <v>9419.3311999999987</v>
      </c>
      <c r="AW75" s="13">
        <v>236.21359999999999</v>
      </c>
      <c r="AX75" s="13">
        <v>9183.1175999999996</v>
      </c>
      <c r="AY75" s="13">
        <v>69</v>
      </c>
      <c r="AZ75" s="13">
        <v>69</v>
      </c>
      <c r="BA75" s="13">
        <v>0</v>
      </c>
      <c r="BB75" s="13">
        <v>7815.5190000000002</v>
      </c>
      <c r="BC75" s="13">
        <v>125.89230000000001</v>
      </c>
      <c r="BD75" s="13">
        <v>7689.6266999999998</v>
      </c>
      <c r="BE75" s="13">
        <v>88</v>
      </c>
      <c r="BF75" s="13">
        <v>88</v>
      </c>
      <c r="BG75" s="13">
        <v>0</v>
      </c>
      <c r="BH75" s="13">
        <v>6866.9516000000003</v>
      </c>
      <c r="BI75" s="13">
        <v>140.0711</v>
      </c>
      <c r="BJ75" s="13">
        <v>6726.8805000000002</v>
      </c>
      <c r="BK75" s="13">
        <v>86</v>
      </c>
      <c r="BL75" s="13">
        <v>86</v>
      </c>
      <c r="BM75" s="13">
        <v>0</v>
      </c>
      <c r="BN75" s="13">
        <v>9588.1036999999997</v>
      </c>
      <c r="BO75" s="13">
        <v>145.7852</v>
      </c>
      <c r="BP75" s="13">
        <v>9442.3184999999994</v>
      </c>
      <c r="BQ75" s="13">
        <v>120</v>
      </c>
      <c r="BR75" s="13">
        <v>120</v>
      </c>
      <c r="BS75" s="13">
        <v>0</v>
      </c>
      <c r="BT75" s="13">
        <v>7332.4961999999996</v>
      </c>
      <c r="BU75" s="13">
        <v>148.92840000000001</v>
      </c>
      <c r="BV75" s="13">
        <v>7183.5677999999998</v>
      </c>
      <c r="BW75" s="13">
        <v>119</v>
      </c>
      <c r="BX75" s="13">
        <v>119</v>
      </c>
      <c r="BY75" s="13">
        <v>0</v>
      </c>
      <c r="BZ75" s="13">
        <v>7631.1974</v>
      </c>
      <c r="CA75" s="13">
        <v>126.71420000000001</v>
      </c>
      <c r="CB75" s="13">
        <v>7504.4831999999997</v>
      </c>
      <c r="CC75" s="13">
        <v>123</v>
      </c>
      <c r="CD75" s="13">
        <v>123</v>
      </c>
      <c r="CE75" s="13">
        <v>0</v>
      </c>
      <c r="CF75" s="13">
        <v>9216.2456999999995</v>
      </c>
      <c r="CG75" s="13">
        <v>144.21420000000001</v>
      </c>
      <c r="CH75" s="13">
        <v>9072.0314999999991</v>
      </c>
      <c r="CI75" s="13">
        <v>117</v>
      </c>
      <c r="CJ75" s="13">
        <v>117</v>
      </c>
      <c r="CK75" s="13">
        <v>0</v>
      </c>
      <c r="CL75" s="13">
        <v>8701.2938999999988</v>
      </c>
      <c r="CM75" s="13">
        <v>135.32130000000001</v>
      </c>
      <c r="CN75" s="13">
        <v>8565.9725999999991</v>
      </c>
      <c r="CO75" s="13">
        <v>43</v>
      </c>
      <c r="CP75" s="13">
        <v>43</v>
      </c>
      <c r="CQ75" s="13">
        <v>0</v>
      </c>
      <c r="CR75" s="13">
        <v>7075.174</v>
      </c>
      <c r="CS75" s="13">
        <v>76.74969999999999</v>
      </c>
      <c r="CT75" s="13">
        <v>6998.4242999999997</v>
      </c>
      <c r="CU75" s="13">
        <f t="shared" si="8"/>
        <v>1256</v>
      </c>
      <c r="CV75" s="13">
        <f t="shared" si="8"/>
        <v>1256</v>
      </c>
      <c r="CW75" s="13">
        <f t="shared" si="8"/>
        <v>0</v>
      </c>
      <c r="CX75" s="13">
        <f t="shared" si="8"/>
        <v>96535.468900000007</v>
      </c>
      <c r="CY75" s="13">
        <f t="shared" si="8"/>
        <v>1680.2823999999998</v>
      </c>
      <c r="CZ75" s="13">
        <f t="shared" si="8"/>
        <v>94855.186499999982</v>
      </c>
      <c r="DA75" s="13">
        <f t="shared" si="9"/>
        <v>283</v>
      </c>
      <c r="DB75" s="13">
        <f t="shared" si="9"/>
        <v>283</v>
      </c>
      <c r="DC75" s="13">
        <f t="shared" si="9"/>
        <v>0</v>
      </c>
      <c r="DD75" s="13">
        <f t="shared" si="9"/>
        <v>24992.713599999995</v>
      </c>
      <c r="DE75" s="13">
        <f t="shared" si="9"/>
        <v>356.28520000000003</v>
      </c>
      <c r="DF75" s="13">
        <f t="shared" si="9"/>
        <v>24636.428399999997</v>
      </c>
      <c r="DG75" s="13">
        <f t="shared" si="10"/>
        <v>325</v>
      </c>
      <c r="DH75" s="13">
        <f t="shared" si="10"/>
        <v>325</v>
      </c>
      <c r="DI75" s="13">
        <f t="shared" si="10"/>
        <v>0</v>
      </c>
      <c r="DJ75" s="13">
        <f t="shared" si="10"/>
        <v>24551.797300000002</v>
      </c>
      <c r="DK75" s="13">
        <f t="shared" si="10"/>
        <v>421.42780000000005</v>
      </c>
      <c r="DL75" s="13">
        <f t="shared" si="10"/>
        <v>24130.369499999997</v>
      </c>
      <c r="DM75" s="13">
        <f t="shared" si="11"/>
        <v>160</v>
      </c>
      <c r="DN75" s="13">
        <f t="shared" si="11"/>
        <v>160</v>
      </c>
      <c r="DO75" s="13">
        <f t="shared" si="11"/>
        <v>0</v>
      </c>
      <c r="DP75" s="13">
        <f t="shared" si="11"/>
        <v>15776.4679</v>
      </c>
      <c r="DQ75" s="13">
        <f t="shared" si="11"/>
        <v>212.071</v>
      </c>
      <c r="DR75" s="13">
        <f t="shared" si="11"/>
        <v>15564.3969</v>
      </c>
      <c r="DS75" s="14" t="s">
        <v>60</v>
      </c>
      <c r="DT75" s="14" t="s">
        <v>125</v>
      </c>
      <c r="DU75" s="14" t="s">
        <v>62</v>
      </c>
      <c r="DV75" s="14" t="s">
        <v>82</v>
      </c>
      <c r="DW75" s="14" t="s">
        <v>126</v>
      </c>
    </row>
    <row r="76" spans="2:127" x14ac:dyDescent="0.3">
      <c r="B76" s="11" t="s">
        <v>75</v>
      </c>
      <c r="C76" s="12">
        <v>5001342027</v>
      </c>
      <c r="D76" s="11" t="s">
        <v>318</v>
      </c>
      <c r="E76" s="11" t="s">
        <v>55</v>
      </c>
      <c r="F76" s="11" t="s">
        <v>319</v>
      </c>
      <c r="G76" s="11" t="s">
        <v>320</v>
      </c>
      <c r="H76" s="11" t="s">
        <v>220</v>
      </c>
      <c r="I76" s="11">
        <v>27705</v>
      </c>
      <c r="J76" s="11" t="s">
        <v>59</v>
      </c>
      <c r="K76" s="11"/>
      <c r="L76" s="11"/>
      <c r="M76" s="11"/>
      <c r="N76" s="11"/>
      <c r="O76" s="13">
        <v>4855</v>
      </c>
      <c r="P76" s="13">
        <v>4855</v>
      </c>
      <c r="Q76" s="13">
        <v>0</v>
      </c>
      <c r="R76" s="13">
        <v>72440.468299999993</v>
      </c>
      <c r="S76" s="13">
        <v>5751.7795999999998</v>
      </c>
      <c r="T76" s="13">
        <v>66688.688699999999</v>
      </c>
      <c r="U76" s="13">
        <v>281</v>
      </c>
      <c r="V76" s="13">
        <v>281</v>
      </c>
      <c r="W76" s="13">
        <v>0</v>
      </c>
      <c r="X76" s="13">
        <v>5155.4804999999997</v>
      </c>
      <c r="Y76" s="13">
        <v>341.74950000000001</v>
      </c>
      <c r="Z76" s="13">
        <v>4813.7309999999998</v>
      </c>
      <c r="AA76" s="13">
        <v>516</v>
      </c>
      <c r="AB76" s="13">
        <v>516</v>
      </c>
      <c r="AC76" s="13">
        <v>0</v>
      </c>
      <c r="AD76" s="13">
        <v>5569.4526000000005</v>
      </c>
      <c r="AE76" s="13">
        <v>607.60680000000002</v>
      </c>
      <c r="AF76" s="13">
        <v>4961.8458000000001</v>
      </c>
      <c r="AG76" s="13">
        <v>294</v>
      </c>
      <c r="AH76" s="13">
        <v>294</v>
      </c>
      <c r="AI76" s="13">
        <v>0</v>
      </c>
      <c r="AJ76" s="13">
        <v>4872.0583999999999</v>
      </c>
      <c r="AK76" s="13">
        <v>342.21410000000003</v>
      </c>
      <c r="AL76" s="13">
        <v>4529.8442999999997</v>
      </c>
      <c r="AM76" s="13">
        <v>337</v>
      </c>
      <c r="AN76" s="13">
        <v>337</v>
      </c>
      <c r="AO76" s="13">
        <v>0</v>
      </c>
      <c r="AP76" s="13">
        <v>5259.8870999999999</v>
      </c>
      <c r="AQ76" s="13">
        <v>458.49900000000002</v>
      </c>
      <c r="AR76" s="13">
        <v>4801.3881000000001</v>
      </c>
      <c r="AS76" s="13">
        <v>396</v>
      </c>
      <c r="AT76" s="13">
        <v>396</v>
      </c>
      <c r="AU76" s="13">
        <v>0</v>
      </c>
      <c r="AV76" s="13">
        <v>5691.6814999999997</v>
      </c>
      <c r="AW76" s="13">
        <v>495.32060000000001</v>
      </c>
      <c r="AX76" s="13">
        <v>5196.3608999999997</v>
      </c>
      <c r="AY76" s="13">
        <v>331</v>
      </c>
      <c r="AZ76" s="13">
        <v>331</v>
      </c>
      <c r="BA76" s="13">
        <v>0</v>
      </c>
      <c r="BB76" s="13">
        <v>5477.2169999999996</v>
      </c>
      <c r="BC76" s="13">
        <v>404.2851</v>
      </c>
      <c r="BD76" s="13">
        <v>5072.9318999999996</v>
      </c>
      <c r="BE76" s="13">
        <v>336</v>
      </c>
      <c r="BF76" s="13">
        <v>336</v>
      </c>
      <c r="BG76" s="13">
        <v>0</v>
      </c>
      <c r="BH76" s="13">
        <v>4730.0716000000002</v>
      </c>
      <c r="BI76" s="13">
        <v>397.71370000000002</v>
      </c>
      <c r="BJ76" s="13">
        <v>4332.3579</v>
      </c>
      <c r="BK76" s="13">
        <v>407</v>
      </c>
      <c r="BL76" s="13">
        <v>407</v>
      </c>
      <c r="BM76" s="13">
        <v>0</v>
      </c>
      <c r="BN76" s="13">
        <v>6034.3976999999995</v>
      </c>
      <c r="BO76" s="13">
        <v>467.74979999999999</v>
      </c>
      <c r="BP76" s="13">
        <v>5566.6478999999999</v>
      </c>
      <c r="BQ76" s="13">
        <v>322</v>
      </c>
      <c r="BR76" s="13">
        <v>322</v>
      </c>
      <c r="BS76" s="13">
        <v>0</v>
      </c>
      <c r="BT76" s="13">
        <v>5333.2169000000004</v>
      </c>
      <c r="BU76" s="13">
        <v>383.714</v>
      </c>
      <c r="BV76" s="13">
        <v>4949.5029000000004</v>
      </c>
      <c r="BW76" s="13">
        <v>379</v>
      </c>
      <c r="BX76" s="13">
        <v>379</v>
      </c>
      <c r="BY76" s="13">
        <v>0</v>
      </c>
      <c r="BZ76" s="13">
        <v>5860.7894999999999</v>
      </c>
      <c r="CA76" s="13">
        <v>479.2851</v>
      </c>
      <c r="CB76" s="13">
        <v>5381.5043999999998</v>
      </c>
      <c r="CC76" s="13">
        <v>427</v>
      </c>
      <c r="CD76" s="13">
        <v>427</v>
      </c>
      <c r="CE76" s="13">
        <v>0</v>
      </c>
      <c r="CF76" s="13">
        <v>7404.2093999999997</v>
      </c>
      <c r="CG76" s="13">
        <v>467.49959999999999</v>
      </c>
      <c r="CH76" s="13">
        <v>6936.7097999999996</v>
      </c>
      <c r="CI76" s="13">
        <v>448</v>
      </c>
      <c r="CJ76" s="13">
        <v>448</v>
      </c>
      <c r="CK76" s="13">
        <v>0</v>
      </c>
      <c r="CL76" s="13">
        <v>5421.9953000000005</v>
      </c>
      <c r="CM76" s="13">
        <v>497.1782</v>
      </c>
      <c r="CN76" s="13">
        <v>4924.8171000000002</v>
      </c>
      <c r="CO76" s="13">
        <v>381</v>
      </c>
      <c r="CP76" s="13">
        <v>381</v>
      </c>
      <c r="CQ76" s="13">
        <v>0</v>
      </c>
      <c r="CR76" s="13">
        <v>5630.0108</v>
      </c>
      <c r="CS76" s="13">
        <v>408.96409999999997</v>
      </c>
      <c r="CT76" s="13">
        <v>5221.0466999999999</v>
      </c>
      <c r="CU76" s="13">
        <f t="shared" si="8"/>
        <v>4574</v>
      </c>
      <c r="CV76" s="13">
        <f t="shared" si="8"/>
        <v>4574</v>
      </c>
      <c r="CW76" s="13">
        <f t="shared" si="8"/>
        <v>0</v>
      </c>
      <c r="CX76" s="13">
        <f t="shared" si="8"/>
        <v>67284.987800000003</v>
      </c>
      <c r="CY76" s="13">
        <f t="shared" si="8"/>
        <v>5410.0300999999999</v>
      </c>
      <c r="CZ76" s="13">
        <f t="shared" si="8"/>
        <v>61874.957699999992</v>
      </c>
      <c r="DA76" s="13">
        <f t="shared" si="9"/>
        <v>1256</v>
      </c>
      <c r="DB76" s="13">
        <f t="shared" si="9"/>
        <v>1256</v>
      </c>
      <c r="DC76" s="13">
        <f t="shared" si="9"/>
        <v>0</v>
      </c>
      <c r="DD76" s="13">
        <f t="shared" si="9"/>
        <v>18456.215499999998</v>
      </c>
      <c r="DE76" s="13">
        <f t="shared" si="9"/>
        <v>1373.6418999999999</v>
      </c>
      <c r="DF76" s="13">
        <f t="shared" si="9"/>
        <v>17082.5736</v>
      </c>
      <c r="DG76" s="13">
        <f t="shared" si="10"/>
        <v>1108</v>
      </c>
      <c r="DH76" s="13">
        <f t="shared" si="10"/>
        <v>1108</v>
      </c>
      <c r="DI76" s="13">
        <f t="shared" si="10"/>
        <v>0</v>
      </c>
      <c r="DJ76" s="13">
        <f t="shared" si="10"/>
        <v>17228.4041</v>
      </c>
      <c r="DK76" s="13">
        <f t="shared" si="10"/>
        <v>1330.7489</v>
      </c>
      <c r="DL76" s="13">
        <f t="shared" si="10"/>
        <v>15897.655199999999</v>
      </c>
      <c r="DM76" s="13">
        <f t="shared" si="11"/>
        <v>829</v>
      </c>
      <c r="DN76" s="13">
        <f t="shared" si="11"/>
        <v>829</v>
      </c>
      <c r="DO76" s="13">
        <f t="shared" si="11"/>
        <v>0</v>
      </c>
      <c r="DP76" s="13">
        <f t="shared" si="11"/>
        <v>11052.006100000001</v>
      </c>
      <c r="DQ76" s="13">
        <f t="shared" si="11"/>
        <v>906.14229999999998</v>
      </c>
      <c r="DR76" s="13">
        <f t="shared" si="11"/>
        <v>10145.863799999999</v>
      </c>
      <c r="DS76" s="14" t="s">
        <v>60</v>
      </c>
      <c r="DT76" s="14" t="s">
        <v>72</v>
      </c>
      <c r="DU76" s="14" t="s">
        <v>73</v>
      </c>
      <c r="DV76" s="14" t="s">
        <v>82</v>
      </c>
      <c r="DW76" s="14" t="s">
        <v>64</v>
      </c>
    </row>
    <row r="77" spans="2:127" x14ac:dyDescent="0.3">
      <c r="B77" s="11" t="s">
        <v>75</v>
      </c>
      <c r="C77" s="12">
        <v>5001342032</v>
      </c>
      <c r="D77" s="11" t="s">
        <v>321</v>
      </c>
      <c r="E77" s="11" t="s">
        <v>55</v>
      </c>
      <c r="F77" s="11" t="s">
        <v>322</v>
      </c>
      <c r="G77" s="11" t="s">
        <v>156</v>
      </c>
      <c r="H77" s="11" t="s">
        <v>157</v>
      </c>
      <c r="I77" s="11">
        <v>30322</v>
      </c>
      <c r="J77" s="11" t="s">
        <v>59</v>
      </c>
      <c r="K77" s="11"/>
      <c r="L77" s="11"/>
      <c r="M77" s="11"/>
      <c r="N77" s="11"/>
      <c r="O77" s="13">
        <v>114</v>
      </c>
      <c r="P77" s="13">
        <v>114</v>
      </c>
      <c r="Q77" s="13">
        <v>0</v>
      </c>
      <c r="R77" s="13">
        <v>77142.166200000007</v>
      </c>
      <c r="S77" s="13">
        <v>1282.7028</v>
      </c>
      <c r="T77" s="13">
        <v>75859.463399999993</v>
      </c>
      <c r="U77" s="13">
        <v>6</v>
      </c>
      <c r="V77" s="13">
        <v>6</v>
      </c>
      <c r="W77" s="13">
        <v>0</v>
      </c>
      <c r="X77" s="13">
        <v>4902.8523000000005</v>
      </c>
      <c r="Y77" s="13">
        <v>39.749699999999997</v>
      </c>
      <c r="Z77" s="13">
        <v>4863.1026000000002</v>
      </c>
      <c r="AA77" s="13">
        <v>18</v>
      </c>
      <c r="AB77" s="13">
        <v>18</v>
      </c>
      <c r="AC77" s="13">
        <v>0</v>
      </c>
      <c r="AD77" s="13">
        <v>6066.4056</v>
      </c>
      <c r="AE77" s="13">
        <v>104.78489999999999</v>
      </c>
      <c r="AF77" s="13">
        <v>5961.6207000000004</v>
      </c>
      <c r="AG77" s="13">
        <v>0</v>
      </c>
      <c r="AH77" s="13">
        <v>0</v>
      </c>
      <c r="AI77" s="13">
        <v>0</v>
      </c>
      <c r="AJ77" s="13">
        <v>4612.9647000000004</v>
      </c>
      <c r="AK77" s="13">
        <v>95.463300000000004</v>
      </c>
      <c r="AL77" s="13">
        <v>4517.5014000000001</v>
      </c>
      <c r="AM77" s="13">
        <v>10</v>
      </c>
      <c r="AN77" s="13">
        <v>10</v>
      </c>
      <c r="AO77" s="13">
        <v>0</v>
      </c>
      <c r="AP77" s="13">
        <v>5109.1593000000003</v>
      </c>
      <c r="AQ77" s="13">
        <v>110.2848</v>
      </c>
      <c r="AR77" s="13">
        <v>4998.8744999999999</v>
      </c>
      <c r="AS77" s="13">
        <v>35</v>
      </c>
      <c r="AT77" s="13">
        <v>35</v>
      </c>
      <c r="AU77" s="13">
        <v>0</v>
      </c>
      <c r="AV77" s="13">
        <v>6591.1994000000004</v>
      </c>
      <c r="AW77" s="13">
        <v>172.8914</v>
      </c>
      <c r="AX77" s="13">
        <v>6418.308</v>
      </c>
      <c r="AY77" s="13">
        <v>15</v>
      </c>
      <c r="AZ77" s="13">
        <v>15</v>
      </c>
      <c r="BA77" s="13">
        <v>0</v>
      </c>
      <c r="BB77" s="13">
        <v>6008.0547999999999</v>
      </c>
      <c r="BC77" s="13">
        <v>145.1773</v>
      </c>
      <c r="BD77" s="13">
        <v>5862.8774999999996</v>
      </c>
      <c r="BE77" s="13">
        <v>0</v>
      </c>
      <c r="BF77" s="13">
        <v>0</v>
      </c>
      <c r="BG77" s="13">
        <v>0</v>
      </c>
      <c r="BH77" s="13">
        <v>5910.1253000000006</v>
      </c>
      <c r="BI77" s="13">
        <v>170.67679999999999</v>
      </c>
      <c r="BJ77" s="13">
        <v>5739.4485000000004</v>
      </c>
      <c r="BK77" s="13">
        <v>10</v>
      </c>
      <c r="BL77" s="13">
        <v>10</v>
      </c>
      <c r="BM77" s="13">
        <v>0</v>
      </c>
      <c r="BN77" s="13">
        <v>7556.3316000000004</v>
      </c>
      <c r="BO77" s="13">
        <v>138.24870000000001</v>
      </c>
      <c r="BP77" s="13">
        <v>7418.0829000000003</v>
      </c>
      <c r="BQ77" s="13">
        <v>20</v>
      </c>
      <c r="BR77" s="13">
        <v>20</v>
      </c>
      <c r="BS77" s="13">
        <v>0</v>
      </c>
      <c r="BT77" s="13">
        <v>5667.2618000000002</v>
      </c>
      <c r="BU77" s="13">
        <v>75.928100000000001</v>
      </c>
      <c r="BV77" s="13">
        <v>5591.3337000000001</v>
      </c>
      <c r="BW77" s="13">
        <v>0</v>
      </c>
      <c r="BX77" s="13">
        <v>0</v>
      </c>
      <c r="BY77" s="13">
        <v>0</v>
      </c>
      <c r="BZ77" s="13">
        <v>6215.6133</v>
      </c>
      <c r="CA77" s="13">
        <v>93.534899999999993</v>
      </c>
      <c r="CB77" s="13">
        <v>6122.0784000000003</v>
      </c>
      <c r="CC77" s="13">
        <v>0</v>
      </c>
      <c r="CD77" s="13">
        <v>0</v>
      </c>
      <c r="CE77" s="13">
        <v>0</v>
      </c>
      <c r="CF77" s="13">
        <v>6612.9007999999994</v>
      </c>
      <c r="CG77" s="13">
        <v>58.820900000000002</v>
      </c>
      <c r="CH77" s="13">
        <v>6554.0798999999997</v>
      </c>
      <c r="CI77" s="13">
        <v>0</v>
      </c>
      <c r="CJ77" s="13">
        <v>0</v>
      </c>
      <c r="CK77" s="13">
        <v>0</v>
      </c>
      <c r="CL77" s="13">
        <v>5433.1899000000003</v>
      </c>
      <c r="CM77" s="13">
        <v>26.999700000000001</v>
      </c>
      <c r="CN77" s="13">
        <v>5406.1902</v>
      </c>
      <c r="CO77" s="13">
        <v>0</v>
      </c>
      <c r="CP77" s="13">
        <v>0</v>
      </c>
      <c r="CQ77" s="13">
        <v>0</v>
      </c>
      <c r="CR77" s="13">
        <v>6456.1074000000008</v>
      </c>
      <c r="CS77" s="13">
        <v>50.142299999999999</v>
      </c>
      <c r="CT77" s="13">
        <v>6405.9651000000003</v>
      </c>
      <c r="CU77" s="13">
        <f t="shared" si="8"/>
        <v>108</v>
      </c>
      <c r="CV77" s="13">
        <f t="shared" si="8"/>
        <v>108</v>
      </c>
      <c r="CW77" s="13">
        <f t="shared" si="8"/>
        <v>0</v>
      </c>
      <c r="CX77" s="13">
        <f t="shared" si="8"/>
        <v>72239.313900000008</v>
      </c>
      <c r="CY77" s="13">
        <f t="shared" si="8"/>
        <v>1242.9530999999997</v>
      </c>
      <c r="CZ77" s="13">
        <f t="shared" si="8"/>
        <v>70996.360799999995</v>
      </c>
      <c r="DA77" s="13">
        <f t="shared" si="9"/>
        <v>0</v>
      </c>
      <c r="DB77" s="13">
        <f t="shared" si="9"/>
        <v>0</v>
      </c>
      <c r="DC77" s="13">
        <f t="shared" si="9"/>
        <v>0</v>
      </c>
      <c r="DD77" s="13">
        <f t="shared" si="9"/>
        <v>18502.198100000001</v>
      </c>
      <c r="DE77" s="13">
        <f t="shared" si="9"/>
        <v>135.96289999999999</v>
      </c>
      <c r="DF77" s="13">
        <f t="shared" si="9"/>
        <v>18366.235199999999</v>
      </c>
      <c r="DG77" s="13">
        <f t="shared" si="10"/>
        <v>30</v>
      </c>
      <c r="DH77" s="13">
        <f t="shared" si="10"/>
        <v>30</v>
      </c>
      <c r="DI77" s="13">
        <f t="shared" si="10"/>
        <v>0</v>
      </c>
      <c r="DJ77" s="13">
        <f t="shared" si="10"/>
        <v>19439.206700000002</v>
      </c>
      <c r="DK77" s="13">
        <f t="shared" si="10"/>
        <v>307.71170000000001</v>
      </c>
      <c r="DL77" s="13">
        <f t="shared" si="10"/>
        <v>19131.495000000003</v>
      </c>
      <c r="DM77" s="13">
        <f t="shared" si="11"/>
        <v>0</v>
      </c>
      <c r="DN77" s="13">
        <f t="shared" si="11"/>
        <v>0</v>
      </c>
      <c r="DO77" s="13">
        <f t="shared" si="11"/>
        <v>0</v>
      </c>
      <c r="DP77" s="13">
        <f t="shared" si="11"/>
        <v>11889.297300000002</v>
      </c>
      <c r="DQ77" s="13">
        <f t="shared" si="11"/>
        <v>77.141999999999996</v>
      </c>
      <c r="DR77" s="13">
        <f t="shared" si="11"/>
        <v>11812.1553</v>
      </c>
      <c r="DS77" s="14" t="s">
        <v>60</v>
      </c>
      <c r="DT77" s="14" t="s">
        <v>72</v>
      </c>
      <c r="DU77" s="14" t="s">
        <v>62</v>
      </c>
      <c r="DV77" s="14" t="s">
        <v>82</v>
      </c>
      <c r="DW77" s="14" t="s">
        <v>64</v>
      </c>
    </row>
    <row r="78" spans="2:127" x14ac:dyDescent="0.3">
      <c r="B78" s="11" t="s">
        <v>83</v>
      </c>
      <c r="C78" s="12">
        <v>5001342037</v>
      </c>
      <c r="D78" s="11" t="s">
        <v>323</v>
      </c>
      <c r="E78" s="11" t="s">
        <v>55</v>
      </c>
      <c r="F78" s="11" t="s">
        <v>324</v>
      </c>
      <c r="G78" s="11" t="s">
        <v>325</v>
      </c>
      <c r="H78" s="11" t="s">
        <v>309</v>
      </c>
      <c r="I78" s="11">
        <v>55454</v>
      </c>
      <c r="J78" s="11" t="s">
        <v>59</v>
      </c>
      <c r="K78" s="11"/>
      <c r="L78" s="11"/>
      <c r="M78" s="11"/>
      <c r="N78" s="11"/>
      <c r="O78" s="13">
        <v>1575</v>
      </c>
      <c r="P78" s="13">
        <v>1575</v>
      </c>
      <c r="Q78" s="13">
        <v>0</v>
      </c>
      <c r="R78" s="13">
        <v>43256.194499999998</v>
      </c>
      <c r="S78" s="13">
        <v>2203.7091</v>
      </c>
      <c r="T78" s="13">
        <v>41052.485399999998</v>
      </c>
      <c r="U78" s="13">
        <v>105</v>
      </c>
      <c r="V78" s="13">
        <v>105</v>
      </c>
      <c r="W78" s="13">
        <v>0</v>
      </c>
      <c r="X78" s="13">
        <v>3483.4829</v>
      </c>
      <c r="Y78" s="13">
        <v>126.2141</v>
      </c>
      <c r="Z78" s="13">
        <v>3357.2687999999998</v>
      </c>
      <c r="AA78" s="13">
        <v>134</v>
      </c>
      <c r="AB78" s="13">
        <v>134</v>
      </c>
      <c r="AC78" s="13">
        <v>0</v>
      </c>
      <c r="AD78" s="13">
        <v>3619.3256000000001</v>
      </c>
      <c r="AE78" s="13">
        <v>187.99940000000001</v>
      </c>
      <c r="AF78" s="13">
        <v>3431.3262</v>
      </c>
      <c r="AG78" s="13">
        <v>124</v>
      </c>
      <c r="AH78" s="13">
        <v>124</v>
      </c>
      <c r="AI78" s="13">
        <v>0</v>
      </c>
      <c r="AJ78" s="13">
        <v>3139.5240000000003</v>
      </c>
      <c r="AK78" s="13">
        <v>189.57089999999999</v>
      </c>
      <c r="AL78" s="13">
        <v>2949.9531000000002</v>
      </c>
      <c r="AM78" s="13">
        <v>109</v>
      </c>
      <c r="AN78" s="13">
        <v>109</v>
      </c>
      <c r="AO78" s="13">
        <v>0</v>
      </c>
      <c r="AP78" s="13">
        <v>3280.1604000000002</v>
      </c>
      <c r="AQ78" s="13">
        <v>169.74959999999999</v>
      </c>
      <c r="AR78" s="13">
        <v>3110.4108000000001</v>
      </c>
      <c r="AS78" s="13">
        <v>142</v>
      </c>
      <c r="AT78" s="13">
        <v>142</v>
      </c>
      <c r="AU78" s="13">
        <v>0</v>
      </c>
      <c r="AV78" s="13">
        <v>4134.3491000000004</v>
      </c>
      <c r="AW78" s="13">
        <v>196.964</v>
      </c>
      <c r="AX78" s="13">
        <v>3937.3851</v>
      </c>
      <c r="AY78" s="13">
        <v>81</v>
      </c>
      <c r="AZ78" s="13">
        <v>81</v>
      </c>
      <c r="BA78" s="13">
        <v>0</v>
      </c>
      <c r="BB78" s="13">
        <v>2868.1806999999999</v>
      </c>
      <c r="BC78" s="13">
        <v>115.714</v>
      </c>
      <c r="BD78" s="13">
        <v>2752.4666999999999</v>
      </c>
      <c r="BE78" s="13">
        <v>65</v>
      </c>
      <c r="BF78" s="13">
        <v>65</v>
      </c>
      <c r="BG78" s="13">
        <v>0</v>
      </c>
      <c r="BH78" s="13">
        <v>2916.0164</v>
      </c>
      <c r="BI78" s="13">
        <v>114.1781</v>
      </c>
      <c r="BJ78" s="13">
        <v>2801.8382999999999</v>
      </c>
      <c r="BK78" s="13">
        <v>184</v>
      </c>
      <c r="BL78" s="13">
        <v>184</v>
      </c>
      <c r="BM78" s="13">
        <v>0</v>
      </c>
      <c r="BN78" s="13">
        <v>3791.2116999999998</v>
      </c>
      <c r="BO78" s="13">
        <v>261.14229999999998</v>
      </c>
      <c r="BP78" s="13">
        <v>3530.0693999999999</v>
      </c>
      <c r="BQ78" s="13">
        <v>128</v>
      </c>
      <c r="BR78" s="13">
        <v>128</v>
      </c>
      <c r="BS78" s="13">
        <v>0</v>
      </c>
      <c r="BT78" s="13">
        <v>2599.4719999999998</v>
      </c>
      <c r="BU78" s="13">
        <v>192.60649999999998</v>
      </c>
      <c r="BV78" s="13">
        <v>2406.8654999999999</v>
      </c>
      <c r="BW78" s="13">
        <v>134</v>
      </c>
      <c r="BX78" s="13">
        <v>134</v>
      </c>
      <c r="BY78" s="13">
        <v>0</v>
      </c>
      <c r="BZ78" s="13">
        <v>3409.8825999999999</v>
      </c>
      <c r="CA78" s="13">
        <v>151.357</v>
      </c>
      <c r="CB78" s="13">
        <v>3258.5255999999999</v>
      </c>
      <c r="CC78" s="13">
        <v>187</v>
      </c>
      <c r="CD78" s="13">
        <v>187</v>
      </c>
      <c r="CE78" s="13">
        <v>0</v>
      </c>
      <c r="CF78" s="13">
        <v>3576.4753000000001</v>
      </c>
      <c r="CG78" s="13">
        <v>243.89230000000001</v>
      </c>
      <c r="CH78" s="13">
        <v>3332.5830000000001</v>
      </c>
      <c r="CI78" s="13">
        <v>110</v>
      </c>
      <c r="CJ78" s="13">
        <v>110</v>
      </c>
      <c r="CK78" s="13">
        <v>0</v>
      </c>
      <c r="CL78" s="13">
        <v>3089.8457000000003</v>
      </c>
      <c r="CM78" s="13">
        <v>139.89260000000002</v>
      </c>
      <c r="CN78" s="13">
        <v>2949.9531000000002</v>
      </c>
      <c r="CO78" s="13">
        <v>72</v>
      </c>
      <c r="CP78" s="13">
        <v>72</v>
      </c>
      <c r="CQ78" s="13">
        <v>0</v>
      </c>
      <c r="CR78" s="13">
        <v>3348.2681000000002</v>
      </c>
      <c r="CS78" s="13">
        <v>114.42830000000001</v>
      </c>
      <c r="CT78" s="13">
        <v>3233.8398000000002</v>
      </c>
      <c r="CU78" s="13">
        <f t="shared" si="8"/>
        <v>1470</v>
      </c>
      <c r="CV78" s="13">
        <f t="shared" si="8"/>
        <v>1470</v>
      </c>
      <c r="CW78" s="13">
        <f t="shared" si="8"/>
        <v>0</v>
      </c>
      <c r="CX78" s="13">
        <f t="shared" si="8"/>
        <v>39772.711600000002</v>
      </c>
      <c r="CY78" s="13">
        <f t="shared" si="8"/>
        <v>2077.4949999999999</v>
      </c>
      <c r="CZ78" s="13">
        <f t="shared" si="8"/>
        <v>37695.2166</v>
      </c>
      <c r="DA78" s="13">
        <f t="shared" si="9"/>
        <v>369</v>
      </c>
      <c r="DB78" s="13">
        <f t="shared" si="9"/>
        <v>369</v>
      </c>
      <c r="DC78" s="13">
        <f t="shared" si="9"/>
        <v>0</v>
      </c>
      <c r="DD78" s="13">
        <f t="shared" si="9"/>
        <v>10014.589100000001</v>
      </c>
      <c r="DE78" s="13">
        <f t="shared" si="9"/>
        <v>498.21320000000003</v>
      </c>
      <c r="DF78" s="13">
        <f t="shared" si="9"/>
        <v>9516.3759000000009</v>
      </c>
      <c r="DG78" s="13">
        <f t="shared" si="10"/>
        <v>446</v>
      </c>
      <c r="DH78" s="13">
        <f t="shared" si="10"/>
        <v>446</v>
      </c>
      <c r="DI78" s="13">
        <f t="shared" si="10"/>
        <v>0</v>
      </c>
      <c r="DJ78" s="13">
        <f t="shared" si="10"/>
        <v>9800.5662999999986</v>
      </c>
      <c r="DK78" s="13">
        <f t="shared" si="10"/>
        <v>605.10579999999993</v>
      </c>
      <c r="DL78" s="13">
        <f t="shared" si="10"/>
        <v>9195.460500000001</v>
      </c>
      <c r="DM78" s="13">
        <f t="shared" si="11"/>
        <v>182</v>
      </c>
      <c r="DN78" s="13">
        <f t="shared" si="11"/>
        <v>182</v>
      </c>
      <c r="DO78" s="13">
        <f t="shared" si="11"/>
        <v>0</v>
      </c>
      <c r="DP78" s="13">
        <f t="shared" si="11"/>
        <v>6438.113800000001</v>
      </c>
      <c r="DQ78" s="13">
        <f t="shared" si="11"/>
        <v>254.32090000000002</v>
      </c>
      <c r="DR78" s="13">
        <f t="shared" si="11"/>
        <v>6183.7929000000004</v>
      </c>
      <c r="DS78" s="14" t="s">
        <v>60</v>
      </c>
      <c r="DT78" s="14" t="s">
        <v>81</v>
      </c>
      <c r="DU78" s="14" t="s">
        <v>73</v>
      </c>
      <c r="DV78" s="14" t="s">
        <v>82</v>
      </c>
      <c r="DW78" s="14" t="s">
        <v>74</v>
      </c>
    </row>
    <row r="79" spans="2:127" x14ac:dyDescent="0.3">
      <c r="B79" s="11" t="s">
        <v>75</v>
      </c>
      <c r="C79" s="12">
        <v>5001342042</v>
      </c>
      <c r="D79" s="11" t="s">
        <v>326</v>
      </c>
      <c r="E79" s="11" t="s">
        <v>55</v>
      </c>
      <c r="F79" s="11" t="s">
        <v>327</v>
      </c>
      <c r="G79" s="11" t="s">
        <v>328</v>
      </c>
      <c r="H79" s="11" t="s">
        <v>79</v>
      </c>
      <c r="I79" s="11">
        <v>70809</v>
      </c>
      <c r="J79" s="11" t="s">
        <v>80</v>
      </c>
      <c r="K79" s="11"/>
      <c r="L79" s="11"/>
      <c r="M79" s="11"/>
      <c r="N79" s="11"/>
      <c r="O79" s="13">
        <v>1858</v>
      </c>
      <c r="P79" s="13">
        <v>1858</v>
      </c>
      <c r="Q79" s="13">
        <v>0</v>
      </c>
      <c r="R79" s="13">
        <v>58569.5645</v>
      </c>
      <c r="S79" s="13">
        <v>2767.3136</v>
      </c>
      <c r="T79" s="13">
        <v>55802.250899999999</v>
      </c>
      <c r="U79" s="13">
        <v>181</v>
      </c>
      <c r="V79" s="13">
        <v>181</v>
      </c>
      <c r="W79" s="13">
        <v>0</v>
      </c>
      <c r="X79" s="13">
        <v>3721.4829999999997</v>
      </c>
      <c r="Y79" s="13">
        <v>240.7852</v>
      </c>
      <c r="Z79" s="13">
        <v>3480.6977999999999</v>
      </c>
      <c r="AA79" s="13">
        <v>232</v>
      </c>
      <c r="AB79" s="13">
        <v>232</v>
      </c>
      <c r="AC79" s="13">
        <v>0</v>
      </c>
      <c r="AD79" s="13">
        <v>4710.1573000000008</v>
      </c>
      <c r="AE79" s="13">
        <v>328.42779999999999</v>
      </c>
      <c r="AF79" s="13">
        <v>4381.7295000000004</v>
      </c>
      <c r="AG79" s="13">
        <v>116</v>
      </c>
      <c r="AH79" s="13">
        <v>116</v>
      </c>
      <c r="AI79" s="13">
        <v>0</v>
      </c>
      <c r="AJ79" s="13">
        <v>4017.5126</v>
      </c>
      <c r="AK79" s="13">
        <v>191.21359999999999</v>
      </c>
      <c r="AL79" s="13">
        <v>3826.299</v>
      </c>
      <c r="AM79" s="13">
        <v>148</v>
      </c>
      <c r="AN79" s="13">
        <v>148</v>
      </c>
      <c r="AO79" s="13">
        <v>0</v>
      </c>
      <c r="AP79" s="13">
        <v>4036.9769999999999</v>
      </c>
      <c r="AQ79" s="13">
        <v>210.678</v>
      </c>
      <c r="AR79" s="13">
        <v>3826.299</v>
      </c>
      <c r="AS79" s="13">
        <v>182</v>
      </c>
      <c r="AT79" s="13">
        <v>182</v>
      </c>
      <c r="AU79" s="13">
        <v>0</v>
      </c>
      <c r="AV79" s="13">
        <v>4752.1505000000006</v>
      </c>
      <c r="AW79" s="13">
        <v>271.67779999999999</v>
      </c>
      <c r="AX79" s="13">
        <v>4480.4727000000003</v>
      </c>
      <c r="AY79" s="13">
        <v>83</v>
      </c>
      <c r="AZ79" s="13">
        <v>83</v>
      </c>
      <c r="BA79" s="13">
        <v>0</v>
      </c>
      <c r="BB79" s="13">
        <v>4589.3146999999999</v>
      </c>
      <c r="BC79" s="13">
        <v>158.21359999999999</v>
      </c>
      <c r="BD79" s="13">
        <v>4431.1010999999999</v>
      </c>
      <c r="BE79" s="13">
        <v>83</v>
      </c>
      <c r="BF79" s="13">
        <v>83</v>
      </c>
      <c r="BG79" s="13">
        <v>0</v>
      </c>
      <c r="BH79" s="13">
        <v>4027.3269999999998</v>
      </c>
      <c r="BI79" s="13">
        <v>163.99930000000001</v>
      </c>
      <c r="BJ79" s="13">
        <v>3863.3276999999998</v>
      </c>
      <c r="BK79" s="13">
        <v>168</v>
      </c>
      <c r="BL79" s="13">
        <v>168</v>
      </c>
      <c r="BM79" s="13">
        <v>0</v>
      </c>
      <c r="BN79" s="13">
        <v>5527.1318000000001</v>
      </c>
      <c r="BO79" s="13">
        <v>256.71350000000001</v>
      </c>
      <c r="BP79" s="13">
        <v>5270.4183000000003</v>
      </c>
      <c r="BQ79" s="13">
        <v>81</v>
      </c>
      <c r="BR79" s="13">
        <v>81</v>
      </c>
      <c r="BS79" s="13">
        <v>0</v>
      </c>
      <c r="BT79" s="13">
        <v>3981.1629000000003</v>
      </c>
      <c r="BU79" s="13">
        <v>130.1781</v>
      </c>
      <c r="BV79" s="13">
        <v>3850.9848000000002</v>
      </c>
      <c r="BW79" s="13">
        <v>79</v>
      </c>
      <c r="BX79" s="13">
        <v>79</v>
      </c>
      <c r="BY79" s="13">
        <v>0</v>
      </c>
      <c r="BZ79" s="13">
        <v>4418.8786999999993</v>
      </c>
      <c r="CA79" s="13">
        <v>135.89240000000001</v>
      </c>
      <c r="CB79" s="13">
        <v>4282.9862999999996</v>
      </c>
      <c r="CC79" s="13">
        <v>115</v>
      </c>
      <c r="CD79" s="13">
        <v>115</v>
      </c>
      <c r="CE79" s="13">
        <v>0</v>
      </c>
      <c r="CF79" s="13">
        <v>5344.7245000000003</v>
      </c>
      <c r="CG79" s="13">
        <v>185.39230000000001</v>
      </c>
      <c r="CH79" s="13">
        <v>5159.3321999999998</v>
      </c>
      <c r="CI79" s="13">
        <v>94</v>
      </c>
      <c r="CJ79" s="13">
        <v>94</v>
      </c>
      <c r="CK79" s="13">
        <v>0</v>
      </c>
      <c r="CL79" s="13">
        <v>4352.6851999999999</v>
      </c>
      <c r="CM79" s="13">
        <v>180.785</v>
      </c>
      <c r="CN79" s="13">
        <v>4171.9002</v>
      </c>
      <c r="CO79" s="13">
        <v>296</v>
      </c>
      <c r="CP79" s="13">
        <v>296</v>
      </c>
      <c r="CQ79" s="13">
        <v>0</v>
      </c>
      <c r="CR79" s="13">
        <v>5090.0592999999999</v>
      </c>
      <c r="CS79" s="13">
        <v>313.35699999999997</v>
      </c>
      <c r="CT79" s="13">
        <v>4776.7022999999999</v>
      </c>
      <c r="CU79" s="13">
        <f t="shared" si="8"/>
        <v>1677</v>
      </c>
      <c r="CV79" s="13">
        <f t="shared" si="8"/>
        <v>1677</v>
      </c>
      <c r="CW79" s="13">
        <f t="shared" si="8"/>
        <v>0</v>
      </c>
      <c r="CX79" s="13">
        <f t="shared" si="8"/>
        <v>54848.0815</v>
      </c>
      <c r="CY79" s="13">
        <f t="shared" si="8"/>
        <v>2526.5284000000001</v>
      </c>
      <c r="CZ79" s="13">
        <f t="shared" si="8"/>
        <v>52321.553099999997</v>
      </c>
      <c r="DA79" s="13">
        <f t="shared" si="9"/>
        <v>505</v>
      </c>
      <c r="DB79" s="13">
        <f t="shared" si="9"/>
        <v>505</v>
      </c>
      <c r="DC79" s="13">
        <f t="shared" si="9"/>
        <v>0</v>
      </c>
      <c r="DD79" s="13">
        <f t="shared" si="9"/>
        <v>14787.469000000001</v>
      </c>
      <c r="DE79" s="13">
        <f t="shared" si="9"/>
        <v>679.53430000000003</v>
      </c>
      <c r="DF79" s="13">
        <f t="shared" si="9"/>
        <v>14107.934700000002</v>
      </c>
      <c r="DG79" s="13">
        <f t="shared" si="10"/>
        <v>328</v>
      </c>
      <c r="DH79" s="13">
        <f t="shared" si="10"/>
        <v>328</v>
      </c>
      <c r="DI79" s="13">
        <f t="shared" si="10"/>
        <v>0</v>
      </c>
      <c r="DJ79" s="13">
        <f t="shared" si="10"/>
        <v>13927.1734</v>
      </c>
      <c r="DK79" s="13">
        <f t="shared" si="10"/>
        <v>522.78400000000011</v>
      </c>
      <c r="DL79" s="13">
        <f t="shared" si="10"/>
        <v>13404.3894</v>
      </c>
      <c r="DM79" s="13">
        <f t="shared" si="11"/>
        <v>390</v>
      </c>
      <c r="DN79" s="13">
        <f t="shared" si="11"/>
        <v>390</v>
      </c>
      <c r="DO79" s="13">
        <f t="shared" si="11"/>
        <v>0</v>
      </c>
      <c r="DP79" s="13">
        <f t="shared" si="11"/>
        <v>9442.7445000000007</v>
      </c>
      <c r="DQ79" s="13">
        <f t="shared" si="11"/>
        <v>494.14199999999994</v>
      </c>
      <c r="DR79" s="13">
        <f t="shared" si="11"/>
        <v>8948.6025000000009</v>
      </c>
      <c r="DS79" s="14" t="s">
        <v>71</v>
      </c>
      <c r="DT79" s="14" t="s">
        <v>72</v>
      </c>
      <c r="DU79" s="14" t="s">
        <v>73</v>
      </c>
      <c r="DV79" s="14" t="s">
        <v>82</v>
      </c>
      <c r="DW79" s="14" t="s">
        <v>64</v>
      </c>
    </row>
    <row r="80" spans="2:127" x14ac:dyDescent="0.3">
      <c r="B80" s="11" t="s">
        <v>75</v>
      </c>
      <c r="C80" s="12">
        <v>5001342047</v>
      </c>
      <c r="D80" s="11" t="s">
        <v>329</v>
      </c>
      <c r="E80" s="11" t="s">
        <v>55</v>
      </c>
      <c r="F80" s="11" t="s">
        <v>330</v>
      </c>
      <c r="G80" s="11" t="s">
        <v>331</v>
      </c>
      <c r="H80" s="11" t="s">
        <v>108</v>
      </c>
      <c r="I80" s="11">
        <v>29601</v>
      </c>
      <c r="J80" s="11" t="s">
        <v>80</v>
      </c>
      <c r="K80" s="11"/>
      <c r="L80" s="11"/>
      <c r="M80" s="11"/>
      <c r="N80" s="11"/>
      <c r="O80" s="13">
        <v>1832</v>
      </c>
      <c r="P80" s="13">
        <v>1832</v>
      </c>
      <c r="Q80" s="13">
        <v>0</v>
      </c>
      <c r="R80" s="13">
        <v>39430.783100000001</v>
      </c>
      <c r="S80" s="13">
        <v>2414.4259999999999</v>
      </c>
      <c r="T80" s="13">
        <v>37016.357100000001</v>
      </c>
      <c r="U80" s="13">
        <v>175</v>
      </c>
      <c r="V80" s="13">
        <v>175</v>
      </c>
      <c r="W80" s="13">
        <v>0</v>
      </c>
      <c r="X80" s="13">
        <v>2545.4151000000002</v>
      </c>
      <c r="Y80" s="13">
        <v>212.607</v>
      </c>
      <c r="Z80" s="13">
        <v>2332.8081000000002</v>
      </c>
      <c r="AA80" s="13">
        <v>241</v>
      </c>
      <c r="AB80" s="13">
        <v>241</v>
      </c>
      <c r="AC80" s="13">
        <v>0</v>
      </c>
      <c r="AD80" s="13">
        <v>2842.2658000000001</v>
      </c>
      <c r="AE80" s="13">
        <v>287.28550000000001</v>
      </c>
      <c r="AF80" s="13">
        <v>2554.9803000000002</v>
      </c>
      <c r="AG80" s="13">
        <v>142</v>
      </c>
      <c r="AH80" s="13">
        <v>142</v>
      </c>
      <c r="AI80" s="13">
        <v>0</v>
      </c>
      <c r="AJ80" s="13">
        <v>2633.9155000000001</v>
      </c>
      <c r="AK80" s="13">
        <v>177.67840000000001</v>
      </c>
      <c r="AL80" s="13">
        <v>2456.2370999999998</v>
      </c>
      <c r="AM80" s="13">
        <v>108</v>
      </c>
      <c r="AN80" s="13">
        <v>108</v>
      </c>
      <c r="AO80" s="13">
        <v>0</v>
      </c>
      <c r="AP80" s="13">
        <v>1943.4277999999999</v>
      </c>
      <c r="AQ80" s="13">
        <v>116.6786</v>
      </c>
      <c r="AR80" s="13">
        <v>1826.7492</v>
      </c>
      <c r="AS80" s="13">
        <v>139</v>
      </c>
      <c r="AT80" s="13">
        <v>139</v>
      </c>
      <c r="AU80" s="13">
        <v>0</v>
      </c>
      <c r="AV80" s="13">
        <v>3533.1043</v>
      </c>
      <c r="AW80" s="13">
        <v>188.17840000000001</v>
      </c>
      <c r="AX80" s="13">
        <v>3344.9259000000002</v>
      </c>
      <c r="AY80" s="13">
        <v>143</v>
      </c>
      <c r="AZ80" s="13">
        <v>143</v>
      </c>
      <c r="BA80" s="13">
        <v>0</v>
      </c>
      <c r="BB80" s="13">
        <v>2539.0652</v>
      </c>
      <c r="BC80" s="13">
        <v>181.57130000000001</v>
      </c>
      <c r="BD80" s="13">
        <v>2357.4938999999999</v>
      </c>
      <c r="BE80" s="13">
        <v>96</v>
      </c>
      <c r="BF80" s="13">
        <v>96</v>
      </c>
      <c r="BG80" s="13">
        <v>0</v>
      </c>
      <c r="BH80" s="13">
        <v>2777.3016000000002</v>
      </c>
      <c r="BI80" s="13">
        <v>160.60680000000002</v>
      </c>
      <c r="BJ80" s="13">
        <v>2616.6948000000002</v>
      </c>
      <c r="BK80" s="13">
        <v>133</v>
      </c>
      <c r="BL80" s="13">
        <v>133</v>
      </c>
      <c r="BM80" s="13">
        <v>0</v>
      </c>
      <c r="BN80" s="13">
        <v>3477.7326999999996</v>
      </c>
      <c r="BO80" s="13">
        <v>182.17840000000001</v>
      </c>
      <c r="BP80" s="13">
        <v>3295.5542999999998</v>
      </c>
      <c r="BQ80" s="13">
        <v>99</v>
      </c>
      <c r="BR80" s="13">
        <v>99</v>
      </c>
      <c r="BS80" s="13">
        <v>0</v>
      </c>
      <c r="BT80" s="13">
        <v>3076.5311999999999</v>
      </c>
      <c r="BU80" s="13">
        <v>163.60680000000002</v>
      </c>
      <c r="BV80" s="13">
        <v>2912.9243999999999</v>
      </c>
      <c r="BW80" s="13">
        <v>114</v>
      </c>
      <c r="BX80" s="13">
        <v>114</v>
      </c>
      <c r="BY80" s="13">
        <v>0</v>
      </c>
      <c r="BZ80" s="13">
        <v>3085.5527999999999</v>
      </c>
      <c r="CA80" s="13">
        <v>160.28550000000001</v>
      </c>
      <c r="CB80" s="13">
        <v>2925.2673</v>
      </c>
      <c r="CC80" s="13">
        <v>164</v>
      </c>
      <c r="CD80" s="13">
        <v>164</v>
      </c>
      <c r="CE80" s="13">
        <v>0</v>
      </c>
      <c r="CF80" s="13">
        <v>3855.4909000000002</v>
      </c>
      <c r="CG80" s="13">
        <v>226.67830000000001</v>
      </c>
      <c r="CH80" s="13">
        <v>3628.8126000000002</v>
      </c>
      <c r="CI80" s="13">
        <v>122</v>
      </c>
      <c r="CJ80" s="13">
        <v>122</v>
      </c>
      <c r="CK80" s="13">
        <v>0</v>
      </c>
      <c r="CL80" s="13">
        <v>3353.5252</v>
      </c>
      <c r="CM80" s="13">
        <v>156.7141</v>
      </c>
      <c r="CN80" s="13">
        <v>3196.8110999999999</v>
      </c>
      <c r="CO80" s="13">
        <v>156</v>
      </c>
      <c r="CP80" s="13">
        <v>156</v>
      </c>
      <c r="CQ80" s="13">
        <v>0</v>
      </c>
      <c r="CR80" s="13">
        <v>3767.4549999999999</v>
      </c>
      <c r="CS80" s="13">
        <v>200.3569</v>
      </c>
      <c r="CT80" s="13">
        <v>3567.0981000000002</v>
      </c>
      <c r="CU80" s="13">
        <f t="shared" si="8"/>
        <v>1657</v>
      </c>
      <c r="CV80" s="13">
        <f t="shared" si="8"/>
        <v>1657</v>
      </c>
      <c r="CW80" s="13">
        <f t="shared" si="8"/>
        <v>0</v>
      </c>
      <c r="CX80" s="13">
        <f t="shared" si="8"/>
        <v>36885.368000000002</v>
      </c>
      <c r="CY80" s="13">
        <f t="shared" si="8"/>
        <v>2201.819</v>
      </c>
      <c r="CZ80" s="13">
        <f t="shared" si="8"/>
        <v>34683.548999999999</v>
      </c>
      <c r="DA80" s="13">
        <f t="shared" si="9"/>
        <v>442</v>
      </c>
      <c r="DB80" s="13">
        <f t="shared" si="9"/>
        <v>442</v>
      </c>
      <c r="DC80" s="13">
        <f t="shared" si="9"/>
        <v>0</v>
      </c>
      <c r="DD80" s="13">
        <f t="shared" si="9"/>
        <v>10976.471100000001</v>
      </c>
      <c r="DE80" s="13">
        <f t="shared" si="9"/>
        <v>583.74929999999995</v>
      </c>
      <c r="DF80" s="13">
        <f t="shared" si="9"/>
        <v>10392.721799999999</v>
      </c>
      <c r="DG80" s="13">
        <f t="shared" si="10"/>
        <v>346</v>
      </c>
      <c r="DH80" s="13">
        <f t="shared" si="10"/>
        <v>346</v>
      </c>
      <c r="DI80" s="13">
        <f t="shared" si="10"/>
        <v>0</v>
      </c>
      <c r="DJ80" s="13">
        <f t="shared" si="10"/>
        <v>9639.8166999999994</v>
      </c>
      <c r="DK80" s="13">
        <f t="shared" si="10"/>
        <v>506.07070000000004</v>
      </c>
      <c r="DL80" s="13">
        <f t="shared" si="10"/>
        <v>9133.7459999999992</v>
      </c>
      <c r="DM80" s="13">
        <f t="shared" si="11"/>
        <v>278</v>
      </c>
      <c r="DN80" s="13">
        <f t="shared" si="11"/>
        <v>278</v>
      </c>
      <c r="DO80" s="13">
        <f t="shared" si="11"/>
        <v>0</v>
      </c>
      <c r="DP80" s="13">
        <f t="shared" si="11"/>
        <v>7120.9802</v>
      </c>
      <c r="DQ80" s="13">
        <f t="shared" si="11"/>
        <v>357.07100000000003</v>
      </c>
      <c r="DR80" s="13">
        <f t="shared" si="11"/>
        <v>6763.9092000000001</v>
      </c>
      <c r="DS80" s="14" t="s">
        <v>71</v>
      </c>
      <c r="DT80" s="14" t="s">
        <v>81</v>
      </c>
      <c r="DU80" s="14" t="s">
        <v>73</v>
      </c>
      <c r="DV80" s="14" t="s">
        <v>82</v>
      </c>
      <c r="DW80" s="14" t="s">
        <v>74</v>
      </c>
    </row>
    <row r="81" spans="2:127" x14ac:dyDescent="0.3">
      <c r="B81" s="11" t="s">
        <v>65</v>
      </c>
      <c r="C81" s="12">
        <v>5001342062</v>
      </c>
      <c r="D81" s="11" t="s">
        <v>332</v>
      </c>
      <c r="E81" s="11" t="s">
        <v>55</v>
      </c>
      <c r="F81" s="11" t="s">
        <v>333</v>
      </c>
      <c r="G81" s="11" t="s">
        <v>334</v>
      </c>
      <c r="H81" s="11" t="s">
        <v>199</v>
      </c>
      <c r="I81" s="11">
        <v>48202</v>
      </c>
      <c r="J81" s="11" t="s">
        <v>80</v>
      </c>
      <c r="K81" s="11"/>
      <c r="L81" s="11"/>
      <c r="M81" s="11"/>
      <c r="N81" s="11"/>
      <c r="O81" s="13">
        <v>254</v>
      </c>
      <c r="P81" s="13">
        <v>254</v>
      </c>
      <c r="Q81" s="13">
        <v>0</v>
      </c>
      <c r="R81" s="13">
        <v>39427.2644</v>
      </c>
      <c r="S81" s="13">
        <v>1472.8469</v>
      </c>
      <c r="T81" s="13">
        <v>37954.417500000003</v>
      </c>
      <c r="U81" s="13">
        <v>10</v>
      </c>
      <c r="V81" s="13">
        <v>10</v>
      </c>
      <c r="W81" s="13">
        <v>0</v>
      </c>
      <c r="X81" s="13">
        <v>2836.7152999999998</v>
      </c>
      <c r="Y81" s="13">
        <v>145.9631</v>
      </c>
      <c r="Z81" s="13">
        <v>2690.7521999999999</v>
      </c>
      <c r="AA81" s="13">
        <v>15</v>
      </c>
      <c r="AB81" s="13">
        <v>15</v>
      </c>
      <c r="AC81" s="13">
        <v>0</v>
      </c>
      <c r="AD81" s="13">
        <v>3879.4830999999999</v>
      </c>
      <c r="AE81" s="13">
        <v>151.9273</v>
      </c>
      <c r="AF81" s="13">
        <v>3727.5558000000001</v>
      </c>
      <c r="AG81" s="13">
        <v>5</v>
      </c>
      <c r="AH81" s="13">
        <v>5</v>
      </c>
      <c r="AI81" s="13">
        <v>0</v>
      </c>
      <c r="AJ81" s="13">
        <v>3366.5104999999999</v>
      </c>
      <c r="AK81" s="13">
        <v>95.641999999999996</v>
      </c>
      <c r="AL81" s="13">
        <v>3270.8685</v>
      </c>
      <c r="AM81" s="13">
        <v>5</v>
      </c>
      <c r="AN81" s="13">
        <v>5</v>
      </c>
      <c r="AO81" s="13">
        <v>0</v>
      </c>
      <c r="AP81" s="13">
        <v>2343.3994000000002</v>
      </c>
      <c r="AQ81" s="13">
        <v>121.67740000000001</v>
      </c>
      <c r="AR81" s="13">
        <v>2221.7220000000002</v>
      </c>
      <c r="AS81" s="13">
        <v>51</v>
      </c>
      <c r="AT81" s="13">
        <v>51</v>
      </c>
      <c r="AU81" s="13">
        <v>0</v>
      </c>
      <c r="AV81" s="13">
        <v>3475.7673999999997</v>
      </c>
      <c r="AW81" s="13">
        <v>180.2131</v>
      </c>
      <c r="AX81" s="13">
        <v>3295.5542999999998</v>
      </c>
      <c r="AY81" s="13">
        <v>30</v>
      </c>
      <c r="AZ81" s="13">
        <v>30</v>
      </c>
      <c r="BA81" s="13">
        <v>0</v>
      </c>
      <c r="BB81" s="13">
        <v>2619.6938</v>
      </c>
      <c r="BC81" s="13">
        <v>126.428</v>
      </c>
      <c r="BD81" s="13">
        <v>2493.2658000000001</v>
      </c>
      <c r="BE81" s="13">
        <v>0</v>
      </c>
      <c r="BF81" s="13">
        <v>0</v>
      </c>
      <c r="BG81" s="13">
        <v>0</v>
      </c>
      <c r="BH81" s="13">
        <v>3246.3747000000003</v>
      </c>
      <c r="BI81" s="13">
        <v>74.249399999999994</v>
      </c>
      <c r="BJ81" s="13">
        <v>3172.1253000000002</v>
      </c>
      <c r="BK81" s="13">
        <v>20</v>
      </c>
      <c r="BL81" s="13">
        <v>20</v>
      </c>
      <c r="BM81" s="13">
        <v>0</v>
      </c>
      <c r="BN81" s="13">
        <v>3731.7396000000003</v>
      </c>
      <c r="BO81" s="13">
        <v>164.64150000000001</v>
      </c>
      <c r="BP81" s="13">
        <v>3567.0981000000002</v>
      </c>
      <c r="BQ81" s="13">
        <v>26</v>
      </c>
      <c r="BR81" s="13">
        <v>26</v>
      </c>
      <c r="BS81" s="13">
        <v>0</v>
      </c>
      <c r="BT81" s="13">
        <v>2729.0951</v>
      </c>
      <c r="BU81" s="13">
        <v>26</v>
      </c>
      <c r="BV81" s="13">
        <v>2703.0951</v>
      </c>
      <c r="BW81" s="13">
        <v>8</v>
      </c>
      <c r="BX81" s="13">
        <v>8</v>
      </c>
      <c r="BY81" s="13">
        <v>0</v>
      </c>
      <c r="BZ81" s="13">
        <v>2474.8435999999997</v>
      </c>
      <c r="CA81" s="13">
        <v>80.320999999999998</v>
      </c>
      <c r="CB81" s="13">
        <v>2394.5225999999998</v>
      </c>
      <c r="CC81" s="13">
        <v>28</v>
      </c>
      <c r="CD81" s="13">
        <v>28</v>
      </c>
      <c r="CE81" s="13">
        <v>0</v>
      </c>
      <c r="CF81" s="13">
        <v>3317.5751999999998</v>
      </c>
      <c r="CG81" s="13">
        <v>71.392499999999998</v>
      </c>
      <c r="CH81" s="13">
        <v>3246.1826999999998</v>
      </c>
      <c r="CI81" s="13">
        <v>32</v>
      </c>
      <c r="CJ81" s="13">
        <v>32</v>
      </c>
      <c r="CK81" s="13">
        <v>0</v>
      </c>
      <c r="CL81" s="13">
        <v>2792.7584000000002</v>
      </c>
      <c r="CM81" s="13">
        <v>139.03489999999999</v>
      </c>
      <c r="CN81" s="13">
        <v>2653.7235000000001</v>
      </c>
      <c r="CO81" s="13">
        <v>24</v>
      </c>
      <c r="CP81" s="13">
        <v>24</v>
      </c>
      <c r="CQ81" s="13">
        <v>0</v>
      </c>
      <c r="CR81" s="13">
        <v>2613.3082999999997</v>
      </c>
      <c r="CS81" s="13">
        <v>95.356700000000004</v>
      </c>
      <c r="CT81" s="13">
        <v>2517.9515999999999</v>
      </c>
      <c r="CU81" s="13">
        <f t="shared" si="8"/>
        <v>244</v>
      </c>
      <c r="CV81" s="13">
        <f t="shared" si="8"/>
        <v>244</v>
      </c>
      <c r="CW81" s="13">
        <f t="shared" si="8"/>
        <v>0</v>
      </c>
      <c r="CX81" s="13">
        <f t="shared" si="8"/>
        <v>36590.549099999997</v>
      </c>
      <c r="CY81" s="13">
        <f t="shared" si="8"/>
        <v>1326.8838000000003</v>
      </c>
      <c r="CZ81" s="13">
        <f t="shared" si="8"/>
        <v>35263.665300000001</v>
      </c>
      <c r="DA81" s="13">
        <f t="shared" si="9"/>
        <v>84</v>
      </c>
      <c r="DB81" s="13">
        <f t="shared" si="9"/>
        <v>84</v>
      </c>
      <c r="DC81" s="13">
        <f t="shared" si="9"/>
        <v>0</v>
      </c>
      <c r="DD81" s="13">
        <f t="shared" si="9"/>
        <v>8723.6418999999987</v>
      </c>
      <c r="DE81" s="13">
        <f t="shared" si="9"/>
        <v>305.78409999999997</v>
      </c>
      <c r="DF81" s="13">
        <f t="shared" si="9"/>
        <v>8417.8577999999998</v>
      </c>
      <c r="DG81" s="13">
        <f t="shared" si="10"/>
        <v>54</v>
      </c>
      <c r="DH81" s="13">
        <f t="shared" si="10"/>
        <v>54</v>
      </c>
      <c r="DI81" s="13">
        <f t="shared" si="10"/>
        <v>0</v>
      </c>
      <c r="DJ81" s="13">
        <f t="shared" si="10"/>
        <v>8935.6782999999996</v>
      </c>
      <c r="DK81" s="13">
        <f t="shared" si="10"/>
        <v>270.96249999999998</v>
      </c>
      <c r="DL81" s="13">
        <f t="shared" si="10"/>
        <v>8664.7157999999999</v>
      </c>
      <c r="DM81" s="13">
        <f t="shared" si="11"/>
        <v>56</v>
      </c>
      <c r="DN81" s="13">
        <f t="shared" si="11"/>
        <v>56</v>
      </c>
      <c r="DO81" s="13">
        <f t="shared" si="11"/>
        <v>0</v>
      </c>
      <c r="DP81" s="13">
        <f t="shared" si="11"/>
        <v>5406.0666999999994</v>
      </c>
      <c r="DQ81" s="13">
        <f t="shared" si="11"/>
        <v>234.39159999999998</v>
      </c>
      <c r="DR81" s="13">
        <f t="shared" si="11"/>
        <v>5171.6751000000004</v>
      </c>
      <c r="DS81" s="14" t="s">
        <v>81</v>
      </c>
      <c r="DT81" s="14" t="s">
        <v>72</v>
      </c>
      <c r="DU81" s="14" t="s">
        <v>187</v>
      </c>
      <c r="DV81" s="14" t="s">
        <v>82</v>
      </c>
      <c r="DW81" s="14" t="s">
        <v>74</v>
      </c>
    </row>
    <row r="82" spans="2:127" x14ac:dyDescent="0.3">
      <c r="B82" s="11" t="s">
        <v>75</v>
      </c>
      <c r="C82" s="12">
        <v>5001342069</v>
      </c>
      <c r="D82" s="11" t="s">
        <v>335</v>
      </c>
      <c r="E82" s="11" t="s">
        <v>55</v>
      </c>
      <c r="F82" s="11" t="s">
        <v>336</v>
      </c>
      <c r="G82" s="11" t="s">
        <v>276</v>
      </c>
      <c r="H82" s="11" t="s">
        <v>145</v>
      </c>
      <c r="I82" s="11">
        <v>36607</v>
      </c>
      <c r="J82" s="11" t="s">
        <v>80</v>
      </c>
      <c r="K82" s="11"/>
      <c r="L82" s="11"/>
      <c r="M82" s="11"/>
      <c r="N82" s="11"/>
      <c r="O82" s="13">
        <v>34</v>
      </c>
      <c r="P82" s="13">
        <v>34</v>
      </c>
      <c r="Q82" s="13">
        <v>0</v>
      </c>
      <c r="R82" s="13">
        <v>7452.0829000000003</v>
      </c>
      <c r="S82" s="13">
        <v>34</v>
      </c>
      <c r="T82" s="13">
        <v>7418.0829000000003</v>
      </c>
      <c r="U82" s="13">
        <v>0</v>
      </c>
      <c r="V82" s="13">
        <v>0</v>
      </c>
      <c r="W82" s="13">
        <v>0</v>
      </c>
      <c r="X82" s="13">
        <v>345.60120000000001</v>
      </c>
      <c r="Y82" s="13">
        <v>0</v>
      </c>
      <c r="Z82" s="13">
        <v>345.60120000000001</v>
      </c>
      <c r="AA82" s="13">
        <v>0</v>
      </c>
      <c r="AB82" s="13">
        <v>0</v>
      </c>
      <c r="AC82" s="13">
        <v>0</v>
      </c>
      <c r="AD82" s="13">
        <v>444.34440000000001</v>
      </c>
      <c r="AE82" s="13">
        <v>0</v>
      </c>
      <c r="AF82" s="13">
        <v>444.34440000000001</v>
      </c>
      <c r="AG82" s="13">
        <v>0</v>
      </c>
      <c r="AH82" s="13">
        <v>0</v>
      </c>
      <c r="AI82" s="13">
        <v>0</v>
      </c>
      <c r="AJ82" s="13">
        <v>469.03019999999998</v>
      </c>
      <c r="AK82" s="13">
        <v>0</v>
      </c>
      <c r="AL82" s="13">
        <v>469.03019999999998</v>
      </c>
      <c r="AM82" s="13">
        <v>0</v>
      </c>
      <c r="AN82" s="13">
        <v>0</v>
      </c>
      <c r="AO82" s="13">
        <v>0</v>
      </c>
      <c r="AP82" s="13">
        <v>296.2296</v>
      </c>
      <c r="AQ82" s="13">
        <v>0</v>
      </c>
      <c r="AR82" s="13">
        <v>296.2296</v>
      </c>
      <c r="AS82" s="13">
        <v>18</v>
      </c>
      <c r="AT82" s="13">
        <v>18</v>
      </c>
      <c r="AU82" s="13">
        <v>0</v>
      </c>
      <c r="AV82" s="13">
        <v>511.71600000000001</v>
      </c>
      <c r="AW82" s="13">
        <v>18</v>
      </c>
      <c r="AX82" s="13">
        <v>493.71600000000001</v>
      </c>
      <c r="AY82" s="13">
        <v>9</v>
      </c>
      <c r="AZ82" s="13">
        <v>9</v>
      </c>
      <c r="BA82" s="13">
        <v>0</v>
      </c>
      <c r="BB82" s="13">
        <v>502.71600000000001</v>
      </c>
      <c r="BC82" s="13">
        <v>9</v>
      </c>
      <c r="BD82" s="13">
        <v>493.71600000000001</v>
      </c>
      <c r="BE82" s="13">
        <v>7</v>
      </c>
      <c r="BF82" s="13">
        <v>7</v>
      </c>
      <c r="BG82" s="13">
        <v>0</v>
      </c>
      <c r="BH82" s="13">
        <v>426.65859999999998</v>
      </c>
      <c r="BI82" s="13">
        <v>7</v>
      </c>
      <c r="BJ82" s="13">
        <v>419.65859999999998</v>
      </c>
      <c r="BK82" s="13">
        <v>0</v>
      </c>
      <c r="BL82" s="13">
        <v>0</v>
      </c>
      <c r="BM82" s="13">
        <v>0</v>
      </c>
      <c r="BN82" s="13">
        <v>691.20240000000001</v>
      </c>
      <c r="BO82" s="13">
        <v>0</v>
      </c>
      <c r="BP82" s="13">
        <v>691.20240000000001</v>
      </c>
      <c r="BQ82" s="13">
        <v>0</v>
      </c>
      <c r="BR82" s="13">
        <v>0</v>
      </c>
      <c r="BS82" s="13">
        <v>0</v>
      </c>
      <c r="BT82" s="13">
        <v>740.57399999999996</v>
      </c>
      <c r="BU82" s="13">
        <v>0</v>
      </c>
      <c r="BV82" s="13">
        <v>740.57399999999996</v>
      </c>
      <c r="BW82" s="13">
        <v>0</v>
      </c>
      <c r="BX82" s="13">
        <v>0</v>
      </c>
      <c r="BY82" s="13">
        <v>0</v>
      </c>
      <c r="BZ82" s="13">
        <v>666.51660000000004</v>
      </c>
      <c r="CA82" s="13">
        <v>0</v>
      </c>
      <c r="CB82" s="13">
        <v>666.51660000000004</v>
      </c>
      <c r="CC82" s="13">
        <v>0</v>
      </c>
      <c r="CD82" s="13">
        <v>0</v>
      </c>
      <c r="CE82" s="13">
        <v>0</v>
      </c>
      <c r="CF82" s="13">
        <v>617.14499999999998</v>
      </c>
      <c r="CG82" s="13">
        <v>0</v>
      </c>
      <c r="CH82" s="13">
        <v>617.14499999999998</v>
      </c>
      <c r="CI82" s="13">
        <v>0</v>
      </c>
      <c r="CJ82" s="13">
        <v>0</v>
      </c>
      <c r="CK82" s="13">
        <v>0</v>
      </c>
      <c r="CL82" s="13">
        <v>826.97429999999997</v>
      </c>
      <c r="CM82" s="13">
        <v>0</v>
      </c>
      <c r="CN82" s="13">
        <v>826.97429999999997</v>
      </c>
      <c r="CO82" s="13">
        <v>0</v>
      </c>
      <c r="CP82" s="13">
        <v>0</v>
      </c>
      <c r="CQ82" s="13">
        <v>0</v>
      </c>
      <c r="CR82" s="13">
        <v>913.37459999999999</v>
      </c>
      <c r="CS82" s="13">
        <v>0</v>
      </c>
      <c r="CT82" s="13">
        <v>913.37459999999999</v>
      </c>
      <c r="CU82" s="13">
        <f t="shared" si="8"/>
        <v>34</v>
      </c>
      <c r="CV82" s="13">
        <f t="shared" si="8"/>
        <v>34</v>
      </c>
      <c r="CW82" s="13">
        <f t="shared" si="8"/>
        <v>0</v>
      </c>
      <c r="CX82" s="13">
        <f t="shared" si="8"/>
        <v>7106.4817000000012</v>
      </c>
      <c r="CY82" s="13">
        <f t="shared" si="8"/>
        <v>34</v>
      </c>
      <c r="CZ82" s="13">
        <f t="shared" si="8"/>
        <v>7072.4817000000012</v>
      </c>
      <c r="DA82" s="13">
        <f t="shared" si="9"/>
        <v>0</v>
      </c>
      <c r="DB82" s="13">
        <f t="shared" si="9"/>
        <v>0</v>
      </c>
      <c r="DC82" s="13">
        <f t="shared" si="9"/>
        <v>0</v>
      </c>
      <c r="DD82" s="13">
        <f t="shared" si="9"/>
        <v>2357.4938999999999</v>
      </c>
      <c r="DE82" s="13">
        <f t="shared" si="9"/>
        <v>0</v>
      </c>
      <c r="DF82" s="13">
        <f t="shared" si="9"/>
        <v>2357.4938999999999</v>
      </c>
      <c r="DG82" s="13">
        <f t="shared" si="10"/>
        <v>0</v>
      </c>
      <c r="DH82" s="13">
        <f t="shared" si="10"/>
        <v>0</v>
      </c>
      <c r="DI82" s="13">
        <f t="shared" si="10"/>
        <v>0</v>
      </c>
      <c r="DJ82" s="13">
        <f t="shared" si="10"/>
        <v>2098.2930000000001</v>
      </c>
      <c r="DK82" s="13">
        <f t="shared" si="10"/>
        <v>0</v>
      </c>
      <c r="DL82" s="13">
        <f t="shared" si="10"/>
        <v>2098.2930000000001</v>
      </c>
      <c r="DM82" s="13">
        <f t="shared" si="11"/>
        <v>0</v>
      </c>
      <c r="DN82" s="13">
        <f t="shared" si="11"/>
        <v>0</v>
      </c>
      <c r="DO82" s="13">
        <f t="shared" si="11"/>
        <v>0</v>
      </c>
      <c r="DP82" s="13">
        <f t="shared" si="11"/>
        <v>1740.3489</v>
      </c>
      <c r="DQ82" s="13">
        <f t="shared" si="11"/>
        <v>0</v>
      </c>
      <c r="DR82" s="13">
        <f t="shared" si="11"/>
        <v>1740.3489</v>
      </c>
      <c r="DS82" s="14" t="s">
        <v>138</v>
      </c>
      <c r="DT82" s="14" t="s">
        <v>81</v>
      </c>
      <c r="DU82" s="14" t="s">
        <v>73</v>
      </c>
      <c r="DV82" s="14" t="s">
        <v>82</v>
      </c>
      <c r="DW82" s="14" t="s">
        <v>74</v>
      </c>
    </row>
    <row r="83" spans="2:127" x14ac:dyDescent="0.3">
      <c r="B83" s="11" t="s">
        <v>65</v>
      </c>
      <c r="C83" s="12">
        <v>5001342085</v>
      </c>
      <c r="D83" s="11" t="s">
        <v>337</v>
      </c>
      <c r="E83" s="11" t="s">
        <v>55</v>
      </c>
      <c r="F83" s="11" t="s">
        <v>338</v>
      </c>
      <c r="G83" s="11" t="s">
        <v>339</v>
      </c>
      <c r="H83" s="11" t="s">
        <v>340</v>
      </c>
      <c r="I83" s="11">
        <v>7960</v>
      </c>
      <c r="J83" s="11" t="s">
        <v>80</v>
      </c>
      <c r="K83" s="11"/>
      <c r="L83" s="11"/>
      <c r="M83" s="11"/>
      <c r="N83" s="11"/>
      <c r="O83" s="13">
        <v>1352</v>
      </c>
      <c r="P83" s="13">
        <v>1352</v>
      </c>
      <c r="Q83" s="13">
        <v>0</v>
      </c>
      <c r="R83" s="13">
        <v>24790.2006</v>
      </c>
      <c r="S83" s="13">
        <v>1536.1769999999999</v>
      </c>
      <c r="T83" s="13">
        <v>23254.0236</v>
      </c>
      <c r="U83" s="13">
        <v>65</v>
      </c>
      <c r="V83" s="13">
        <v>65</v>
      </c>
      <c r="W83" s="13">
        <v>0</v>
      </c>
      <c r="X83" s="13">
        <v>1272.4820999999999</v>
      </c>
      <c r="Y83" s="13">
        <v>112.2495</v>
      </c>
      <c r="Z83" s="13">
        <v>1160.2326</v>
      </c>
      <c r="AA83" s="13">
        <v>107</v>
      </c>
      <c r="AB83" s="13">
        <v>107</v>
      </c>
      <c r="AC83" s="13">
        <v>0</v>
      </c>
      <c r="AD83" s="13">
        <v>1679.3688000000002</v>
      </c>
      <c r="AE83" s="13">
        <v>173.535</v>
      </c>
      <c r="AF83" s="13">
        <v>1505.8338000000001</v>
      </c>
      <c r="AG83" s="13">
        <v>30</v>
      </c>
      <c r="AH83" s="13">
        <v>30</v>
      </c>
      <c r="AI83" s="13">
        <v>0</v>
      </c>
      <c r="AJ83" s="13">
        <v>1481.2547000000002</v>
      </c>
      <c r="AK83" s="13">
        <v>61.821200000000005</v>
      </c>
      <c r="AL83" s="13">
        <v>1419.4335000000001</v>
      </c>
      <c r="AM83" s="13">
        <v>59</v>
      </c>
      <c r="AN83" s="13">
        <v>59</v>
      </c>
      <c r="AO83" s="13">
        <v>0</v>
      </c>
      <c r="AP83" s="13">
        <v>1536.4836</v>
      </c>
      <c r="AQ83" s="13">
        <v>67.6785</v>
      </c>
      <c r="AR83" s="13">
        <v>1468.8051</v>
      </c>
      <c r="AS83" s="13">
        <v>63</v>
      </c>
      <c r="AT83" s="13">
        <v>63</v>
      </c>
      <c r="AU83" s="13">
        <v>0</v>
      </c>
      <c r="AV83" s="13">
        <v>4002.3137000000002</v>
      </c>
      <c r="AW83" s="13">
        <v>64.928600000000003</v>
      </c>
      <c r="AX83" s="13">
        <v>3937.3851</v>
      </c>
      <c r="AY83" s="13">
        <v>103</v>
      </c>
      <c r="AZ83" s="13">
        <v>103</v>
      </c>
      <c r="BA83" s="13">
        <v>0</v>
      </c>
      <c r="BB83" s="13">
        <v>887.5453</v>
      </c>
      <c r="BC83" s="13">
        <v>122.2855</v>
      </c>
      <c r="BD83" s="13">
        <v>765.25980000000004</v>
      </c>
      <c r="BE83" s="13">
        <v>113</v>
      </c>
      <c r="BF83" s="13">
        <v>113</v>
      </c>
      <c r="BG83" s="13">
        <v>0</v>
      </c>
      <c r="BH83" s="13">
        <v>927.63139999999999</v>
      </c>
      <c r="BI83" s="13">
        <v>113</v>
      </c>
      <c r="BJ83" s="13">
        <v>814.63139999999999</v>
      </c>
      <c r="BK83" s="13">
        <v>101</v>
      </c>
      <c r="BL83" s="13">
        <v>101</v>
      </c>
      <c r="BM83" s="13">
        <v>0</v>
      </c>
      <c r="BN83" s="13">
        <v>2199.2930000000001</v>
      </c>
      <c r="BO83" s="13">
        <v>101</v>
      </c>
      <c r="BP83" s="13">
        <v>2098.2930000000001</v>
      </c>
      <c r="BQ83" s="13">
        <v>67</v>
      </c>
      <c r="BR83" s="13">
        <v>67</v>
      </c>
      <c r="BS83" s="13">
        <v>0</v>
      </c>
      <c r="BT83" s="13">
        <v>1844.3776</v>
      </c>
      <c r="BU83" s="13">
        <v>67</v>
      </c>
      <c r="BV83" s="13">
        <v>1777.3776</v>
      </c>
      <c r="BW83" s="13">
        <v>117</v>
      </c>
      <c r="BX83" s="13">
        <v>117</v>
      </c>
      <c r="BY83" s="13">
        <v>0</v>
      </c>
      <c r="BZ83" s="13">
        <v>1845.0060000000001</v>
      </c>
      <c r="CA83" s="13">
        <v>117</v>
      </c>
      <c r="CB83" s="13">
        <v>1728.0060000000001</v>
      </c>
      <c r="CC83" s="13">
        <v>218</v>
      </c>
      <c r="CD83" s="13">
        <v>218</v>
      </c>
      <c r="CE83" s="13">
        <v>0</v>
      </c>
      <c r="CF83" s="13">
        <v>2982.8096</v>
      </c>
      <c r="CG83" s="13">
        <v>218</v>
      </c>
      <c r="CH83" s="13">
        <v>2764.8096</v>
      </c>
      <c r="CI83" s="13">
        <v>158</v>
      </c>
      <c r="CJ83" s="13">
        <v>158</v>
      </c>
      <c r="CK83" s="13">
        <v>0</v>
      </c>
      <c r="CL83" s="13">
        <v>2326.6862000000001</v>
      </c>
      <c r="CM83" s="13">
        <v>166.67869999999999</v>
      </c>
      <c r="CN83" s="13">
        <v>2160.0075000000002</v>
      </c>
      <c r="CO83" s="13">
        <v>151</v>
      </c>
      <c r="CP83" s="13">
        <v>151</v>
      </c>
      <c r="CQ83" s="13">
        <v>0</v>
      </c>
      <c r="CR83" s="13">
        <v>1804.9485999999999</v>
      </c>
      <c r="CS83" s="13">
        <v>151</v>
      </c>
      <c r="CT83" s="13">
        <v>1653.9485999999999</v>
      </c>
      <c r="CU83" s="13">
        <f t="shared" si="8"/>
        <v>1287</v>
      </c>
      <c r="CV83" s="13">
        <f t="shared" si="8"/>
        <v>1287</v>
      </c>
      <c r="CW83" s="13">
        <f t="shared" si="8"/>
        <v>0</v>
      </c>
      <c r="CX83" s="13">
        <f t="shared" si="8"/>
        <v>23517.718500000003</v>
      </c>
      <c r="CY83" s="13">
        <f t="shared" si="8"/>
        <v>1423.9275</v>
      </c>
      <c r="CZ83" s="13">
        <f t="shared" si="8"/>
        <v>22093.790999999997</v>
      </c>
      <c r="DA83" s="13">
        <f t="shared" si="9"/>
        <v>527</v>
      </c>
      <c r="DB83" s="13">
        <f t="shared" si="9"/>
        <v>527</v>
      </c>
      <c r="DC83" s="13">
        <f t="shared" si="9"/>
        <v>0</v>
      </c>
      <c r="DD83" s="13">
        <f t="shared" si="9"/>
        <v>7114.4444000000003</v>
      </c>
      <c r="DE83" s="13">
        <f t="shared" si="9"/>
        <v>535.67869999999994</v>
      </c>
      <c r="DF83" s="13">
        <f t="shared" si="9"/>
        <v>6578.7656999999999</v>
      </c>
      <c r="DG83" s="13">
        <f t="shared" si="10"/>
        <v>285</v>
      </c>
      <c r="DH83" s="13">
        <f t="shared" si="10"/>
        <v>285</v>
      </c>
      <c r="DI83" s="13">
        <f t="shared" si="10"/>
        <v>0</v>
      </c>
      <c r="DJ83" s="13">
        <f t="shared" si="10"/>
        <v>5888.6766000000007</v>
      </c>
      <c r="DK83" s="13">
        <f t="shared" si="10"/>
        <v>285</v>
      </c>
      <c r="DL83" s="13">
        <f t="shared" si="10"/>
        <v>5603.6766000000007</v>
      </c>
      <c r="DM83" s="13">
        <f t="shared" si="11"/>
        <v>309</v>
      </c>
      <c r="DN83" s="13">
        <f t="shared" si="11"/>
        <v>309</v>
      </c>
      <c r="DO83" s="13">
        <f t="shared" si="11"/>
        <v>0</v>
      </c>
      <c r="DP83" s="13">
        <f t="shared" si="11"/>
        <v>4131.6347999999998</v>
      </c>
      <c r="DQ83" s="13">
        <f t="shared" si="11"/>
        <v>317.67869999999999</v>
      </c>
      <c r="DR83" s="13">
        <f t="shared" si="11"/>
        <v>3813.9561000000003</v>
      </c>
      <c r="DS83" s="14" t="s">
        <v>60</v>
      </c>
      <c r="DT83" s="14" t="s">
        <v>81</v>
      </c>
      <c r="DU83" s="14" t="s">
        <v>73</v>
      </c>
      <c r="DV83" s="14" t="s">
        <v>97</v>
      </c>
      <c r="DW83" s="14" t="s">
        <v>74</v>
      </c>
    </row>
    <row r="84" spans="2:127" x14ac:dyDescent="0.3">
      <c r="B84" s="11" t="s">
        <v>75</v>
      </c>
      <c r="C84" s="12">
        <v>5001342092</v>
      </c>
      <c r="D84" s="11" t="s">
        <v>341</v>
      </c>
      <c r="E84" s="11" t="s">
        <v>55</v>
      </c>
      <c r="F84" s="11" t="s">
        <v>342</v>
      </c>
      <c r="G84" s="11" t="s">
        <v>343</v>
      </c>
      <c r="H84" s="11" t="s">
        <v>104</v>
      </c>
      <c r="I84" s="11">
        <v>33146</v>
      </c>
      <c r="J84" s="11" t="s">
        <v>80</v>
      </c>
      <c r="K84" s="11"/>
      <c r="L84" s="11"/>
      <c r="M84" s="11"/>
      <c r="N84" s="11"/>
      <c r="O84" s="13">
        <v>3200</v>
      </c>
      <c r="P84" s="13">
        <v>3200</v>
      </c>
      <c r="Q84" s="13">
        <v>0</v>
      </c>
      <c r="R84" s="13">
        <v>65144.183499999999</v>
      </c>
      <c r="S84" s="13">
        <v>4120.8859000000002</v>
      </c>
      <c r="T84" s="13">
        <v>61023.297599999998</v>
      </c>
      <c r="U84" s="13">
        <v>207</v>
      </c>
      <c r="V84" s="13">
        <v>207</v>
      </c>
      <c r="W84" s="13">
        <v>0</v>
      </c>
      <c r="X84" s="13">
        <v>4017.2909</v>
      </c>
      <c r="Y84" s="13">
        <v>277.3922</v>
      </c>
      <c r="Z84" s="13">
        <v>3739.8987000000002</v>
      </c>
      <c r="AA84" s="13">
        <v>219</v>
      </c>
      <c r="AB84" s="13">
        <v>219</v>
      </c>
      <c r="AC84" s="13">
        <v>0</v>
      </c>
      <c r="AD84" s="13">
        <v>4876.9005999999999</v>
      </c>
      <c r="AE84" s="13">
        <v>334.71339999999998</v>
      </c>
      <c r="AF84" s="13">
        <v>4542.1872000000003</v>
      </c>
      <c r="AG84" s="13">
        <v>181</v>
      </c>
      <c r="AH84" s="13">
        <v>181</v>
      </c>
      <c r="AI84" s="13">
        <v>0</v>
      </c>
      <c r="AJ84" s="13">
        <v>3747.3267999999998</v>
      </c>
      <c r="AK84" s="13">
        <v>192.57159999999999</v>
      </c>
      <c r="AL84" s="13">
        <v>3554.7552000000001</v>
      </c>
      <c r="AM84" s="13">
        <v>165</v>
      </c>
      <c r="AN84" s="13">
        <v>165</v>
      </c>
      <c r="AO84" s="13">
        <v>0</v>
      </c>
      <c r="AP84" s="13">
        <v>4685.5868999999993</v>
      </c>
      <c r="AQ84" s="13">
        <v>180.42840000000001</v>
      </c>
      <c r="AR84" s="13">
        <v>4505.1584999999995</v>
      </c>
      <c r="AS84" s="13">
        <v>415</v>
      </c>
      <c r="AT84" s="13">
        <v>415</v>
      </c>
      <c r="AU84" s="13">
        <v>0</v>
      </c>
      <c r="AV84" s="13">
        <v>6689.6269999999995</v>
      </c>
      <c r="AW84" s="13">
        <v>579.89149999999995</v>
      </c>
      <c r="AX84" s="13">
        <v>6109.7354999999998</v>
      </c>
      <c r="AY84" s="13">
        <v>366</v>
      </c>
      <c r="AZ84" s="13">
        <v>366</v>
      </c>
      <c r="BA84" s="13">
        <v>0</v>
      </c>
      <c r="BB84" s="13">
        <v>5447.8024999999998</v>
      </c>
      <c r="BC84" s="13">
        <v>448.928</v>
      </c>
      <c r="BD84" s="13">
        <v>4998.8744999999999</v>
      </c>
      <c r="BE84" s="13">
        <v>252</v>
      </c>
      <c r="BF84" s="13">
        <v>252</v>
      </c>
      <c r="BG84" s="13">
        <v>0</v>
      </c>
      <c r="BH84" s="13">
        <v>4572.7860000000001</v>
      </c>
      <c r="BI84" s="13">
        <v>302.14260000000002</v>
      </c>
      <c r="BJ84" s="13">
        <v>4270.6433999999999</v>
      </c>
      <c r="BK84" s="13">
        <v>198</v>
      </c>
      <c r="BL84" s="13">
        <v>198</v>
      </c>
      <c r="BM84" s="13">
        <v>0</v>
      </c>
      <c r="BN84" s="13">
        <v>6962.1022000000003</v>
      </c>
      <c r="BO84" s="13">
        <v>210.5359</v>
      </c>
      <c r="BP84" s="13">
        <v>6751.5663000000004</v>
      </c>
      <c r="BQ84" s="13">
        <v>206</v>
      </c>
      <c r="BR84" s="13">
        <v>206</v>
      </c>
      <c r="BS84" s="13">
        <v>0</v>
      </c>
      <c r="BT84" s="13">
        <v>4620.9003000000002</v>
      </c>
      <c r="BU84" s="13">
        <v>263.85660000000001</v>
      </c>
      <c r="BV84" s="13">
        <v>4357.0437000000002</v>
      </c>
      <c r="BW84" s="13">
        <v>275</v>
      </c>
      <c r="BX84" s="13">
        <v>275</v>
      </c>
      <c r="BY84" s="13">
        <v>0</v>
      </c>
      <c r="BZ84" s="13">
        <v>5040.5155999999997</v>
      </c>
      <c r="CA84" s="13">
        <v>350.21359999999999</v>
      </c>
      <c r="CB84" s="13">
        <v>4690.3019999999997</v>
      </c>
      <c r="CC84" s="13">
        <v>278</v>
      </c>
      <c r="CD84" s="13">
        <v>278</v>
      </c>
      <c r="CE84" s="13">
        <v>0</v>
      </c>
      <c r="CF84" s="13">
        <v>5089.6082000000006</v>
      </c>
      <c r="CG84" s="13">
        <v>386.9633</v>
      </c>
      <c r="CH84" s="13">
        <v>4702.6449000000002</v>
      </c>
      <c r="CI84" s="13">
        <v>289</v>
      </c>
      <c r="CJ84" s="13">
        <v>289</v>
      </c>
      <c r="CK84" s="13">
        <v>0</v>
      </c>
      <c r="CL84" s="13">
        <v>4569.8638000000001</v>
      </c>
      <c r="CM84" s="13">
        <v>397.96359999999999</v>
      </c>
      <c r="CN84" s="13">
        <v>4171.9002</v>
      </c>
      <c r="CO84" s="13">
        <v>149</v>
      </c>
      <c r="CP84" s="13">
        <v>149</v>
      </c>
      <c r="CQ84" s="13">
        <v>0</v>
      </c>
      <c r="CR84" s="13">
        <v>4823.8726999999999</v>
      </c>
      <c r="CS84" s="13">
        <v>195.2852</v>
      </c>
      <c r="CT84" s="13">
        <v>4628.5874999999996</v>
      </c>
      <c r="CU84" s="13">
        <f t="shared" si="8"/>
        <v>2993</v>
      </c>
      <c r="CV84" s="13">
        <f t="shared" si="8"/>
        <v>2993</v>
      </c>
      <c r="CW84" s="13">
        <f t="shared" si="8"/>
        <v>0</v>
      </c>
      <c r="CX84" s="13">
        <f t="shared" si="8"/>
        <v>61126.892599999999</v>
      </c>
      <c r="CY84" s="13">
        <f t="shared" si="8"/>
        <v>3843.4936999999995</v>
      </c>
      <c r="CZ84" s="13">
        <f t="shared" si="8"/>
        <v>57283.398900000007</v>
      </c>
      <c r="DA84" s="13">
        <f t="shared" si="9"/>
        <v>716</v>
      </c>
      <c r="DB84" s="13">
        <f t="shared" si="9"/>
        <v>716</v>
      </c>
      <c r="DC84" s="13">
        <f t="shared" si="9"/>
        <v>0</v>
      </c>
      <c r="DD84" s="13">
        <f t="shared" si="9"/>
        <v>14483.344700000001</v>
      </c>
      <c r="DE84" s="13">
        <f t="shared" si="9"/>
        <v>980.21209999999996</v>
      </c>
      <c r="DF84" s="13">
        <f t="shared" si="9"/>
        <v>13503.132599999999</v>
      </c>
      <c r="DG84" s="13">
        <f t="shared" si="10"/>
        <v>679</v>
      </c>
      <c r="DH84" s="13">
        <f t="shared" si="10"/>
        <v>679</v>
      </c>
      <c r="DI84" s="13">
        <f t="shared" si="10"/>
        <v>0</v>
      </c>
      <c r="DJ84" s="13">
        <f t="shared" si="10"/>
        <v>16623.518100000001</v>
      </c>
      <c r="DK84" s="13">
        <f t="shared" si="10"/>
        <v>824.60609999999997</v>
      </c>
      <c r="DL84" s="13">
        <f t="shared" si="10"/>
        <v>15798.912</v>
      </c>
      <c r="DM84" s="13">
        <f t="shared" si="11"/>
        <v>438</v>
      </c>
      <c r="DN84" s="13">
        <f t="shared" si="11"/>
        <v>438</v>
      </c>
      <c r="DO84" s="13">
        <f t="shared" si="11"/>
        <v>0</v>
      </c>
      <c r="DP84" s="13">
        <f t="shared" si="11"/>
        <v>9393.7364999999991</v>
      </c>
      <c r="DQ84" s="13">
        <f t="shared" si="11"/>
        <v>593.24879999999996</v>
      </c>
      <c r="DR84" s="13">
        <f t="shared" si="11"/>
        <v>8800.4876999999997</v>
      </c>
      <c r="DS84" s="14" t="s">
        <v>71</v>
      </c>
      <c r="DT84" s="14" t="s">
        <v>72</v>
      </c>
      <c r="DU84" s="14" t="s">
        <v>113</v>
      </c>
      <c r="DV84" s="14" t="s">
        <v>82</v>
      </c>
      <c r="DW84" s="14" t="s">
        <v>64</v>
      </c>
    </row>
    <row r="85" spans="2:127" x14ac:dyDescent="0.3">
      <c r="B85" s="11" t="s">
        <v>75</v>
      </c>
      <c r="C85" s="12">
        <v>5001342094</v>
      </c>
      <c r="D85" s="11" t="s">
        <v>344</v>
      </c>
      <c r="E85" s="11" t="s">
        <v>55</v>
      </c>
      <c r="F85" s="11" t="s">
        <v>345</v>
      </c>
      <c r="G85" s="11" t="s">
        <v>346</v>
      </c>
      <c r="H85" s="11" t="s">
        <v>120</v>
      </c>
      <c r="I85" s="11">
        <v>38120</v>
      </c>
      <c r="J85" s="11" t="s">
        <v>80</v>
      </c>
      <c r="K85" s="11"/>
      <c r="L85" s="11"/>
      <c r="M85" s="11"/>
      <c r="N85" s="11"/>
      <c r="O85" s="13">
        <v>1717</v>
      </c>
      <c r="P85" s="13">
        <v>1717</v>
      </c>
      <c r="Q85" s="13">
        <v>0</v>
      </c>
      <c r="R85" s="13">
        <v>50104.393900000003</v>
      </c>
      <c r="S85" s="13">
        <v>6188.3557000000001</v>
      </c>
      <c r="T85" s="13">
        <v>43916.038200000003</v>
      </c>
      <c r="U85" s="13">
        <v>159</v>
      </c>
      <c r="V85" s="13">
        <v>159</v>
      </c>
      <c r="W85" s="13">
        <v>0</v>
      </c>
      <c r="X85" s="13">
        <v>3304.1212</v>
      </c>
      <c r="Y85" s="13">
        <v>502.28289999999998</v>
      </c>
      <c r="Z85" s="13">
        <v>2801.8382999999999</v>
      </c>
      <c r="AA85" s="13">
        <v>165</v>
      </c>
      <c r="AB85" s="13">
        <v>165</v>
      </c>
      <c r="AC85" s="13">
        <v>0</v>
      </c>
      <c r="AD85" s="13">
        <v>4208.8389999999999</v>
      </c>
      <c r="AE85" s="13">
        <v>481.28320000000002</v>
      </c>
      <c r="AF85" s="13">
        <v>3727.5558000000001</v>
      </c>
      <c r="AG85" s="13">
        <v>139</v>
      </c>
      <c r="AH85" s="13">
        <v>139</v>
      </c>
      <c r="AI85" s="13">
        <v>0</v>
      </c>
      <c r="AJ85" s="13">
        <v>3723.2574</v>
      </c>
      <c r="AK85" s="13">
        <v>575.81790000000001</v>
      </c>
      <c r="AL85" s="13">
        <v>3147.4395</v>
      </c>
      <c r="AM85" s="13">
        <v>143</v>
      </c>
      <c r="AN85" s="13">
        <v>143</v>
      </c>
      <c r="AO85" s="13">
        <v>0</v>
      </c>
      <c r="AP85" s="13">
        <v>3742.6867999999999</v>
      </c>
      <c r="AQ85" s="13">
        <v>533.53279999999995</v>
      </c>
      <c r="AR85" s="13">
        <v>3209.154</v>
      </c>
      <c r="AS85" s="13">
        <v>121</v>
      </c>
      <c r="AT85" s="13">
        <v>121</v>
      </c>
      <c r="AU85" s="13">
        <v>0</v>
      </c>
      <c r="AV85" s="13">
        <v>5137.8045000000002</v>
      </c>
      <c r="AW85" s="13">
        <v>607.96019999999999</v>
      </c>
      <c r="AX85" s="13">
        <v>4529.8442999999997</v>
      </c>
      <c r="AY85" s="13">
        <v>120</v>
      </c>
      <c r="AZ85" s="13">
        <v>120</v>
      </c>
      <c r="BA85" s="13">
        <v>0</v>
      </c>
      <c r="BB85" s="13">
        <v>3062.0419000000002</v>
      </c>
      <c r="BC85" s="13">
        <v>470.03289999999998</v>
      </c>
      <c r="BD85" s="13">
        <v>2592.009</v>
      </c>
      <c r="BE85" s="13">
        <v>113</v>
      </c>
      <c r="BF85" s="13">
        <v>113</v>
      </c>
      <c r="BG85" s="13">
        <v>0</v>
      </c>
      <c r="BH85" s="13">
        <v>3490.1301999999996</v>
      </c>
      <c r="BI85" s="13">
        <v>355.03359999999998</v>
      </c>
      <c r="BJ85" s="13">
        <v>3135.0965999999999</v>
      </c>
      <c r="BK85" s="13">
        <v>139</v>
      </c>
      <c r="BL85" s="13">
        <v>139</v>
      </c>
      <c r="BM85" s="13">
        <v>0</v>
      </c>
      <c r="BN85" s="13">
        <v>4432.7822999999999</v>
      </c>
      <c r="BO85" s="13">
        <v>470.71140000000003</v>
      </c>
      <c r="BP85" s="13">
        <v>3962.0709000000002</v>
      </c>
      <c r="BQ85" s="13">
        <v>109</v>
      </c>
      <c r="BR85" s="13">
        <v>109</v>
      </c>
      <c r="BS85" s="13">
        <v>0</v>
      </c>
      <c r="BT85" s="13">
        <v>3719.6803</v>
      </c>
      <c r="BU85" s="13">
        <v>411.78309999999999</v>
      </c>
      <c r="BV85" s="13">
        <v>3307.8971999999999</v>
      </c>
      <c r="BW85" s="13">
        <v>133</v>
      </c>
      <c r="BX85" s="13">
        <v>133</v>
      </c>
      <c r="BY85" s="13">
        <v>0</v>
      </c>
      <c r="BZ85" s="13">
        <v>3757.5657000000001</v>
      </c>
      <c r="CA85" s="13">
        <v>474.35430000000002</v>
      </c>
      <c r="CB85" s="13">
        <v>3283.2114000000001</v>
      </c>
      <c r="CC85" s="13">
        <v>120</v>
      </c>
      <c r="CD85" s="13">
        <v>120</v>
      </c>
      <c r="CE85" s="13">
        <v>0</v>
      </c>
      <c r="CF85" s="13">
        <v>4375.0171</v>
      </c>
      <c r="CG85" s="13">
        <v>524.03230000000008</v>
      </c>
      <c r="CH85" s="13">
        <v>3850.9848000000002</v>
      </c>
      <c r="CI85" s="13">
        <v>127</v>
      </c>
      <c r="CJ85" s="13">
        <v>127</v>
      </c>
      <c r="CK85" s="13">
        <v>0</v>
      </c>
      <c r="CL85" s="13">
        <v>3597.4731000000002</v>
      </c>
      <c r="CM85" s="13">
        <v>388.31909999999999</v>
      </c>
      <c r="CN85" s="13">
        <v>3209.154</v>
      </c>
      <c r="CO85" s="13">
        <v>129</v>
      </c>
      <c r="CP85" s="13">
        <v>129</v>
      </c>
      <c r="CQ85" s="13">
        <v>0</v>
      </c>
      <c r="CR85" s="13">
        <v>3552.9944</v>
      </c>
      <c r="CS85" s="13">
        <v>393.21199999999999</v>
      </c>
      <c r="CT85" s="13">
        <v>3159.7824000000001</v>
      </c>
      <c r="CU85" s="13">
        <f t="shared" si="8"/>
        <v>1558</v>
      </c>
      <c r="CV85" s="13">
        <f t="shared" si="8"/>
        <v>1558</v>
      </c>
      <c r="CW85" s="13">
        <f t="shared" si="8"/>
        <v>0</v>
      </c>
      <c r="CX85" s="13">
        <f t="shared" si="8"/>
        <v>46800.272700000001</v>
      </c>
      <c r="CY85" s="13">
        <f t="shared" si="8"/>
        <v>5686.0727999999999</v>
      </c>
      <c r="CZ85" s="13">
        <f t="shared" si="8"/>
        <v>41114.199900000007</v>
      </c>
      <c r="DA85" s="13">
        <f t="shared" si="9"/>
        <v>376</v>
      </c>
      <c r="DB85" s="13">
        <f t="shared" si="9"/>
        <v>376</v>
      </c>
      <c r="DC85" s="13">
        <f t="shared" si="9"/>
        <v>0</v>
      </c>
      <c r="DD85" s="13">
        <f t="shared" si="9"/>
        <v>11525.4846</v>
      </c>
      <c r="DE85" s="13">
        <f t="shared" si="9"/>
        <v>1305.5634</v>
      </c>
      <c r="DF85" s="13">
        <f t="shared" si="9"/>
        <v>10219.921200000001</v>
      </c>
      <c r="DG85" s="13">
        <f t="shared" si="10"/>
        <v>381</v>
      </c>
      <c r="DH85" s="13">
        <f t="shared" si="10"/>
        <v>381</v>
      </c>
      <c r="DI85" s="13">
        <f t="shared" si="10"/>
        <v>0</v>
      </c>
      <c r="DJ85" s="13">
        <f t="shared" si="10"/>
        <v>11910.0283</v>
      </c>
      <c r="DK85" s="13">
        <f t="shared" si="10"/>
        <v>1356.8488</v>
      </c>
      <c r="DL85" s="13">
        <f t="shared" si="10"/>
        <v>10553.1795</v>
      </c>
      <c r="DM85" s="13">
        <f t="shared" si="11"/>
        <v>256</v>
      </c>
      <c r="DN85" s="13">
        <f t="shared" si="11"/>
        <v>256</v>
      </c>
      <c r="DO85" s="13">
        <f t="shared" si="11"/>
        <v>0</v>
      </c>
      <c r="DP85" s="13">
        <f t="shared" si="11"/>
        <v>7150.4675000000007</v>
      </c>
      <c r="DQ85" s="13">
        <f t="shared" si="11"/>
        <v>781.53109999999992</v>
      </c>
      <c r="DR85" s="13">
        <f t="shared" si="11"/>
        <v>6368.9364000000005</v>
      </c>
      <c r="DS85" s="14" t="s">
        <v>60</v>
      </c>
      <c r="DT85" s="14" t="s">
        <v>72</v>
      </c>
      <c r="DU85" s="14" t="s">
        <v>73</v>
      </c>
      <c r="DV85" s="14" t="s">
        <v>82</v>
      </c>
      <c r="DW85" s="14" t="s">
        <v>74</v>
      </c>
    </row>
    <row r="86" spans="2:127" x14ac:dyDescent="0.3">
      <c r="B86" s="11" t="s">
        <v>83</v>
      </c>
      <c r="C86" s="12">
        <v>5001342101</v>
      </c>
      <c r="D86" s="11" t="s">
        <v>347</v>
      </c>
      <c r="E86" s="11" t="s">
        <v>55</v>
      </c>
      <c r="F86" s="11" t="s">
        <v>348</v>
      </c>
      <c r="G86" s="11" t="s">
        <v>349</v>
      </c>
      <c r="H86" s="11" t="s">
        <v>87</v>
      </c>
      <c r="I86" s="11">
        <v>63108</v>
      </c>
      <c r="J86" s="11" t="s">
        <v>59</v>
      </c>
      <c r="K86" s="11"/>
      <c r="L86" s="11"/>
      <c r="M86" s="11"/>
      <c r="N86" s="11"/>
      <c r="O86" s="13">
        <v>1011</v>
      </c>
      <c r="P86" s="13">
        <v>1011</v>
      </c>
      <c r="Q86" s="13">
        <v>0</v>
      </c>
      <c r="R86" s="13">
        <v>83463.286099999998</v>
      </c>
      <c r="S86" s="13">
        <v>2913.5207</v>
      </c>
      <c r="T86" s="13">
        <v>80549.765400000004</v>
      </c>
      <c r="U86" s="13">
        <v>143</v>
      </c>
      <c r="V86" s="13">
        <v>143</v>
      </c>
      <c r="W86" s="13">
        <v>0</v>
      </c>
      <c r="X86" s="13">
        <v>5768.2760999999991</v>
      </c>
      <c r="Y86" s="13">
        <v>189.28530000000001</v>
      </c>
      <c r="Z86" s="13">
        <v>5578.9907999999996</v>
      </c>
      <c r="AA86" s="13">
        <v>128</v>
      </c>
      <c r="AB86" s="13">
        <v>128</v>
      </c>
      <c r="AC86" s="13">
        <v>0</v>
      </c>
      <c r="AD86" s="13">
        <v>6396.2631999999994</v>
      </c>
      <c r="AE86" s="13">
        <v>249.499</v>
      </c>
      <c r="AF86" s="13">
        <v>6146.7641999999996</v>
      </c>
      <c r="AG86" s="13">
        <v>91</v>
      </c>
      <c r="AH86" s="13">
        <v>91</v>
      </c>
      <c r="AI86" s="13">
        <v>0</v>
      </c>
      <c r="AJ86" s="13">
        <v>6472.0850999999993</v>
      </c>
      <c r="AK86" s="13">
        <v>201.89190000000002</v>
      </c>
      <c r="AL86" s="13">
        <v>6270.1931999999997</v>
      </c>
      <c r="AM86" s="13">
        <v>48</v>
      </c>
      <c r="AN86" s="13">
        <v>48</v>
      </c>
      <c r="AO86" s="13">
        <v>0</v>
      </c>
      <c r="AP86" s="13">
        <v>5187.2732999999998</v>
      </c>
      <c r="AQ86" s="13">
        <v>163.71299999999999</v>
      </c>
      <c r="AR86" s="13">
        <v>5023.5603000000001</v>
      </c>
      <c r="AS86" s="13">
        <v>104</v>
      </c>
      <c r="AT86" s="13">
        <v>104</v>
      </c>
      <c r="AU86" s="13">
        <v>0</v>
      </c>
      <c r="AV86" s="13">
        <v>6826.0577000000003</v>
      </c>
      <c r="AW86" s="13">
        <v>222.6062</v>
      </c>
      <c r="AX86" s="13">
        <v>6603.4515000000001</v>
      </c>
      <c r="AY86" s="13">
        <v>19</v>
      </c>
      <c r="AZ86" s="13">
        <v>19</v>
      </c>
      <c r="BA86" s="13">
        <v>0</v>
      </c>
      <c r="BB86" s="13">
        <v>6059.8843999999999</v>
      </c>
      <c r="BC86" s="13">
        <v>110.6066</v>
      </c>
      <c r="BD86" s="13">
        <v>5949.2777999999998</v>
      </c>
      <c r="BE86" s="13">
        <v>84</v>
      </c>
      <c r="BF86" s="13">
        <v>84</v>
      </c>
      <c r="BG86" s="13">
        <v>0</v>
      </c>
      <c r="BH86" s="13">
        <v>6669.7083000000002</v>
      </c>
      <c r="BI86" s="13">
        <v>103.2855</v>
      </c>
      <c r="BJ86" s="13">
        <v>6566.4228000000003</v>
      </c>
      <c r="BK86" s="13">
        <v>105</v>
      </c>
      <c r="BL86" s="13">
        <v>105</v>
      </c>
      <c r="BM86" s="13">
        <v>0</v>
      </c>
      <c r="BN86" s="13">
        <v>6758.2070000000003</v>
      </c>
      <c r="BO86" s="13">
        <v>253.49870000000001</v>
      </c>
      <c r="BP86" s="13">
        <v>6504.7083000000002</v>
      </c>
      <c r="BQ86" s="13">
        <v>57</v>
      </c>
      <c r="BR86" s="13">
        <v>57</v>
      </c>
      <c r="BS86" s="13">
        <v>0</v>
      </c>
      <c r="BT86" s="13">
        <v>6671.2499000000007</v>
      </c>
      <c r="BU86" s="13">
        <v>203.5703</v>
      </c>
      <c r="BV86" s="13">
        <v>6467.6796000000004</v>
      </c>
      <c r="BW86" s="13">
        <v>45</v>
      </c>
      <c r="BX86" s="13">
        <v>45</v>
      </c>
      <c r="BY86" s="13">
        <v>0</v>
      </c>
      <c r="BZ86" s="13">
        <v>5864.4823000000006</v>
      </c>
      <c r="CA86" s="13">
        <v>248.46279999999999</v>
      </c>
      <c r="CB86" s="13">
        <v>5616.0195000000003</v>
      </c>
      <c r="CC86" s="13">
        <v>92</v>
      </c>
      <c r="CD86" s="13">
        <v>92</v>
      </c>
      <c r="CE86" s="13">
        <v>0</v>
      </c>
      <c r="CF86" s="13">
        <v>8147.473</v>
      </c>
      <c r="CG86" s="13">
        <v>544.24659999999994</v>
      </c>
      <c r="CH86" s="13">
        <v>7603.2263999999996</v>
      </c>
      <c r="CI86" s="13">
        <v>44</v>
      </c>
      <c r="CJ86" s="13">
        <v>44</v>
      </c>
      <c r="CK86" s="13">
        <v>0</v>
      </c>
      <c r="CL86" s="13">
        <v>7205.7718000000004</v>
      </c>
      <c r="CM86" s="13">
        <v>293.74779999999998</v>
      </c>
      <c r="CN86" s="13">
        <v>6912.0240000000003</v>
      </c>
      <c r="CO86" s="13">
        <v>51</v>
      </c>
      <c r="CP86" s="13">
        <v>51</v>
      </c>
      <c r="CQ86" s="13">
        <v>0</v>
      </c>
      <c r="CR86" s="13">
        <v>5436.5540000000001</v>
      </c>
      <c r="CS86" s="13">
        <v>129.107</v>
      </c>
      <c r="CT86" s="13">
        <v>5307.4470000000001</v>
      </c>
      <c r="CU86" s="13">
        <f t="shared" si="8"/>
        <v>868</v>
      </c>
      <c r="CV86" s="13">
        <f t="shared" si="8"/>
        <v>868</v>
      </c>
      <c r="CW86" s="13">
        <f t="shared" si="8"/>
        <v>0</v>
      </c>
      <c r="CX86" s="13">
        <f t="shared" si="8"/>
        <v>77695.010000000009</v>
      </c>
      <c r="CY86" s="13">
        <f t="shared" si="8"/>
        <v>2724.2354000000005</v>
      </c>
      <c r="CZ86" s="13">
        <f t="shared" si="8"/>
        <v>74970.774600000004</v>
      </c>
      <c r="DA86" s="13">
        <f t="shared" si="9"/>
        <v>187</v>
      </c>
      <c r="DB86" s="13">
        <f t="shared" si="9"/>
        <v>187</v>
      </c>
      <c r="DC86" s="13">
        <f t="shared" si="9"/>
        <v>0</v>
      </c>
      <c r="DD86" s="13">
        <f t="shared" si="9"/>
        <v>20789.7988</v>
      </c>
      <c r="DE86" s="13">
        <f t="shared" si="9"/>
        <v>967.1013999999999</v>
      </c>
      <c r="DF86" s="13">
        <f t="shared" si="9"/>
        <v>19822.697400000001</v>
      </c>
      <c r="DG86" s="13">
        <f t="shared" si="10"/>
        <v>207</v>
      </c>
      <c r="DH86" s="13">
        <f t="shared" si="10"/>
        <v>207</v>
      </c>
      <c r="DI86" s="13">
        <f t="shared" si="10"/>
        <v>0</v>
      </c>
      <c r="DJ86" s="13">
        <f t="shared" si="10"/>
        <v>19293.939200000001</v>
      </c>
      <c r="DK86" s="13">
        <f t="shared" si="10"/>
        <v>705.53179999999998</v>
      </c>
      <c r="DL86" s="13">
        <f t="shared" si="10"/>
        <v>18588.407400000004</v>
      </c>
      <c r="DM86" s="13">
        <f t="shared" si="11"/>
        <v>95</v>
      </c>
      <c r="DN86" s="13">
        <f t="shared" si="11"/>
        <v>95</v>
      </c>
      <c r="DO86" s="13">
        <f t="shared" si="11"/>
        <v>0</v>
      </c>
      <c r="DP86" s="13">
        <f t="shared" si="11"/>
        <v>12642.325800000001</v>
      </c>
      <c r="DQ86" s="13">
        <f t="shared" si="11"/>
        <v>422.85479999999995</v>
      </c>
      <c r="DR86" s="13">
        <f t="shared" si="11"/>
        <v>12219.471000000001</v>
      </c>
      <c r="DS86" s="14" t="s">
        <v>60</v>
      </c>
      <c r="DT86" s="14" t="s">
        <v>81</v>
      </c>
      <c r="DU86" s="14" t="s">
        <v>187</v>
      </c>
      <c r="DV86" s="14" t="s">
        <v>82</v>
      </c>
      <c r="DW86" s="14" t="s">
        <v>64</v>
      </c>
    </row>
    <row r="87" spans="2:127" x14ac:dyDescent="0.3">
      <c r="B87" s="11" t="s">
        <v>65</v>
      </c>
      <c r="C87" s="12">
        <v>5001342105</v>
      </c>
      <c r="D87" s="11" t="s">
        <v>350</v>
      </c>
      <c r="E87" s="11" t="s">
        <v>55</v>
      </c>
      <c r="F87" s="11" t="s">
        <v>351</v>
      </c>
      <c r="G87" s="11" t="s">
        <v>352</v>
      </c>
      <c r="H87" s="11" t="s">
        <v>199</v>
      </c>
      <c r="I87" s="11">
        <v>49007</v>
      </c>
      <c r="J87" s="11" t="s">
        <v>80</v>
      </c>
      <c r="K87" s="11"/>
      <c r="L87" s="11"/>
      <c r="M87" s="11"/>
      <c r="N87" s="11"/>
      <c r="O87" s="13">
        <v>419</v>
      </c>
      <c r="P87" s="13">
        <v>419</v>
      </c>
      <c r="Q87" s="13">
        <v>0</v>
      </c>
      <c r="R87" s="13">
        <v>25136.039000000001</v>
      </c>
      <c r="S87" s="13">
        <v>783.4973</v>
      </c>
      <c r="T87" s="13">
        <v>24352.541700000002</v>
      </c>
      <c r="U87" s="13">
        <v>28</v>
      </c>
      <c r="V87" s="13">
        <v>28</v>
      </c>
      <c r="W87" s="13">
        <v>0</v>
      </c>
      <c r="X87" s="13">
        <v>1484.6549</v>
      </c>
      <c r="Y87" s="13">
        <v>40.535600000000002</v>
      </c>
      <c r="Z87" s="13">
        <v>1444.1193000000001</v>
      </c>
      <c r="AA87" s="13">
        <v>37</v>
      </c>
      <c r="AB87" s="13">
        <v>37</v>
      </c>
      <c r="AC87" s="13">
        <v>0</v>
      </c>
      <c r="AD87" s="13">
        <v>1893.8346000000001</v>
      </c>
      <c r="AE87" s="13">
        <v>79.428300000000007</v>
      </c>
      <c r="AF87" s="13">
        <v>1814.4063000000001</v>
      </c>
      <c r="AG87" s="13">
        <v>60</v>
      </c>
      <c r="AH87" s="13">
        <v>60</v>
      </c>
      <c r="AI87" s="13">
        <v>0</v>
      </c>
      <c r="AJ87" s="13">
        <v>1754.2556</v>
      </c>
      <c r="AK87" s="13">
        <v>87.964100000000002</v>
      </c>
      <c r="AL87" s="13">
        <v>1666.2915</v>
      </c>
      <c r="AM87" s="13">
        <v>43</v>
      </c>
      <c r="AN87" s="13">
        <v>43</v>
      </c>
      <c r="AO87" s="13">
        <v>0</v>
      </c>
      <c r="AP87" s="13">
        <v>1663.1981999999998</v>
      </c>
      <c r="AQ87" s="13">
        <v>70.964100000000002</v>
      </c>
      <c r="AR87" s="13">
        <v>1592.2340999999999</v>
      </c>
      <c r="AS87" s="13">
        <v>46</v>
      </c>
      <c r="AT87" s="13">
        <v>46</v>
      </c>
      <c r="AU87" s="13">
        <v>0</v>
      </c>
      <c r="AV87" s="13">
        <v>2061.1709999999998</v>
      </c>
      <c r="AW87" s="13">
        <v>73.964100000000002</v>
      </c>
      <c r="AX87" s="13">
        <v>1987.2068999999999</v>
      </c>
      <c r="AY87" s="13">
        <v>37</v>
      </c>
      <c r="AZ87" s="13">
        <v>37</v>
      </c>
      <c r="BA87" s="13">
        <v>0</v>
      </c>
      <c r="BB87" s="13">
        <v>1718.9126999999999</v>
      </c>
      <c r="BC87" s="13">
        <v>64.964100000000002</v>
      </c>
      <c r="BD87" s="13">
        <v>1653.9485999999999</v>
      </c>
      <c r="BE87" s="13">
        <v>38</v>
      </c>
      <c r="BF87" s="13">
        <v>38</v>
      </c>
      <c r="BG87" s="13">
        <v>0</v>
      </c>
      <c r="BH87" s="13">
        <v>1411.3401999999999</v>
      </c>
      <c r="BI87" s="13">
        <v>65.964100000000002</v>
      </c>
      <c r="BJ87" s="13">
        <v>1345.3761</v>
      </c>
      <c r="BK87" s="13">
        <v>39</v>
      </c>
      <c r="BL87" s="13">
        <v>39</v>
      </c>
      <c r="BM87" s="13">
        <v>0</v>
      </c>
      <c r="BN87" s="13">
        <v>2363.9004999999997</v>
      </c>
      <c r="BO87" s="13">
        <v>80.463999999999999</v>
      </c>
      <c r="BP87" s="13">
        <v>2283.4364999999998</v>
      </c>
      <c r="BQ87" s="13">
        <v>20</v>
      </c>
      <c r="BR87" s="13">
        <v>20</v>
      </c>
      <c r="BS87" s="13">
        <v>0</v>
      </c>
      <c r="BT87" s="13">
        <v>1936.4277999999999</v>
      </c>
      <c r="BU87" s="13">
        <v>47.964100000000002</v>
      </c>
      <c r="BV87" s="13">
        <v>1888.4637</v>
      </c>
      <c r="BW87" s="13">
        <v>20</v>
      </c>
      <c r="BX87" s="13">
        <v>20</v>
      </c>
      <c r="BY87" s="13">
        <v>0</v>
      </c>
      <c r="BZ87" s="13">
        <v>1959.1849999999999</v>
      </c>
      <c r="CA87" s="13">
        <v>46.035499999999999</v>
      </c>
      <c r="CB87" s="13">
        <v>1913.1495</v>
      </c>
      <c r="CC87" s="13">
        <v>20</v>
      </c>
      <c r="CD87" s="13">
        <v>20</v>
      </c>
      <c r="CE87" s="13">
        <v>0</v>
      </c>
      <c r="CF87" s="13">
        <v>2685.4875999999999</v>
      </c>
      <c r="CG87" s="13">
        <v>44.106999999999999</v>
      </c>
      <c r="CH87" s="13">
        <v>2641.3806</v>
      </c>
      <c r="CI87" s="13">
        <v>11</v>
      </c>
      <c r="CJ87" s="13">
        <v>11</v>
      </c>
      <c r="CK87" s="13">
        <v>0</v>
      </c>
      <c r="CL87" s="13">
        <v>2144.7785000000003</v>
      </c>
      <c r="CM87" s="13">
        <v>34.142600000000002</v>
      </c>
      <c r="CN87" s="13">
        <v>2110.6359000000002</v>
      </c>
      <c r="CO87" s="13">
        <v>20</v>
      </c>
      <c r="CP87" s="13">
        <v>20</v>
      </c>
      <c r="CQ87" s="13">
        <v>0</v>
      </c>
      <c r="CR87" s="13">
        <v>2058.8924000000002</v>
      </c>
      <c r="CS87" s="13">
        <v>46.999700000000004</v>
      </c>
      <c r="CT87" s="13">
        <v>2011.8927000000001</v>
      </c>
      <c r="CU87" s="13">
        <f t="shared" si="8"/>
        <v>391</v>
      </c>
      <c r="CV87" s="13">
        <f t="shared" si="8"/>
        <v>391</v>
      </c>
      <c r="CW87" s="13">
        <f t="shared" si="8"/>
        <v>0</v>
      </c>
      <c r="CX87" s="13">
        <f t="shared" si="8"/>
        <v>23651.384100000003</v>
      </c>
      <c r="CY87" s="13">
        <f t="shared" si="8"/>
        <v>742.96169999999995</v>
      </c>
      <c r="CZ87" s="13">
        <f t="shared" si="8"/>
        <v>22908.422399999999</v>
      </c>
      <c r="DA87" s="13">
        <f t="shared" si="9"/>
        <v>51</v>
      </c>
      <c r="DB87" s="13">
        <f t="shared" si="9"/>
        <v>51</v>
      </c>
      <c r="DC87" s="13">
        <f t="shared" si="9"/>
        <v>0</v>
      </c>
      <c r="DD87" s="13">
        <f t="shared" si="9"/>
        <v>6889.1585000000014</v>
      </c>
      <c r="DE87" s="13">
        <f t="shared" si="9"/>
        <v>125.24930000000001</v>
      </c>
      <c r="DF87" s="13">
        <f t="shared" si="9"/>
        <v>6763.9092000000001</v>
      </c>
      <c r="DG87" s="13">
        <f t="shared" si="10"/>
        <v>79</v>
      </c>
      <c r="DH87" s="13">
        <f t="shared" si="10"/>
        <v>79</v>
      </c>
      <c r="DI87" s="13">
        <f t="shared" si="10"/>
        <v>0</v>
      </c>
      <c r="DJ87" s="13">
        <f t="shared" si="10"/>
        <v>6259.5132999999987</v>
      </c>
      <c r="DK87" s="13">
        <f t="shared" si="10"/>
        <v>174.46359999999999</v>
      </c>
      <c r="DL87" s="13">
        <f t="shared" si="10"/>
        <v>6085.0496999999996</v>
      </c>
      <c r="DM87" s="13">
        <f t="shared" si="11"/>
        <v>31</v>
      </c>
      <c r="DN87" s="13">
        <f t="shared" si="11"/>
        <v>31</v>
      </c>
      <c r="DO87" s="13">
        <f t="shared" si="11"/>
        <v>0</v>
      </c>
      <c r="DP87" s="13">
        <f t="shared" si="11"/>
        <v>4203.670900000001</v>
      </c>
      <c r="DQ87" s="13">
        <f t="shared" si="11"/>
        <v>81.142300000000006</v>
      </c>
      <c r="DR87" s="13">
        <f t="shared" si="11"/>
        <v>4122.5286000000006</v>
      </c>
      <c r="DS87" s="14" t="s">
        <v>138</v>
      </c>
      <c r="DT87" s="14" t="s">
        <v>81</v>
      </c>
      <c r="DU87" s="14" t="s">
        <v>73</v>
      </c>
      <c r="DV87" s="14" t="s">
        <v>82</v>
      </c>
      <c r="DW87" s="14" t="s">
        <v>74</v>
      </c>
    </row>
    <row r="88" spans="2:127" x14ac:dyDescent="0.3">
      <c r="B88" s="11" t="s">
        <v>75</v>
      </c>
      <c r="C88" s="12">
        <v>5001342115</v>
      </c>
      <c r="D88" s="11" t="s">
        <v>353</v>
      </c>
      <c r="E88" s="11" t="s">
        <v>55</v>
      </c>
      <c r="F88" s="11" t="s">
        <v>354</v>
      </c>
      <c r="G88" s="11" t="s">
        <v>355</v>
      </c>
      <c r="H88" s="11" t="s">
        <v>220</v>
      </c>
      <c r="I88" s="11">
        <v>28208</v>
      </c>
      <c r="J88" s="11" t="s">
        <v>80</v>
      </c>
      <c r="K88" s="11"/>
      <c r="L88" s="11"/>
      <c r="M88" s="11"/>
      <c r="N88" s="11"/>
      <c r="O88" s="13">
        <v>1309</v>
      </c>
      <c r="P88" s="13">
        <v>1309</v>
      </c>
      <c r="Q88" s="13">
        <v>0</v>
      </c>
      <c r="R88" s="13">
        <v>123146.31170000001</v>
      </c>
      <c r="S88" s="13">
        <v>3876.8690000000001</v>
      </c>
      <c r="T88" s="13">
        <v>119269.4427</v>
      </c>
      <c r="U88" s="13">
        <v>182</v>
      </c>
      <c r="V88" s="13">
        <v>182</v>
      </c>
      <c r="W88" s="13">
        <v>0</v>
      </c>
      <c r="X88" s="13">
        <v>9211.2134999999998</v>
      </c>
      <c r="Y88" s="13">
        <v>484.78320000000002</v>
      </c>
      <c r="Z88" s="13">
        <v>8726.4303</v>
      </c>
      <c r="AA88" s="13">
        <v>121</v>
      </c>
      <c r="AB88" s="13">
        <v>121</v>
      </c>
      <c r="AC88" s="13">
        <v>0</v>
      </c>
      <c r="AD88" s="13">
        <v>9873.6229000000003</v>
      </c>
      <c r="AE88" s="13">
        <v>418.9615</v>
      </c>
      <c r="AF88" s="13">
        <v>9454.6614000000009</v>
      </c>
      <c r="AG88" s="13">
        <v>85</v>
      </c>
      <c r="AH88" s="13">
        <v>85</v>
      </c>
      <c r="AI88" s="13">
        <v>0</v>
      </c>
      <c r="AJ88" s="13">
        <v>8176.9249</v>
      </c>
      <c r="AK88" s="13">
        <v>314.49760000000003</v>
      </c>
      <c r="AL88" s="13">
        <v>7862.4273000000003</v>
      </c>
      <c r="AM88" s="13">
        <v>100</v>
      </c>
      <c r="AN88" s="13">
        <v>100</v>
      </c>
      <c r="AO88" s="13">
        <v>0</v>
      </c>
      <c r="AP88" s="13">
        <v>8890.2645000000011</v>
      </c>
      <c r="AQ88" s="13">
        <v>237.89160000000001</v>
      </c>
      <c r="AR88" s="13">
        <v>8652.3729000000003</v>
      </c>
      <c r="AS88" s="13">
        <v>113</v>
      </c>
      <c r="AT88" s="13">
        <v>113</v>
      </c>
      <c r="AU88" s="13">
        <v>0</v>
      </c>
      <c r="AV88" s="13">
        <v>11120.357</v>
      </c>
      <c r="AW88" s="13">
        <v>320.31950000000001</v>
      </c>
      <c r="AX88" s="13">
        <v>10800.0375</v>
      </c>
      <c r="AY88" s="13">
        <v>43</v>
      </c>
      <c r="AZ88" s="13">
        <v>43</v>
      </c>
      <c r="BA88" s="13">
        <v>0</v>
      </c>
      <c r="BB88" s="13">
        <v>7553.0736999999999</v>
      </c>
      <c r="BC88" s="13">
        <v>221.39109999999999</v>
      </c>
      <c r="BD88" s="13">
        <v>7331.6826000000001</v>
      </c>
      <c r="BE88" s="13">
        <v>49</v>
      </c>
      <c r="BF88" s="13">
        <v>49</v>
      </c>
      <c r="BG88" s="13">
        <v>0</v>
      </c>
      <c r="BH88" s="13">
        <v>8686.7137999999995</v>
      </c>
      <c r="BI88" s="13">
        <v>207.14150000000001</v>
      </c>
      <c r="BJ88" s="13">
        <v>8479.5722999999998</v>
      </c>
      <c r="BK88" s="13">
        <v>86</v>
      </c>
      <c r="BL88" s="13">
        <v>86</v>
      </c>
      <c r="BM88" s="13">
        <v>0</v>
      </c>
      <c r="BN88" s="13">
        <v>11468.658099999999</v>
      </c>
      <c r="BO88" s="13">
        <v>310.67650000000003</v>
      </c>
      <c r="BP88" s="13">
        <v>11157.981599999999</v>
      </c>
      <c r="BQ88" s="13">
        <v>91</v>
      </c>
      <c r="BR88" s="13">
        <v>91</v>
      </c>
      <c r="BS88" s="13">
        <v>0</v>
      </c>
      <c r="BT88" s="13">
        <v>8529.2986999999994</v>
      </c>
      <c r="BU88" s="13">
        <v>247.21279999999999</v>
      </c>
      <c r="BV88" s="13">
        <v>8282.0859</v>
      </c>
      <c r="BW88" s="13">
        <v>84</v>
      </c>
      <c r="BX88" s="13">
        <v>84</v>
      </c>
      <c r="BY88" s="13">
        <v>0</v>
      </c>
      <c r="BZ88" s="13">
        <v>9181.872800000001</v>
      </c>
      <c r="CA88" s="13">
        <v>220.92740000000001</v>
      </c>
      <c r="CB88" s="13">
        <v>8960.9454000000005</v>
      </c>
      <c r="CC88" s="13">
        <v>162</v>
      </c>
      <c r="CD88" s="13">
        <v>162</v>
      </c>
      <c r="CE88" s="13">
        <v>0</v>
      </c>
      <c r="CF88" s="13">
        <v>11711.2875</v>
      </c>
      <c r="CG88" s="13">
        <v>355.81950000000001</v>
      </c>
      <c r="CH88" s="13">
        <v>11355.468000000001</v>
      </c>
      <c r="CI88" s="13">
        <v>104</v>
      </c>
      <c r="CJ88" s="13">
        <v>104</v>
      </c>
      <c r="CK88" s="13">
        <v>0</v>
      </c>
      <c r="CL88" s="13">
        <v>9487.1092000000008</v>
      </c>
      <c r="CM88" s="13">
        <v>266.96289999999999</v>
      </c>
      <c r="CN88" s="13">
        <v>9220.1463000000003</v>
      </c>
      <c r="CO88" s="13">
        <v>89</v>
      </c>
      <c r="CP88" s="13">
        <v>89</v>
      </c>
      <c r="CQ88" s="13">
        <v>0</v>
      </c>
      <c r="CR88" s="13">
        <v>9255.9151000000002</v>
      </c>
      <c r="CS88" s="13">
        <v>270.28390000000002</v>
      </c>
      <c r="CT88" s="13">
        <v>8985.6311999999998</v>
      </c>
      <c r="CU88" s="13">
        <f t="shared" si="8"/>
        <v>1127</v>
      </c>
      <c r="CV88" s="13">
        <f t="shared" si="8"/>
        <v>1127</v>
      </c>
      <c r="CW88" s="13">
        <f t="shared" si="8"/>
        <v>0</v>
      </c>
      <c r="CX88" s="13">
        <f t="shared" si="8"/>
        <v>113935.09820000001</v>
      </c>
      <c r="CY88" s="13">
        <f t="shared" si="8"/>
        <v>3392.0857999999998</v>
      </c>
      <c r="CZ88" s="13">
        <f t="shared" si="8"/>
        <v>110543.01240000001</v>
      </c>
      <c r="DA88" s="13">
        <f t="shared" si="9"/>
        <v>355</v>
      </c>
      <c r="DB88" s="13">
        <f t="shared" si="9"/>
        <v>355</v>
      </c>
      <c r="DC88" s="13">
        <f t="shared" si="9"/>
        <v>0</v>
      </c>
      <c r="DD88" s="13">
        <f t="shared" si="9"/>
        <v>30454.311800000003</v>
      </c>
      <c r="DE88" s="13">
        <f t="shared" si="9"/>
        <v>893.06630000000007</v>
      </c>
      <c r="DF88" s="13">
        <f t="shared" si="9"/>
        <v>29561.245500000001</v>
      </c>
      <c r="DG88" s="13">
        <f t="shared" si="10"/>
        <v>261</v>
      </c>
      <c r="DH88" s="13">
        <f t="shared" si="10"/>
        <v>261</v>
      </c>
      <c r="DI88" s="13">
        <f t="shared" si="10"/>
        <v>0</v>
      </c>
      <c r="DJ88" s="13">
        <f t="shared" si="10"/>
        <v>29179.829600000001</v>
      </c>
      <c r="DK88" s="13">
        <f t="shared" si="10"/>
        <v>778.81670000000008</v>
      </c>
      <c r="DL88" s="13">
        <f t="shared" si="10"/>
        <v>28401.012899999998</v>
      </c>
      <c r="DM88" s="13">
        <f t="shared" si="11"/>
        <v>193</v>
      </c>
      <c r="DN88" s="13">
        <f t="shared" si="11"/>
        <v>193</v>
      </c>
      <c r="DO88" s="13">
        <f t="shared" si="11"/>
        <v>0</v>
      </c>
      <c r="DP88" s="13">
        <f t="shared" si="11"/>
        <v>18743.024300000001</v>
      </c>
      <c r="DQ88" s="13">
        <f t="shared" si="11"/>
        <v>537.24680000000001</v>
      </c>
      <c r="DR88" s="13">
        <f t="shared" si="11"/>
        <v>18205.7775</v>
      </c>
      <c r="DS88" s="14" t="s">
        <v>71</v>
      </c>
      <c r="DT88" s="14" t="s">
        <v>81</v>
      </c>
      <c r="DU88" s="14" t="s">
        <v>73</v>
      </c>
      <c r="DV88" s="14" t="s">
        <v>82</v>
      </c>
      <c r="DW88" s="14" t="s">
        <v>74</v>
      </c>
    </row>
    <row r="89" spans="2:127" x14ac:dyDescent="0.3">
      <c r="B89" s="11" t="s">
        <v>65</v>
      </c>
      <c r="C89" s="12">
        <v>5001342132</v>
      </c>
      <c r="D89" s="11" t="s">
        <v>356</v>
      </c>
      <c r="E89" s="11" t="s">
        <v>55</v>
      </c>
      <c r="F89" s="11" t="s">
        <v>357</v>
      </c>
      <c r="G89" s="11" t="s">
        <v>358</v>
      </c>
      <c r="H89" s="11" t="s">
        <v>359</v>
      </c>
      <c r="I89" s="11">
        <v>19801</v>
      </c>
      <c r="J89" s="11" t="s">
        <v>80</v>
      </c>
      <c r="K89" s="11"/>
      <c r="L89" s="11"/>
      <c r="M89" s="11"/>
      <c r="N89" s="11"/>
      <c r="O89" s="13">
        <v>871</v>
      </c>
      <c r="P89" s="13">
        <v>871</v>
      </c>
      <c r="Q89" s="13">
        <v>0</v>
      </c>
      <c r="R89" s="13">
        <v>14189.562099999999</v>
      </c>
      <c r="S89" s="13">
        <v>1402.3177000000001</v>
      </c>
      <c r="T89" s="13">
        <v>12787.2444</v>
      </c>
      <c r="U89" s="13">
        <v>77</v>
      </c>
      <c r="V89" s="13">
        <v>77</v>
      </c>
      <c r="W89" s="13">
        <v>0</v>
      </c>
      <c r="X89" s="13">
        <v>890.85929999999996</v>
      </c>
      <c r="Y89" s="13">
        <v>150.28530000000001</v>
      </c>
      <c r="Z89" s="13">
        <v>740.57399999999996</v>
      </c>
      <c r="AA89" s="13">
        <v>53</v>
      </c>
      <c r="AB89" s="13">
        <v>53</v>
      </c>
      <c r="AC89" s="13">
        <v>0</v>
      </c>
      <c r="AD89" s="13">
        <v>1080.1601000000001</v>
      </c>
      <c r="AE89" s="13">
        <v>105.071</v>
      </c>
      <c r="AF89" s="13">
        <v>975.08910000000003</v>
      </c>
      <c r="AG89" s="13">
        <v>38</v>
      </c>
      <c r="AH89" s="13">
        <v>38</v>
      </c>
      <c r="AI89" s="13">
        <v>0</v>
      </c>
      <c r="AJ89" s="13">
        <v>1204.5958999999998</v>
      </c>
      <c r="AK89" s="13">
        <v>143.10649999999998</v>
      </c>
      <c r="AL89" s="13">
        <v>1061.4893999999999</v>
      </c>
      <c r="AM89" s="13">
        <v>70</v>
      </c>
      <c r="AN89" s="13">
        <v>70</v>
      </c>
      <c r="AO89" s="13">
        <v>0</v>
      </c>
      <c r="AP89" s="13">
        <v>800.54510000000005</v>
      </c>
      <c r="AQ89" s="13">
        <v>96.999799999999993</v>
      </c>
      <c r="AR89" s="13">
        <v>703.5453</v>
      </c>
      <c r="AS89" s="13">
        <v>100</v>
      </c>
      <c r="AT89" s="13">
        <v>100</v>
      </c>
      <c r="AU89" s="13">
        <v>0</v>
      </c>
      <c r="AV89" s="13">
        <v>1468.5186999999999</v>
      </c>
      <c r="AW89" s="13">
        <v>123.1426</v>
      </c>
      <c r="AX89" s="13">
        <v>1345.3761</v>
      </c>
      <c r="AY89" s="13">
        <v>0</v>
      </c>
      <c r="AZ89" s="13">
        <v>0</v>
      </c>
      <c r="BA89" s="13">
        <v>0</v>
      </c>
      <c r="BB89" s="13">
        <v>765.25980000000004</v>
      </c>
      <c r="BC89" s="13">
        <v>0</v>
      </c>
      <c r="BD89" s="13">
        <v>765.25980000000004</v>
      </c>
      <c r="BE89" s="13">
        <v>60</v>
      </c>
      <c r="BF89" s="13">
        <v>60</v>
      </c>
      <c r="BG89" s="13">
        <v>0</v>
      </c>
      <c r="BH89" s="13">
        <v>1107.6034000000002</v>
      </c>
      <c r="BI89" s="13">
        <v>83.142700000000005</v>
      </c>
      <c r="BJ89" s="13">
        <v>1024.4607000000001</v>
      </c>
      <c r="BK89" s="13">
        <v>134</v>
      </c>
      <c r="BL89" s="13">
        <v>134</v>
      </c>
      <c r="BM89" s="13">
        <v>0</v>
      </c>
      <c r="BN89" s="13">
        <v>1279.5752000000002</v>
      </c>
      <c r="BO89" s="13">
        <v>168.71420000000001</v>
      </c>
      <c r="BP89" s="13">
        <v>1110.8610000000001</v>
      </c>
      <c r="BQ89" s="13">
        <v>86</v>
      </c>
      <c r="BR89" s="13">
        <v>86</v>
      </c>
      <c r="BS89" s="13">
        <v>0</v>
      </c>
      <c r="BT89" s="13">
        <v>1050.2884999999999</v>
      </c>
      <c r="BU89" s="13">
        <v>124.571</v>
      </c>
      <c r="BV89" s="13">
        <v>925.71749999999997</v>
      </c>
      <c r="BW89" s="13">
        <v>73</v>
      </c>
      <c r="BX89" s="13">
        <v>73</v>
      </c>
      <c r="BY89" s="13">
        <v>0</v>
      </c>
      <c r="BZ89" s="13">
        <v>984.05989999999997</v>
      </c>
      <c r="CA89" s="13">
        <v>107.714</v>
      </c>
      <c r="CB89" s="13">
        <v>876.34590000000003</v>
      </c>
      <c r="CC89" s="13">
        <v>70</v>
      </c>
      <c r="CD89" s="13">
        <v>70</v>
      </c>
      <c r="CE89" s="13">
        <v>0</v>
      </c>
      <c r="CF89" s="13">
        <v>1340.1611</v>
      </c>
      <c r="CG89" s="13">
        <v>118.214</v>
      </c>
      <c r="CH89" s="13">
        <v>1221.9471000000001</v>
      </c>
      <c r="CI89" s="13">
        <v>60</v>
      </c>
      <c r="CJ89" s="13">
        <v>60</v>
      </c>
      <c r="CK89" s="13">
        <v>0</v>
      </c>
      <c r="CL89" s="13">
        <v>1198.8251</v>
      </c>
      <c r="CM89" s="13">
        <v>87.964100000000002</v>
      </c>
      <c r="CN89" s="13">
        <v>1110.8610000000001</v>
      </c>
      <c r="CO89" s="13">
        <v>50</v>
      </c>
      <c r="CP89" s="13">
        <v>50</v>
      </c>
      <c r="CQ89" s="13">
        <v>0</v>
      </c>
      <c r="CR89" s="13">
        <v>1019.11</v>
      </c>
      <c r="CS89" s="13">
        <v>93.392499999999998</v>
      </c>
      <c r="CT89" s="13">
        <v>925.71749999999997</v>
      </c>
      <c r="CU89" s="13">
        <f t="shared" si="8"/>
        <v>794</v>
      </c>
      <c r="CV89" s="13">
        <f t="shared" si="8"/>
        <v>794</v>
      </c>
      <c r="CW89" s="13">
        <f t="shared" si="8"/>
        <v>0</v>
      </c>
      <c r="CX89" s="13">
        <f t="shared" si="8"/>
        <v>13298.702799999999</v>
      </c>
      <c r="CY89" s="13">
        <f t="shared" si="8"/>
        <v>1252.0323999999998</v>
      </c>
      <c r="CZ89" s="13">
        <f t="shared" si="8"/>
        <v>12046.670400000001</v>
      </c>
      <c r="DA89" s="13">
        <f t="shared" si="9"/>
        <v>180</v>
      </c>
      <c r="DB89" s="13">
        <f t="shared" si="9"/>
        <v>180</v>
      </c>
      <c r="DC89" s="13">
        <f t="shared" si="9"/>
        <v>0</v>
      </c>
      <c r="DD89" s="13">
        <f t="shared" si="9"/>
        <v>3558.0962000000004</v>
      </c>
      <c r="DE89" s="13">
        <f t="shared" si="9"/>
        <v>299.57060000000001</v>
      </c>
      <c r="DF89" s="13">
        <f t="shared" si="9"/>
        <v>3258.5255999999999</v>
      </c>
      <c r="DG89" s="13">
        <f t="shared" si="10"/>
        <v>293</v>
      </c>
      <c r="DH89" s="13">
        <f t="shared" si="10"/>
        <v>293</v>
      </c>
      <c r="DI89" s="13">
        <f t="shared" si="10"/>
        <v>0</v>
      </c>
      <c r="DJ89" s="13">
        <f t="shared" si="10"/>
        <v>3313.9236000000001</v>
      </c>
      <c r="DK89" s="13">
        <f t="shared" si="10"/>
        <v>400.99920000000003</v>
      </c>
      <c r="DL89" s="13">
        <f t="shared" si="10"/>
        <v>2912.9243999999999</v>
      </c>
      <c r="DM89" s="13">
        <f t="shared" si="11"/>
        <v>110</v>
      </c>
      <c r="DN89" s="13">
        <f t="shared" si="11"/>
        <v>110</v>
      </c>
      <c r="DO89" s="13">
        <f t="shared" si="11"/>
        <v>0</v>
      </c>
      <c r="DP89" s="13">
        <f t="shared" si="11"/>
        <v>2217.9351000000001</v>
      </c>
      <c r="DQ89" s="13">
        <f t="shared" si="11"/>
        <v>181.35660000000001</v>
      </c>
      <c r="DR89" s="13">
        <f t="shared" si="11"/>
        <v>2036.5785000000001</v>
      </c>
      <c r="DS89" s="14" t="s">
        <v>60</v>
      </c>
      <c r="DT89" s="14" t="s">
        <v>81</v>
      </c>
      <c r="DU89" s="14" t="s">
        <v>73</v>
      </c>
      <c r="DV89" s="14" t="s">
        <v>82</v>
      </c>
      <c r="DW89" s="14" t="s">
        <v>126</v>
      </c>
    </row>
    <row r="90" spans="2:127" x14ac:dyDescent="0.3">
      <c r="B90" s="11" t="s">
        <v>83</v>
      </c>
      <c r="C90" s="12">
        <v>5001342134</v>
      </c>
      <c r="D90" s="11" t="s">
        <v>360</v>
      </c>
      <c r="E90" s="11" t="s">
        <v>55</v>
      </c>
      <c r="F90" s="11" t="s">
        <v>361</v>
      </c>
      <c r="G90" s="11" t="s">
        <v>362</v>
      </c>
      <c r="H90" s="11" t="s">
        <v>150</v>
      </c>
      <c r="I90" s="11">
        <v>46202</v>
      </c>
      <c r="J90" s="11" t="s">
        <v>59</v>
      </c>
      <c r="K90" s="11"/>
      <c r="L90" s="11"/>
      <c r="M90" s="11"/>
      <c r="N90" s="11"/>
      <c r="O90" s="13">
        <v>1565</v>
      </c>
      <c r="P90" s="13">
        <v>1565</v>
      </c>
      <c r="Q90" s="13">
        <v>0</v>
      </c>
      <c r="R90" s="13">
        <v>62266.988599999997</v>
      </c>
      <c r="S90" s="13">
        <v>2280.4946</v>
      </c>
      <c r="T90" s="13">
        <v>59986.493999999999</v>
      </c>
      <c r="U90" s="13">
        <v>142</v>
      </c>
      <c r="V90" s="13">
        <v>142</v>
      </c>
      <c r="W90" s="13">
        <v>0</v>
      </c>
      <c r="X90" s="13">
        <v>4761.7156999999997</v>
      </c>
      <c r="Y90" s="13">
        <v>182.49979999999999</v>
      </c>
      <c r="Z90" s="13">
        <v>4579.2159000000001</v>
      </c>
      <c r="AA90" s="13">
        <v>171</v>
      </c>
      <c r="AB90" s="13">
        <v>171</v>
      </c>
      <c r="AC90" s="13">
        <v>0</v>
      </c>
      <c r="AD90" s="13">
        <v>5045.4804999999997</v>
      </c>
      <c r="AE90" s="13">
        <v>231.74950000000001</v>
      </c>
      <c r="AF90" s="13">
        <v>4813.7309999999998</v>
      </c>
      <c r="AG90" s="13">
        <v>185</v>
      </c>
      <c r="AH90" s="13">
        <v>185</v>
      </c>
      <c r="AI90" s="13">
        <v>0</v>
      </c>
      <c r="AJ90" s="13">
        <v>4342.8206</v>
      </c>
      <c r="AK90" s="13">
        <v>257.32069999999999</v>
      </c>
      <c r="AL90" s="13">
        <v>4085.4998999999998</v>
      </c>
      <c r="AM90" s="13">
        <v>131</v>
      </c>
      <c r="AN90" s="13">
        <v>131</v>
      </c>
      <c r="AO90" s="13">
        <v>0</v>
      </c>
      <c r="AP90" s="13">
        <v>4844.8303000000005</v>
      </c>
      <c r="AQ90" s="13">
        <v>179.2141</v>
      </c>
      <c r="AR90" s="13">
        <v>4665.6162000000004</v>
      </c>
      <c r="AS90" s="13">
        <v>99</v>
      </c>
      <c r="AT90" s="13">
        <v>99</v>
      </c>
      <c r="AU90" s="13">
        <v>0</v>
      </c>
      <c r="AV90" s="13">
        <v>4719.2936</v>
      </c>
      <c r="AW90" s="13">
        <v>177.10640000000001</v>
      </c>
      <c r="AX90" s="13">
        <v>4542.1872000000003</v>
      </c>
      <c r="AY90" s="13">
        <v>139</v>
      </c>
      <c r="AZ90" s="13">
        <v>139</v>
      </c>
      <c r="BA90" s="13">
        <v>0</v>
      </c>
      <c r="BB90" s="13">
        <v>4536.7361999999994</v>
      </c>
      <c r="BC90" s="13">
        <v>192.03540000000001</v>
      </c>
      <c r="BD90" s="13">
        <v>4344.7007999999996</v>
      </c>
      <c r="BE90" s="13">
        <v>85</v>
      </c>
      <c r="BF90" s="13">
        <v>85</v>
      </c>
      <c r="BG90" s="13">
        <v>0</v>
      </c>
      <c r="BH90" s="13">
        <v>4175.7066000000004</v>
      </c>
      <c r="BI90" s="13">
        <v>114.8925</v>
      </c>
      <c r="BJ90" s="13">
        <v>4060.8141000000001</v>
      </c>
      <c r="BK90" s="13">
        <v>104</v>
      </c>
      <c r="BL90" s="13">
        <v>104</v>
      </c>
      <c r="BM90" s="13">
        <v>0</v>
      </c>
      <c r="BN90" s="13">
        <v>5202.0024000000003</v>
      </c>
      <c r="BO90" s="13">
        <v>190.785</v>
      </c>
      <c r="BP90" s="13">
        <v>5011.2174000000005</v>
      </c>
      <c r="BQ90" s="13">
        <v>115</v>
      </c>
      <c r="BR90" s="13">
        <v>115</v>
      </c>
      <c r="BS90" s="13">
        <v>0</v>
      </c>
      <c r="BT90" s="13">
        <v>3522.2184999999999</v>
      </c>
      <c r="BU90" s="13">
        <v>152.60679999999999</v>
      </c>
      <c r="BV90" s="13">
        <v>3369.6116999999999</v>
      </c>
      <c r="BW90" s="13">
        <v>113</v>
      </c>
      <c r="BX90" s="13">
        <v>113</v>
      </c>
      <c r="BY90" s="13">
        <v>0</v>
      </c>
      <c r="BZ90" s="13">
        <v>4592.1223</v>
      </c>
      <c r="CA90" s="13">
        <v>148.67830000000001</v>
      </c>
      <c r="CB90" s="13">
        <v>4443.4440000000004</v>
      </c>
      <c r="CC90" s="13">
        <v>101</v>
      </c>
      <c r="CD90" s="13">
        <v>101</v>
      </c>
      <c r="CE90" s="13">
        <v>0</v>
      </c>
      <c r="CF90" s="13">
        <v>6347.8572000000004</v>
      </c>
      <c r="CG90" s="13">
        <v>127.0356</v>
      </c>
      <c r="CH90" s="13">
        <v>6220.8216000000002</v>
      </c>
      <c r="CI90" s="13">
        <v>123</v>
      </c>
      <c r="CJ90" s="13">
        <v>123</v>
      </c>
      <c r="CK90" s="13">
        <v>0</v>
      </c>
      <c r="CL90" s="13">
        <v>4941.7444000000005</v>
      </c>
      <c r="CM90" s="13">
        <v>202.07080000000002</v>
      </c>
      <c r="CN90" s="13">
        <v>4739.6736000000001</v>
      </c>
      <c r="CO90" s="13">
        <v>57</v>
      </c>
      <c r="CP90" s="13">
        <v>57</v>
      </c>
      <c r="CQ90" s="13">
        <v>0</v>
      </c>
      <c r="CR90" s="13">
        <v>5234.4603000000006</v>
      </c>
      <c r="CS90" s="13">
        <v>124.4997</v>
      </c>
      <c r="CT90" s="13">
        <v>5109.9606000000003</v>
      </c>
      <c r="CU90" s="13">
        <f t="shared" si="8"/>
        <v>1423</v>
      </c>
      <c r="CV90" s="13">
        <f t="shared" si="8"/>
        <v>1423</v>
      </c>
      <c r="CW90" s="13">
        <f t="shared" si="8"/>
        <v>0</v>
      </c>
      <c r="CX90" s="13">
        <f t="shared" si="8"/>
        <v>57505.272900000011</v>
      </c>
      <c r="CY90" s="13">
        <f t="shared" si="8"/>
        <v>2097.9947999999999</v>
      </c>
      <c r="CZ90" s="13">
        <f t="shared" si="8"/>
        <v>55407.278100000003</v>
      </c>
      <c r="DA90" s="13">
        <f t="shared" si="9"/>
        <v>281</v>
      </c>
      <c r="DB90" s="13">
        <f t="shared" si="9"/>
        <v>281</v>
      </c>
      <c r="DC90" s="13">
        <f t="shared" si="9"/>
        <v>0</v>
      </c>
      <c r="DD90" s="13">
        <f t="shared" si="9"/>
        <v>16524.061900000001</v>
      </c>
      <c r="DE90" s="13">
        <f t="shared" si="9"/>
        <v>453.60610000000003</v>
      </c>
      <c r="DF90" s="13">
        <f t="shared" si="9"/>
        <v>16070.455800000002</v>
      </c>
      <c r="DG90" s="13">
        <f t="shared" si="10"/>
        <v>332</v>
      </c>
      <c r="DH90" s="13">
        <f t="shared" si="10"/>
        <v>332</v>
      </c>
      <c r="DI90" s="13">
        <f t="shared" si="10"/>
        <v>0</v>
      </c>
      <c r="DJ90" s="13">
        <f t="shared" si="10"/>
        <v>13316.343199999999</v>
      </c>
      <c r="DK90" s="13">
        <f t="shared" si="10"/>
        <v>492.07010000000002</v>
      </c>
      <c r="DL90" s="13">
        <f t="shared" si="10"/>
        <v>12824.273100000002</v>
      </c>
      <c r="DM90" s="13">
        <f t="shared" si="11"/>
        <v>180</v>
      </c>
      <c r="DN90" s="13">
        <f t="shared" si="11"/>
        <v>180</v>
      </c>
      <c r="DO90" s="13">
        <f t="shared" si="11"/>
        <v>0</v>
      </c>
      <c r="DP90" s="13">
        <f t="shared" si="11"/>
        <v>10176.204700000002</v>
      </c>
      <c r="DQ90" s="13">
        <f t="shared" si="11"/>
        <v>326.57050000000004</v>
      </c>
      <c r="DR90" s="13">
        <f t="shared" si="11"/>
        <v>9849.6342000000004</v>
      </c>
      <c r="DS90" s="14" t="s">
        <v>71</v>
      </c>
      <c r="DT90" s="14" t="s">
        <v>72</v>
      </c>
      <c r="DU90" s="14" t="s">
        <v>113</v>
      </c>
      <c r="DV90" s="14" t="s">
        <v>82</v>
      </c>
      <c r="DW90" s="14" t="s">
        <v>74</v>
      </c>
    </row>
    <row r="91" spans="2:127" x14ac:dyDescent="0.3">
      <c r="B91" s="11" t="s">
        <v>53</v>
      </c>
      <c r="C91" s="12">
        <v>5001342135</v>
      </c>
      <c r="D91" s="11" t="s">
        <v>363</v>
      </c>
      <c r="E91" s="11" t="s">
        <v>55</v>
      </c>
      <c r="F91" s="11" t="s">
        <v>364</v>
      </c>
      <c r="G91" s="11" t="s">
        <v>223</v>
      </c>
      <c r="H91" s="11" t="s">
        <v>120</v>
      </c>
      <c r="I91" s="11">
        <v>37203</v>
      </c>
      <c r="J91" s="11" t="s">
        <v>80</v>
      </c>
      <c r="K91" s="11"/>
      <c r="L91" s="11"/>
      <c r="M91" s="11"/>
      <c r="N91" s="11"/>
      <c r="O91" s="13">
        <v>718</v>
      </c>
      <c r="P91" s="13">
        <v>718</v>
      </c>
      <c r="Q91" s="13">
        <v>0</v>
      </c>
      <c r="R91" s="13">
        <v>52317.839800000002</v>
      </c>
      <c r="S91" s="13">
        <v>4415.0448999999999</v>
      </c>
      <c r="T91" s="13">
        <v>47902.794900000001</v>
      </c>
      <c r="U91" s="13">
        <v>55</v>
      </c>
      <c r="V91" s="13">
        <v>55</v>
      </c>
      <c r="W91" s="13">
        <v>0</v>
      </c>
      <c r="X91" s="13">
        <v>3463.5662000000002</v>
      </c>
      <c r="Y91" s="13">
        <v>303.78380000000004</v>
      </c>
      <c r="Z91" s="13">
        <v>3159.7824000000001</v>
      </c>
      <c r="AA91" s="13">
        <v>40</v>
      </c>
      <c r="AB91" s="13">
        <v>40</v>
      </c>
      <c r="AC91" s="13">
        <v>0</v>
      </c>
      <c r="AD91" s="13">
        <v>4109.8757000000005</v>
      </c>
      <c r="AE91" s="13">
        <v>320.60539999999997</v>
      </c>
      <c r="AF91" s="13">
        <v>3789.2703000000001</v>
      </c>
      <c r="AG91" s="13">
        <v>15</v>
      </c>
      <c r="AH91" s="13">
        <v>15</v>
      </c>
      <c r="AI91" s="13">
        <v>0</v>
      </c>
      <c r="AJ91" s="13">
        <v>3338.7098999999998</v>
      </c>
      <c r="AK91" s="13">
        <v>178.92750000000001</v>
      </c>
      <c r="AL91" s="13">
        <v>3159.7824000000001</v>
      </c>
      <c r="AM91" s="13">
        <v>39</v>
      </c>
      <c r="AN91" s="13">
        <v>39</v>
      </c>
      <c r="AO91" s="13">
        <v>0</v>
      </c>
      <c r="AP91" s="13">
        <v>3074.5798</v>
      </c>
      <c r="AQ91" s="13">
        <v>235.71279999999999</v>
      </c>
      <c r="AR91" s="13">
        <v>2838.8670000000002</v>
      </c>
      <c r="AS91" s="13">
        <v>32</v>
      </c>
      <c r="AT91" s="13">
        <v>32</v>
      </c>
      <c r="AU91" s="13">
        <v>0</v>
      </c>
      <c r="AV91" s="13">
        <v>4439.5667000000003</v>
      </c>
      <c r="AW91" s="13">
        <v>539.21029999999996</v>
      </c>
      <c r="AX91" s="13">
        <v>3900.3564000000001</v>
      </c>
      <c r="AY91" s="13">
        <v>67</v>
      </c>
      <c r="AZ91" s="13">
        <v>67</v>
      </c>
      <c r="BA91" s="13">
        <v>0</v>
      </c>
      <c r="BB91" s="13">
        <v>3554.2518</v>
      </c>
      <c r="BC91" s="13">
        <v>369.78359999999998</v>
      </c>
      <c r="BD91" s="13">
        <v>3184.4681999999998</v>
      </c>
      <c r="BE91" s="13">
        <v>35</v>
      </c>
      <c r="BF91" s="13">
        <v>35</v>
      </c>
      <c r="BG91" s="13">
        <v>0</v>
      </c>
      <c r="BH91" s="13">
        <v>3062.0949000000001</v>
      </c>
      <c r="BI91" s="13">
        <v>173.8563</v>
      </c>
      <c r="BJ91" s="13">
        <v>2888.2386000000001</v>
      </c>
      <c r="BK91" s="13">
        <v>77</v>
      </c>
      <c r="BL91" s="13">
        <v>77</v>
      </c>
      <c r="BM91" s="13">
        <v>0</v>
      </c>
      <c r="BN91" s="13">
        <v>4964.5924999999997</v>
      </c>
      <c r="BO91" s="13">
        <v>373.03370000000001</v>
      </c>
      <c r="BP91" s="13">
        <v>4591.5587999999998</v>
      </c>
      <c r="BQ91" s="13">
        <v>67</v>
      </c>
      <c r="BR91" s="13">
        <v>67</v>
      </c>
      <c r="BS91" s="13">
        <v>0</v>
      </c>
      <c r="BT91" s="13">
        <v>4174.4816000000001</v>
      </c>
      <c r="BU91" s="13">
        <v>446.92579999999998</v>
      </c>
      <c r="BV91" s="13">
        <v>3727.5558000000001</v>
      </c>
      <c r="BW91" s="13">
        <v>75</v>
      </c>
      <c r="BX91" s="13">
        <v>75</v>
      </c>
      <c r="BY91" s="13">
        <v>0</v>
      </c>
      <c r="BZ91" s="13">
        <v>3993.0954000000002</v>
      </c>
      <c r="CA91" s="13">
        <v>425.9973</v>
      </c>
      <c r="CB91" s="13">
        <v>3567.0981000000002</v>
      </c>
      <c r="CC91" s="13">
        <v>94</v>
      </c>
      <c r="CD91" s="13">
        <v>94</v>
      </c>
      <c r="CE91" s="13">
        <v>0</v>
      </c>
      <c r="CF91" s="13">
        <v>5900.3649999999998</v>
      </c>
      <c r="CG91" s="13">
        <v>555.88930000000005</v>
      </c>
      <c r="CH91" s="13">
        <v>5344.4757</v>
      </c>
      <c r="CI91" s="13">
        <v>68</v>
      </c>
      <c r="CJ91" s="13">
        <v>68</v>
      </c>
      <c r="CK91" s="13">
        <v>0</v>
      </c>
      <c r="CL91" s="13">
        <v>3831.6187</v>
      </c>
      <c r="CM91" s="13">
        <v>252.17769999999999</v>
      </c>
      <c r="CN91" s="13">
        <v>3579.4409999999998</v>
      </c>
      <c r="CO91" s="13">
        <v>54</v>
      </c>
      <c r="CP91" s="13">
        <v>54</v>
      </c>
      <c r="CQ91" s="13">
        <v>0</v>
      </c>
      <c r="CR91" s="13">
        <v>4411.0416000000005</v>
      </c>
      <c r="CS91" s="13">
        <v>239.1414</v>
      </c>
      <c r="CT91" s="13">
        <v>4171.9002</v>
      </c>
      <c r="CU91" s="13">
        <f t="shared" si="8"/>
        <v>663</v>
      </c>
      <c r="CV91" s="13">
        <f t="shared" si="8"/>
        <v>663</v>
      </c>
      <c r="CW91" s="13">
        <f t="shared" si="8"/>
        <v>0</v>
      </c>
      <c r="CX91" s="13">
        <f t="shared" si="8"/>
        <v>48854.2736</v>
      </c>
      <c r="CY91" s="13">
        <f t="shared" si="8"/>
        <v>4111.2611000000006</v>
      </c>
      <c r="CZ91" s="13">
        <f t="shared" si="8"/>
        <v>44743.012499999997</v>
      </c>
      <c r="DA91" s="13">
        <f t="shared" si="9"/>
        <v>216</v>
      </c>
      <c r="DB91" s="13">
        <f t="shared" si="9"/>
        <v>216</v>
      </c>
      <c r="DC91" s="13">
        <f t="shared" si="9"/>
        <v>0</v>
      </c>
      <c r="DD91" s="13">
        <f t="shared" si="9"/>
        <v>14143.025300000001</v>
      </c>
      <c r="DE91" s="13">
        <f t="shared" si="9"/>
        <v>1047.2084</v>
      </c>
      <c r="DF91" s="13">
        <f t="shared" si="9"/>
        <v>13095.8169</v>
      </c>
      <c r="DG91" s="13">
        <f t="shared" si="10"/>
        <v>219</v>
      </c>
      <c r="DH91" s="13">
        <f t="shared" si="10"/>
        <v>219</v>
      </c>
      <c r="DI91" s="13">
        <f t="shared" si="10"/>
        <v>0</v>
      </c>
      <c r="DJ91" s="13">
        <f t="shared" si="10"/>
        <v>13132.1695</v>
      </c>
      <c r="DK91" s="13">
        <f t="shared" si="10"/>
        <v>1245.9567999999999</v>
      </c>
      <c r="DL91" s="13">
        <f t="shared" si="10"/>
        <v>11886.2127</v>
      </c>
      <c r="DM91" s="13">
        <f t="shared" si="11"/>
        <v>122</v>
      </c>
      <c r="DN91" s="13">
        <f t="shared" si="11"/>
        <v>122</v>
      </c>
      <c r="DO91" s="13">
        <f t="shared" si="11"/>
        <v>0</v>
      </c>
      <c r="DP91" s="13">
        <f t="shared" si="11"/>
        <v>8242.6602999999996</v>
      </c>
      <c r="DQ91" s="13">
        <f t="shared" si="11"/>
        <v>491.31909999999999</v>
      </c>
      <c r="DR91" s="13">
        <f t="shared" si="11"/>
        <v>7751.3411999999998</v>
      </c>
      <c r="DS91" s="14" t="s">
        <v>81</v>
      </c>
      <c r="DT91" s="14" t="s">
        <v>81</v>
      </c>
      <c r="DU91" s="14" t="s">
        <v>73</v>
      </c>
      <c r="DV91" s="14" t="s">
        <v>63</v>
      </c>
      <c r="DW91" s="14" t="s">
        <v>74</v>
      </c>
    </row>
    <row r="92" spans="2:127" x14ac:dyDescent="0.3">
      <c r="B92" s="11" t="s">
        <v>65</v>
      </c>
      <c r="C92" s="12">
        <v>5001457935</v>
      </c>
      <c r="D92" s="11" t="s">
        <v>365</v>
      </c>
      <c r="E92" s="11" t="s">
        <v>55</v>
      </c>
      <c r="F92" s="11" t="s">
        <v>366</v>
      </c>
      <c r="G92" s="11" t="s">
        <v>367</v>
      </c>
      <c r="H92" s="11" t="s">
        <v>239</v>
      </c>
      <c r="I92" s="11">
        <v>17403</v>
      </c>
      <c r="J92" s="11" t="s">
        <v>368</v>
      </c>
      <c r="K92" s="11"/>
      <c r="L92" s="11"/>
      <c r="M92" s="11"/>
      <c r="N92" s="11"/>
      <c r="O92" s="13">
        <v>22</v>
      </c>
      <c r="P92" s="13">
        <v>22</v>
      </c>
      <c r="Q92" s="13">
        <v>0</v>
      </c>
      <c r="R92" s="13">
        <v>15409.537700000001</v>
      </c>
      <c r="S92" s="13">
        <v>684.45799999999997</v>
      </c>
      <c r="T92" s="13">
        <v>14725.0797</v>
      </c>
      <c r="U92" s="13">
        <v>22</v>
      </c>
      <c r="V92" s="13">
        <v>22</v>
      </c>
      <c r="W92" s="13">
        <v>0</v>
      </c>
      <c r="X92" s="13">
        <v>1268.2466999999999</v>
      </c>
      <c r="Y92" s="13">
        <v>58.642499999999998</v>
      </c>
      <c r="Z92" s="13">
        <v>1209.6042</v>
      </c>
      <c r="AA92" s="13">
        <v>0</v>
      </c>
      <c r="AB92" s="13">
        <v>0</v>
      </c>
      <c r="AC92" s="13">
        <v>0</v>
      </c>
      <c r="AD92" s="13">
        <v>1269.0038999999999</v>
      </c>
      <c r="AE92" s="13">
        <v>34.713900000000002</v>
      </c>
      <c r="AF92" s="13">
        <v>1234.29</v>
      </c>
      <c r="AG92" s="13">
        <v>0</v>
      </c>
      <c r="AH92" s="13">
        <v>0</v>
      </c>
      <c r="AI92" s="13">
        <v>0</v>
      </c>
      <c r="AJ92" s="13">
        <v>1168.7175000000002</v>
      </c>
      <c r="AK92" s="13">
        <v>57.856499999999997</v>
      </c>
      <c r="AL92" s="13">
        <v>1110.8610000000001</v>
      </c>
      <c r="AM92" s="13">
        <v>0</v>
      </c>
      <c r="AN92" s="13">
        <v>0</v>
      </c>
      <c r="AO92" s="13">
        <v>0</v>
      </c>
      <c r="AP92" s="13">
        <v>1361.1891000000001</v>
      </c>
      <c r="AQ92" s="13">
        <v>102.2133</v>
      </c>
      <c r="AR92" s="13">
        <v>1258.9757999999999</v>
      </c>
      <c r="AS92" s="13">
        <v>0</v>
      </c>
      <c r="AT92" s="13">
        <v>0</v>
      </c>
      <c r="AU92" s="13">
        <v>0</v>
      </c>
      <c r="AV92" s="13">
        <v>1497.5400000000002</v>
      </c>
      <c r="AW92" s="13">
        <v>78.106499999999997</v>
      </c>
      <c r="AX92" s="13">
        <v>1419.4335000000001</v>
      </c>
      <c r="AY92" s="13">
        <v>0</v>
      </c>
      <c r="AZ92" s="13">
        <v>0</v>
      </c>
      <c r="BA92" s="13">
        <v>0</v>
      </c>
      <c r="BB92" s="13">
        <v>1310.8533</v>
      </c>
      <c r="BC92" s="13">
        <v>101.2491</v>
      </c>
      <c r="BD92" s="13">
        <v>1209.6042</v>
      </c>
      <c r="BE92" s="13">
        <v>0</v>
      </c>
      <c r="BF92" s="13">
        <v>0</v>
      </c>
      <c r="BG92" s="13">
        <v>0</v>
      </c>
      <c r="BH92" s="13">
        <v>1200.1533000000002</v>
      </c>
      <c r="BI92" s="13">
        <v>64.606499999999997</v>
      </c>
      <c r="BJ92" s="13">
        <v>1135.5468000000001</v>
      </c>
      <c r="BK92" s="13">
        <v>0</v>
      </c>
      <c r="BL92" s="13">
        <v>0</v>
      </c>
      <c r="BM92" s="13">
        <v>0</v>
      </c>
      <c r="BN92" s="13">
        <v>1819.4196999999999</v>
      </c>
      <c r="BO92" s="13">
        <v>79.070800000000006</v>
      </c>
      <c r="BP92" s="13">
        <v>1740.3489</v>
      </c>
      <c r="BQ92" s="13">
        <v>0</v>
      </c>
      <c r="BR92" s="13">
        <v>0</v>
      </c>
      <c r="BS92" s="13">
        <v>0</v>
      </c>
      <c r="BT92" s="13">
        <v>1560.6049</v>
      </c>
      <c r="BU92" s="13">
        <v>42.428199999999997</v>
      </c>
      <c r="BV92" s="13">
        <v>1518.1767</v>
      </c>
      <c r="BW92" s="13">
        <v>0</v>
      </c>
      <c r="BX92" s="13">
        <v>0</v>
      </c>
      <c r="BY92" s="13">
        <v>0</v>
      </c>
      <c r="BZ92" s="13">
        <v>1474.9761000000001</v>
      </c>
      <c r="CA92" s="13">
        <v>30.8568</v>
      </c>
      <c r="CB92" s="13">
        <v>1444.1193000000001</v>
      </c>
      <c r="CC92" s="13">
        <v>0</v>
      </c>
      <c r="CD92" s="13">
        <v>0</v>
      </c>
      <c r="CE92" s="13">
        <v>0</v>
      </c>
      <c r="CF92" s="13">
        <v>1478.8332</v>
      </c>
      <c r="CG92" s="13">
        <v>34.713900000000002</v>
      </c>
      <c r="CH92" s="13">
        <v>1444.1193000000001</v>
      </c>
      <c r="CI92" s="13">
        <v>0</v>
      </c>
      <c r="CJ92" s="13">
        <v>0</v>
      </c>
      <c r="CK92" s="13">
        <v>0</v>
      </c>
      <c r="CL92" s="13">
        <v>0</v>
      </c>
      <c r="CM92" s="13">
        <v>0</v>
      </c>
      <c r="CN92" s="13">
        <v>0</v>
      </c>
      <c r="CO92" s="13">
        <v>0</v>
      </c>
      <c r="CP92" s="13">
        <v>0</v>
      </c>
      <c r="CQ92" s="13">
        <v>0</v>
      </c>
      <c r="CR92" s="13">
        <v>0</v>
      </c>
      <c r="CS92" s="13">
        <v>0</v>
      </c>
      <c r="CT92" s="13">
        <v>0</v>
      </c>
      <c r="CU92" s="13">
        <f t="shared" si="8"/>
        <v>0</v>
      </c>
      <c r="CV92" s="13">
        <f t="shared" si="8"/>
        <v>0</v>
      </c>
      <c r="CW92" s="13">
        <f t="shared" si="8"/>
        <v>0</v>
      </c>
      <c r="CX92" s="13">
        <f t="shared" si="8"/>
        <v>14141.291000000001</v>
      </c>
      <c r="CY92" s="13">
        <f t="shared" si="8"/>
        <v>625.81549999999993</v>
      </c>
      <c r="CZ92" s="13">
        <f t="shared" si="8"/>
        <v>13515.4755</v>
      </c>
      <c r="DA92" s="13">
        <f t="shared" si="9"/>
        <v>0</v>
      </c>
      <c r="DB92" s="13">
        <f t="shared" si="9"/>
        <v>0</v>
      </c>
      <c r="DC92" s="13">
        <f t="shared" si="9"/>
        <v>0</v>
      </c>
      <c r="DD92" s="13">
        <f t="shared" si="9"/>
        <v>1478.8332</v>
      </c>
      <c r="DE92" s="13">
        <f t="shared" si="9"/>
        <v>34.713900000000002</v>
      </c>
      <c r="DF92" s="13">
        <f t="shared" si="9"/>
        <v>1444.1193000000001</v>
      </c>
      <c r="DG92" s="13">
        <f t="shared" si="10"/>
        <v>0</v>
      </c>
      <c r="DH92" s="13">
        <f t="shared" si="10"/>
        <v>0</v>
      </c>
      <c r="DI92" s="13">
        <f t="shared" si="10"/>
        <v>0</v>
      </c>
      <c r="DJ92" s="13">
        <f t="shared" si="10"/>
        <v>4855.0006999999996</v>
      </c>
      <c r="DK92" s="13">
        <f t="shared" si="10"/>
        <v>152.35579999999999</v>
      </c>
      <c r="DL92" s="13">
        <f t="shared" si="10"/>
        <v>4702.6449000000002</v>
      </c>
      <c r="DM92" s="13">
        <f t="shared" si="11"/>
        <v>0</v>
      </c>
      <c r="DN92" s="13">
        <f t="shared" si="11"/>
        <v>0</v>
      </c>
      <c r="DO92" s="13">
        <f t="shared" si="11"/>
        <v>0</v>
      </c>
      <c r="DP92" s="13">
        <f t="shared" si="11"/>
        <v>0</v>
      </c>
      <c r="DQ92" s="13">
        <f t="shared" si="11"/>
        <v>0</v>
      </c>
      <c r="DR92" s="13">
        <f t="shared" si="11"/>
        <v>0</v>
      </c>
      <c r="DS92" s="14" t="s">
        <v>60</v>
      </c>
      <c r="DT92" s="14" t="s">
        <v>81</v>
      </c>
      <c r="DU92" s="14" t="s">
        <v>73</v>
      </c>
      <c r="DV92" s="14" t="s">
        <v>63</v>
      </c>
      <c r="DW92" s="14" t="s">
        <v>64</v>
      </c>
    </row>
    <row r="93" spans="2:127" x14ac:dyDescent="0.3">
      <c r="B93" s="11" t="s">
        <v>53</v>
      </c>
      <c r="C93" s="12">
        <v>5001654413</v>
      </c>
      <c r="D93" s="11" t="s">
        <v>369</v>
      </c>
      <c r="E93" s="11" t="s">
        <v>55</v>
      </c>
      <c r="F93" s="11" t="s">
        <v>370</v>
      </c>
      <c r="G93" s="11" t="s">
        <v>371</v>
      </c>
      <c r="H93" s="11" t="s">
        <v>58</v>
      </c>
      <c r="I93" s="11">
        <v>90069</v>
      </c>
      <c r="J93" s="11" t="s">
        <v>368</v>
      </c>
      <c r="K93" s="11"/>
      <c r="L93" s="11"/>
      <c r="M93" s="11"/>
      <c r="N93" s="11"/>
      <c r="O93" s="13">
        <v>396</v>
      </c>
      <c r="P93" s="13">
        <v>396</v>
      </c>
      <c r="Q93" s="13">
        <v>0</v>
      </c>
      <c r="R93" s="13">
        <v>494.7432</v>
      </c>
      <c r="S93" s="13">
        <v>396</v>
      </c>
      <c r="T93" s="13">
        <v>98.743200000000002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3">
        <v>0</v>
      </c>
      <c r="BM93" s="13">
        <v>0</v>
      </c>
      <c r="BN93" s="13">
        <v>0</v>
      </c>
      <c r="BO93" s="13">
        <v>0</v>
      </c>
      <c r="BP93" s="13">
        <v>0</v>
      </c>
      <c r="BQ93" s="13">
        <v>0</v>
      </c>
      <c r="BR93" s="13">
        <v>0</v>
      </c>
      <c r="BS93" s="13">
        <v>0</v>
      </c>
      <c r="BT93" s="13">
        <v>0</v>
      </c>
      <c r="BU93" s="13">
        <v>0</v>
      </c>
      <c r="BV93" s="13">
        <v>0</v>
      </c>
      <c r="BW93" s="13">
        <v>0</v>
      </c>
      <c r="BX93" s="13">
        <v>0</v>
      </c>
      <c r="BY93" s="13">
        <v>0</v>
      </c>
      <c r="BZ93" s="13">
        <v>0</v>
      </c>
      <c r="CA93" s="13">
        <v>0</v>
      </c>
      <c r="CB93" s="13">
        <v>0</v>
      </c>
      <c r="CC93" s="13">
        <v>0</v>
      </c>
      <c r="CD93" s="13">
        <v>0</v>
      </c>
      <c r="CE93" s="13">
        <v>0</v>
      </c>
      <c r="CF93" s="13">
        <v>0</v>
      </c>
      <c r="CG93" s="13">
        <v>0</v>
      </c>
      <c r="CH93" s="13">
        <v>0</v>
      </c>
      <c r="CI93" s="13">
        <v>135</v>
      </c>
      <c r="CJ93" s="13">
        <v>135</v>
      </c>
      <c r="CK93" s="13">
        <v>0</v>
      </c>
      <c r="CL93" s="13">
        <v>147.34289999999999</v>
      </c>
      <c r="CM93" s="13">
        <v>135</v>
      </c>
      <c r="CN93" s="13">
        <v>12.3429</v>
      </c>
      <c r="CO93" s="13">
        <v>261</v>
      </c>
      <c r="CP93" s="13">
        <v>261</v>
      </c>
      <c r="CQ93" s="13">
        <v>0</v>
      </c>
      <c r="CR93" s="13">
        <v>347.40030000000002</v>
      </c>
      <c r="CS93" s="13">
        <v>261</v>
      </c>
      <c r="CT93" s="13">
        <v>86.400300000000001</v>
      </c>
      <c r="CU93" s="13">
        <f t="shared" si="8"/>
        <v>396</v>
      </c>
      <c r="CV93" s="13">
        <f t="shared" si="8"/>
        <v>396</v>
      </c>
      <c r="CW93" s="13">
        <f t="shared" si="8"/>
        <v>0</v>
      </c>
      <c r="CX93" s="13">
        <f t="shared" si="8"/>
        <v>494.7432</v>
      </c>
      <c r="CY93" s="13">
        <f t="shared" si="8"/>
        <v>396</v>
      </c>
      <c r="CZ93" s="13">
        <f t="shared" si="8"/>
        <v>98.743200000000002</v>
      </c>
      <c r="DA93" s="13">
        <f t="shared" si="9"/>
        <v>396</v>
      </c>
      <c r="DB93" s="13">
        <f t="shared" si="9"/>
        <v>396</v>
      </c>
      <c r="DC93" s="13">
        <f t="shared" si="9"/>
        <v>0</v>
      </c>
      <c r="DD93" s="13">
        <f t="shared" si="9"/>
        <v>494.7432</v>
      </c>
      <c r="DE93" s="13">
        <f t="shared" si="9"/>
        <v>396</v>
      </c>
      <c r="DF93" s="13">
        <f t="shared" si="9"/>
        <v>98.743200000000002</v>
      </c>
      <c r="DG93" s="13">
        <f t="shared" si="10"/>
        <v>0</v>
      </c>
      <c r="DH93" s="13">
        <f t="shared" si="10"/>
        <v>0</v>
      </c>
      <c r="DI93" s="13">
        <f t="shared" si="10"/>
        <v>0</v>
      </c>
      <c r="DJ93" s="13">
        <f t="shared" si="10"/>
        <v>0</v>
      </c>
      <c r="DK93" s="13">
        <f t="shared" si="10"/>
        <v>0</v>
      </c>
      <c r="DL93" s="13">
        <f t="shared" si="10"/>
        <v>0</v>
      </c>
      <c r="DM93" s="13">
        <f t="shared" si="11"/>
        <v>396</v>
      </c>
      <c r="DN93" s="13">
        <f t="shared" si="11"/>
        <v>396</v>
      </c>
      <c r="DO93" s="13">
        <f t="shared" si="11"/>
        <v>0</v>
      </c>
      <c r="DP93" s="13">
        <f t="shared" si="11"/>
        <v>494.7432</v>
      </c>
      <c r="DQ93" s="13">
        <f t="shared" si="11"/>
        <v>396</v>
      </c>
      <c r="DR93" s="13">
        <f t="shared" si="11"/>
        <v>98.743200000000002</v>
      </c>
      <c r="DS93" s="14" t="s">
        <v>60</v>
      </c>
      <c r="DT93" s="14" t="s">
        <v>61</v>
      </c>
      <c r="DU93" s="14" t="s">
        <v>73</v>
      </c>
      <c r="DV93" s="14" t="s">
        <v>372</v>
      </c>
      <c r="DW93" s="14" t="s">
        <v>64</v>
      </c>
    </row>
    <row r="94" spans="2:127" x14ac:dyDescent="0.3">
      <c r="B94" s="11" t="s">
        <v>65</v>
      </c>
      <c r="C94" s="12">
        <v>5002035383</v>
      </c>
      <c r="D94" s="11" t="s">
        <v>373</v>
      </c>
      <c r="E94" s="11" t="s">
        <v>55</v>
      </c>
      <c r="F94" s="11" t="s">
        <v>374</v>
      </c>
      <c r="G94" s="11" t="s">
        <v>375</v>
      </c>
      <c r="H94" s="11" t="s">
        <v>69</v>
      </c>
      <c r="I94" s="11">
        <v>20817</v>
      </c>
      <c r="J94" s="11" t="s">
        <v>368</v>
      </c>
      <c r="K94" s="11"/>
      <c r="L94" s="11"/>
      <c r="M94" s="11"/>
      <c r="N94" s="11"/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0</v>
      </c>
      <c r="BD94" s="13">
        <v>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0</v>
      </c>
      <c r="BS94" s="13">
        <v>0</v>
      </c>
      <c r="BT94" s="13">
        <v>0</v>
      </c>
      <c r="BU94" s="13">
        <v>0</v>
      </c>
      <c r="BV94" s="13">
        <v>0</v>
      </c>
      <c r="BW94" s="13">
        <v>0</v>
      </c>
      <c r="BX94" s="13">
        <v>0</v>
      </c>
      <c r="BY94" s="13">
        <v>0</v>
      </c>
      <c r="BZ94" s="13">
        <v>0</v>
      </c>
      <c r="CA94" s="13">
        <v>0</v>
      </c>
      <c r="CB94" s="13">
        <v>0</v>
      </c>
      <c r="CC94" s="13">
        <v>0</v>
      </c>
      <c r="CD94" s="13">
        <v>0</v>
      </c>
      <c r="CE94" s="13">
        <v>0</v>
      </c>
      <c r="CF94" s="13">
        <v>0</v>
      </c>
      <c r="CG94" s="13">
        <v>0</v>
      </c>
      <c r="CH94" s="13">
        <v>0</v>
      </c>
      <c r="CI94" s="13">
        <v>0</v>
      </c>
      <c r="CJ94" s="13">
        <v>0</v>
      </c>
      <c r="CK94" s="13">
        <v>0</v>
      </c>
      <c r="CL94" s="13">
        <v>0</v>
      </c>
      <c r="CM94" s="13">
        <v>0</v>
      </c>
      <c r="CN94" s="13">
        <v>0</v>
      </c>
      <c r="CO94" s="13">
        <v>0</v>
      </c>
      <c r="CP94" s="13">
        <v>0</v>
      </c>
      <c r="CQ94" s="13">
        <v>0</v>
      </c>
      <c r="CR94" s="13">
        <v>0</v>
      </c>
      <c r="CS94" s="13">
        <v>0</v>
      </c>
      <c r="CT94" s="13">
        <v>0</v>
      </c>
      <c r="CU94" s="13">
        <f t="shared" si="8"/>
        <v>0</v>
      </c>
      <c r="CV94" s="13">
        <f t="shared" si="8"/>
        <v>0</v>
      </c>
      <c r="CW94" s="13">
        <f t="shared" si="8"/>
        <v>0</v>
      </c>
      <c r="CX94" s="13">
        <f t="shared" si="8"/>
        <v>0</v>
      </c>
      <c r="CY94" s="13">
        <f t="shared" si="8"/>
        <v>0</v>
      </c>
      <c r="CZ94" s="13">
        <f t="shared" si="8"/>
        <v>0</v>
      </c>
      <c r="DA94" s="13">
        <f t="shared" si="9"/>
        <v>0</v>
      </c>
      <c r="DB94" s="13">
        <f t="shared" si="9"/>
        <v>0</v>
      </c>
      <c r="DC94" s="13">
        <f t="shared" si="9"/>
        <v>0</v>
      </c>
      <c r="DD94" s="13">
        <f t="shared" si="9"/>
        <v>0</v>
      </c>
      <c r="DE94" s="13">
        <f t="shared" si="9"/>
        <v>0</v>
      </c>
      <c r="DF94" s="13">
        <f t="shared" si="9"/>
        <v>0</v>
      </c>
      <c r="DG94" s="13">
        <f t="shared" si="10"/>
        <v>0</v>
      </c>
      <c r="DH94" s="13">
        <f t="shared" si="10"/>
        <v>0</v>
      </c>
      <c r="DI94" s="13">
        <f t="shared" si="10"/>
        <v>0</v>
      </c>
      <c r="DJ94" s="13">
        <f t="shared" si="10"/>
        <v>0</v>
      </c>
      <c r="DK94" s="13">
        <f t="shared" si="10"/>
        <v>0</v>
      </c>
      <c r="DL94" s="13">
        <f t="shared" si="10"/>
        <v>0</v>
      </c>
      <c r="DM94" s="13">
        <f t="shared" si="11"/>
        <v>0</v>
      </c>
      <c r="DN94" s="13">
        <f t="shared" si="11"/>
        <v>0</v>
      </c>
      <c r="DO94" s="13">
        <f t="shared" si="11"/>
        <v>0</v>
      </c>
      <c r="DP94" s="13">
        <f t="shared" si="11"/>
        <v>0</v>
      </c>
      <c r="DQ94" s="13">
        <f t="shared" si="11"/>
        <v>0</v>
      </c>
      <c r="DR94" s="13">
        <f t="shared" si="11"/>
        <v>0</v>
      </c>
      <c r="DS94" s="14" t="s">
        <v>60</v>
      </c>
      <c r="DT94" s="14" t="s">
        <v>72</v>
      </c>
      <c r="DU94" s="14" t="s">
        <v>73</v>
      </c>
      <c r="DV94" s="14" t="s">
        <v>372</v>
      </c>
      <c r="DW94" s="14" t="s">
        <v>74</v>
      </c>
    </row>
    <row r="95" spans="2:127" x14ac:dyDescent="0.3">
      <c r="B95" s="11" t="s">
        <v>83</v>
      </c>
      <c r="C95" s="12">
        <v>5006328201</v>
      </c>
      <c r="D95" s="11" t="s">
        <v>376</v>
      </c>
      <c r="E95" s="11" t="s">
        <v>55</v>
      </c>
      <c r="F95" s="11" t="s">
        <v>377</v>
      </c>
      <c r="G95" s="11" t="s">
        <v>378</v>
      </c>
      <c r="H95" s="11" t="s">
        <v>379</v>
      </c>
      <c r="I95" s="11">
        <v>74146</v>
      </c>
      <c r="J95" s="11" t="s">
        <v>59</v>
      </c>
      <c r="K95" s="11"/>
      <c r="L95" s="11"/>
      <c r="M95" s="11"/>
      <c r="N95" s="11"/>
      <c r="O95" s="13">
        <v>298</v>
      </c>
      <c r="P95" s="13">
        <v>298</v>
      </c>
      <c r="Q95" s="13">
        <v>0</v>
      </c>
      <c r="R95" s="13">
        <v>18192.888999999999</v>
      </c>
      <c r="S95" s="13">
        <v>456.14170000000001</v>
      </c>
      <c r="T95" s="13">
        <v>17736.747299999999</v>
      </c>
      <c r="U95" s="13">
        <v>47</v>
      </c>
      <c r="V95" s="13">
        <v>47</v>
      </c>
      <c r="W95" s="13">
        <v>0</v>
      </c>
      <c r="X95" s="13">
        <v>1336.8326999999999</v>
      </c>
      <c r="Y95" s="13">
        <v>77.856899999999996</v>
      </c>
      <c r="Z95" s="13">
        <v>1258.9757999999999</v>
      </c>
      <c r="AA95" s="13">
        <v>28</v>
      </c>
      <c r="AB95" s="13">
        <v>28</v>
      </c>
      <c r="AC95" s="13">
        <v>0</v>
      </c>
      <c r="AD95" s="13">
        <v>1496.8051</v>
      </c>
      <c r="AE95" s="13">
        <v>28</v>
      </c>
      <c r="AF95" s="13">
        <v>1468.8051</v>
      </c>
      <c r="AG95" s="13">
        <v>13</v>
      </c>
      <c r="AH95" s="13">
        <v>13</v>
      </c>
      <c r="AI95" s="13">
        <v>0</v>
      </c>
      <c r="AJ95" s="13">
        <v>1002.7460000000001</v>
      </c>
      <c r="AK95" s="13">
        <v>39.9998</v>
      </c>
      <c r="AL95" s="13">
        <v>962.74620000000004</v>
      </c>
      <c r="AM95" s="13">
        <v>16</v>
      </c>
      <c r="AN95" s="13">
        <v>16</v>
      </c>
      <c r="AO95" s="13">
        <v>0</v>
      </c>
      <c r="AP95" s="13">
        <v>1003.432</v>
      </c>
      <c r="AQ95" s="13">
        <v>16</v>
      </c>
      <c r="AR95" s="13">
        <v>987.43200000000002</v>
      </c>
      <c r="AS95" s="13">
        <v>11</v>
      </c>
      <c r="AT95" s="13">
        <v>11</v>
      </c>
      <c r="AU95" s="13">
        <v>0</v>
      </c>
      <c r="AV95" s="13">
        <v>1448.5620999999999</v>
      </c>
      <c r="AW95" s="13">
        <v>16.785699999999999</v>
      </c>
      <c r="AX95" s="13">
        <v>1431.7764</v>
      </c>
      <c r="AY95" s="13">
        <v>16</v>
      </c>
      <c r="AZ95" s="13">
        <v>16</v>
      </c>
      <c r="BA95" s="13">
        <v>0</v>
      </c>
      <c r="BB95" s="13">
        <v>1498.3050000000001</v>
      </c>
      <c r="BC95" s="13">
        <v>29.4999</v>
      </c>
      <c r="BD95" s="13">
        <v>1468.8051</v>
      </c>
      <c r="BE95" s="13">
        <v>8</v>
      </c>
      <c r="BF95" s="13">
        <v>8</v>
      </c>
      <c r="BG95" s="13">
        <v>0</v>
      </c>
      <c r="BH95" s="13">
        <v>996.58900000000006</v>
      </c>
      <c r="BI95" s="13">
        <v>21.4999</v>
      </c>
      <c r="BJ95" s="13">
        <v>975.08910000000003</v>
      </c>
      <c r="BK95" s="13">
        <v>24</v>
      </c>
      <c r="BL95" s="13">
        <v>24</v>
      </c>
      <c r="BM95" s="13">
        <v>0</v>
      </c>
      <c r="BN95" s="13">
        <v>1382.876</v>
      </c>
      <c r="BO95" s="13">
        <v>37.499899999999997</v>
      </c>
      <c r="BP95" s="13">
        <v>1345.3761</v>
      </c>
      <c r="BQ95" s="13">
        <v>43</v>
      </c>
      <c r="BR95" s="13">
        <v>43</v>
      </c>
      <c r="BS95" s="13">
        <v>0</v>
      </c>
      <c r="BT95" s="13">
        <v>1512.9621</v>
      </c>
      <c r="BU95" s="13">
        <v>56.499899999999997</v>
      </c>
      <c r="BV95" s="13">
        <v>1456.4621999999999</v>
      </c>
      <c r="BW95" s="13">
        <v>35</v>
      </c>
      <c r="BX95" s="13">
        <v>35</v>
      </c>
      <c r="BY95" s="13">
        <v>0</v>
      </c>
      <c r="BZ95" s="13">
        <v>1553.1767</v>
      </c>
      <c r="CA95" s="13">
        <v>35</v>
      </c>
      <c r="CB95" s="13">
        <v>1518.1767</v>
      </c>
      <c r="CC95" s="13">
        <v>34</v>
      </c>
      <c r="CD95" s="13">
        <v>34</v>
      </c>
      <c r="CE95" s="13">
        <v>0</v>
      </c>
      <c r="CF95" s="13">
        <v>1824.8775000000001</v>
      </c>
      <c r="CG95" s="13">
        <v>47.499899999999997</v>
      </c>
      <c r="CH95" s="13">
        <v>1777.3776</v>
      </c>
      <c r="CI95" s="13">
        <v>16</v>
      </c>
      <c r="CJ95" s="13">
        <v>16</v>
      </c>
      <c r="CK95" s="13">
        <v>0</v>
      </c>
      <c r="CL95" s="13">
        <v>1584.7053000000001</v>
      </c>
      <c r="CM95" s="13">
        <v>29.4999</v>
      </c>
      <c r="CN95" s="13">
        <v>1555.2054000000001</v>
      </c>
      <c r="CO95" s="13">
        <v>7</v>
      </c>
      <c r="CP95" s="13">
        <v>7</v>
      </c>
      <c r="CQ95" s="13">
        <v>0</v>
      </c>
      <c r="CR95" s="13">
        <v>1551.0195000000001</v>
      </c>
      <c r="CS95" s="13">
        <v>20.4999</v>
      </c>
      <c r="CT95" s="13">
        <v>1530.5196000000001</v>
      </c>
      <c r="CU95" s="13">
        <f t="shared" si="8"/>
        <v>251</v>
      </c>
      <c r="CV95" s="13">
        <f t="shared" si="8"/>
        <v>251</v>
      </c>
      <c r="CW95" s="13">
        <f t="shared" si="8"/>
        <v>0</v>
      </c>
      <c r="CX95" s="13">
        <f t="shared" si="8"/>
        <v>16856.0563</v>
      </c>
      <c r="CY95" s="13">
        <f t="shared" si="8"/>
        <v>378.28480000000002</v>
      </c>
      <c r="CZ95" s="13">
        <f t="shared" si="8"/>
        <v>16477.771500000003</v>
      </c>
      <c r="DA95" s="13">
        <f t="shared" si="9"/>
        <v>57</v>
      </c>
      <c r="DB95" s="13">
        <f t="shared" si="9"/>
        <v>57</v>
      </c>
      <c r="DC95" s="13">
        <f t="shared" si="9"/>
        <v>0</v>
      </c>
      <c r="DD95" s="13">
        <f t="shared" si="9"/>
        <v>4960.6023000000005</v>
      </c>
      <c r="DE95" s="13">
        <f t="shared" si="9"/>
        <v>97.49969999999999</v>
      </c>
      <c r="DF95" s="13">
        <f t="shared" si="9"/>
        <v>4863.1026000000002</v>
      </c>
      <c r="DG95" s="13">
        <f t="shared" si="10"/>
        <v>102</v>
      </c>
      <c r="DH95" s="13">
        <f t="shared" si="10"/>
        <v>102</v>
      </c>
      <c r="DI95" s="13">
        <f t="shared" si="10"/>
        <v>0</v>
      </c>
      <c r="DJ95" s="13">
        <f t="shared" si="10"/>
        <v>4449.0147999999999</v>
      </c>
      <c r="DK95" s="13">
        <f t="shared" si="10"/>
        <v>128.99979999999999</v>
      </c>
      <c r="DL95" s="13">
        <f t="shared" si="10"/>
        <v>4320.0149999999994</v>
      </c>
      <c r="DM95" s="13">
        <f t="shared" si="11"/>
        <v>23</v>
      </c>
      <c r="DN95" s="13">
        <f t="shared" si="11"/>
        <v>23</v>
      </c>
      <c r="DO95" s="13">
        <f t="shared" si="11"/>
        <v>0</v>
      </c>
      <c r="DP95" s="13">
        <f t="shared" si="11"/>
        <v>3135.7248</v>
      </c>
      <c r="DQ95" s="13">
        <f t="shared" si="11"/>
        <v>49.9998</v>
      </c>
      <c r="DR95" s="13">
        <f t="shared" si="11"/>
        <v>3085.7250000000004</v>
      </c>
      <c r="DS95" s="14" t="s">
        <v>60</v>
      </c>
      <c r="DT95" s="14" t="s">
        <v>92</v>
      </c>
      <c r="DU95" s="14" t="s">
        <v>73</v>
      </c>
      <c r="DV95" s="14" t="s">
        <v>63</v>
      </c>
      <c r="DW95" s="14" t="s">
        <v>126</v>
      </c>
    </row>
    <row r="96" spans="2:127" x14ac:dyDescent="0.3">
      <c r="B96" s="11" t="s">
        <v>75</v>
      </c>
      <c r="C96" s="12">
        <v>5007555413</v>
      </c>
      <c r="D96" s="11" t="s">
        <v>380</v>
      </c>
      <c r="E96" s="11" t="s">
        <v>55</v>
      </c>
      <c r="F96" s="11" t="s">
        <v>381</v>
      </c>
      <c r="G96" s="11" t="s">
        <v>382</v>
      </c>
      <c r="H96" s="11" t="s">
        <v>169</v>
      </c>
      <c r="I96" s="11">
        <v>22408</v>
      </c>
      <c r="J96" s="11" t="s">
        <v>109</v>
      </c>
      <c r="K96" s="11"/>
      <c r="L96" s="11"/>
      <c r="M96" s="11"/>
      <c r="N96" s="11"/>
      <c r="O96" s="13">
        <v>0</v>
      </c>
      <c r="P96" s="13">
        <v>0</v>
      </c>
      <c r="Q96" s="13">
        <v>0</v>
      </c>
      <c r="R96" s="13">
        <v>11985.725899999999</v>
      </c>
      <c r="S96" s="13">
        <v>111.8561</v>
      </c>
      <c r="T96" s="13">
        <v>11873.8698</v>
      </c>
      <c r="U96" s="13">
        <v>0</v>
      </c>
      <c r="V96" s="13">
        <v>0</v>
      </c>
      <c r="W96" s="13">
        <v>0</v>
      </c>
      <c r="X96" s="13">
        <v>617.33770000000004</v>
      </c>
      <c r="Y96" s="13">
        <v>12.535600000000001</v>
      </c>
      <c r="Z96" s="13">
        <v>604.8021</v>
      </c>
      <c r="AA96" s="13">
        <v>0</v>
      </c>
      <c r="AB96" s="13">
        <v>0</v>
      </c>
      <c r="AC96" s="13">
        <v>0</v>
      </c>
      <c r="AD96" s="13">
        <v>1074.0249999999999</v>
      </c>
      <c r="AE96" s="13">
        <v>12.535600000000001</v>
      </c>
      <c r="AF96" s="13">
        <v>1061.4893999999999</v>
      </c>
      <c r="AG96" s="13">
        <v>0</v>
      </c>
      <c r="AH96" s="13">
        <v>0</v>
      </c>
      <c r="AI96" s="13">
        <v>0</v>
      </c>
      <c r="AJ96" s="13">
        <v>716.27359999999999</v>
      </c>
      <c r="AK96" s="13">
        <v>25.071200000000001</v>
      </c>
      <c r="AL96" s="13">
        <v>691.20240000000001</v>
      </c>
      <c r="AM96" s="13">
        <v>0</v>
      </c>
      <c r="AN96" s="13">
        <v>0</v>
      </c>
      <c r="AO96" s="13">
        <v>0</v>
      </c>
      <c r="AP96" s="13">
        <v>691.20240000000001</v>
      </c>
      <c r="AQ96" s="13">
        <v>0</v>
      </c>
      <c r="AR96" s="13">
        <v>691.20240000000001</v>
      </c>
      <c r="AS96" s="13">
        <v>0</v>
      </c>
      <c r="AT96" s="13">
        <v>0</v>
      </c>
      <c r="AU96" s="13">
        <v>0</v>
      </c>
      <c r="AV96" s="13">
        <v>1036.9963</v>
      </c>
      <c r="AW96" s="13">
        <v>12.535600000000001</v>
      </c>
      <c r="AX96" s="13">
        <v>1024.4607000000001</v>
      </c>
      <c r="AY96" s="13">
        <v>0</v>
      </c>
      <c r="AZ96" s="13">
        <v>0</v>
      </c>
      <c r="BA96" s="13">
        <v>0</v>
      </c>
      <c r="BB96" s="13">
        <v>802.2885</v>
      </c>
      <c r="BC96" s="13">
        <v>0</v>
      </c>
      <c r="BD96" s="13">
        <v>802.2885</v>
      </c>
      <c r="BE96" s="13">
        <v>0</v>
      </c>
      <c r="BF96" s="13">
        <v>0</v>
      </c>
      <c r="BG96" s="13">
        <v>0</v>
      </c>
      <c r="BH96" s="13">
        <v>1049.7246</v>
      </c>
      <c r="BI96" s="13">
        <v>37.6068</v>
      </c>
      <c r="BJ96" s="13">
        <v>1012.1178</v>
      </c>
      <c r="BK96" s="13">
        <v>0</v>
      </c>
      <c r="BL96" s="13">
        <v>0</v>
      </c>
      <c r="BM96" s="13">
        <v>0</v>
      </c>
      <c r="BN96" s="13">
        <v>546.75200000000007</v>
      </c>
      <c r="BO96" s="13">
        <v>-8.6784999999999997</v>
      </c>
      <c r="BP96" s="13">
        <v>555.43050000000005</v>
      </c>
      <c r="BQ96" s="13">
        <v>0</v>
      </c>
      <c r="BR96" s="13">
        <v>0</v>
      </c>
      <c r="BS96" s="13">
        <v>0</v>
      </c>
      <c r="BT96" s="13">
        <v>871.71720000000005</v>
      </c>
      <c r="BU96" s="13">
        <v>7.7141999999999999</v>
      </c>
      <c r="BV96" s="13">
        <v>864.00300000000004</v>
      </c>
      <c r="BW96" s="13">
        <v>0</v>
      </c>
      <c r="BX96" s="13">
        <v>0</v>
      </c>
      <c r="BY96" s="13">
        <v>0</v>
      </c>
      <c r="BZ96" s="13">
        <v>814.82410000000004</v>
      </c>
      <c r="CA96" s="13">
        <v>12.535600000000001</v>
      </c>
      <c r="CB96" s="13">
        <v>802.2885</v>
      </c>
      <c r="CC96" s="13">
        <v>0</v>
      </c>
      <c r="CD96" s="13">
        <v>0</v>
      </c>
      <c r="CE96" s="13">
        <v>0</v>
      </c>
      <c r="CF96" s="13">
        <v>1234.29</v>
      </c>
      <c r="CG96" s="13">
        <v>0</v>
      </c>
      <c r="CH96" s="13">
        <v>1234.29</v>
      </c>
      <c r="CI96" s="13">
        <v>0</v>
      </c>
      <c r="CJ96" s="13">
        <v>0</v>
      </c>
      <c r="CK96" s="13">
        <v>0</v>
      </c>
      <c r="CL96" s="13">
        <v>1221.9471000000001</v>
      </c>
      <c r="CM96" s="13">
        <v>0</v>
      </c>
      <c r="CN96" s="13">
        <v>1221.9471000000001</v>
      </c>
      <c r="CO96" s="13">
        <v>0</v>
      </c>
      <c r="CP96" s="13">
        <v>0</v>
      </c>
      <c r="CQ96" s="13">
        <v>0</v>
      </c>
      <c r="CR96" s="13">
        <v>1308.3474000000001</v>
      </c>
      <c r="CS96" s="13">
        <v>0</v>
      </c>
      <c r="CT96" s="13">
        <v>1308.3474000000001</v>
      </c>
      <c r="CU96" s="13">
        <f t="shared" si="8"/>
        <v>0</v>
      </c>
      <c r="CV96" s="13">
        <f t="shared" si="8"/>
        <v>0</v>
      </c>
      <c r="CW96" s="13">
        <f t="shared" si="8"/>
        <v>0</v>
      </c>
      <c r="CX96" s="13">
        <f t="shared" si="8"/>
        <v>11368.388199999999</v>
      </c>
      <c r="CY96" s="13">
        <f t="shared" si="8"/>
        <v>99.32050000000001</v>
      </c>
      <c r="CZ96" s="13">
        <f t="shared" si="8"/>
        <v>11269.0677</v>
      </c>
      <c r="DA96" s="13">
        <f t="shared" si="9"/>
        <v>0</v>
      </c>
      <c r="DB96" s="13">
        <f t="shared" si="9"/>
        <v>0</v>
      </c>
      <c r="DC96" s="13">
        <f t="shared" si="9"/>
        <v>0</v>
      </c>
      <c r="DD96" s="13">
        <f t="shared" si="9"/>
        <v>3764.5845000000004</v>
      </c>
      <c r="DE96" s="13">
        <f t="shared" si="9"/>
        <v>0</v>
      </c>
      <c r="DF96" s="13">
        <f t="shared" si="9"/>
        <v>3764.5845000000004</v>
      </c>
      <c r="DG96" s="13">
        <f t="shared" si="10"/>
        <v>0</v>
      </c>
      <c r="DH96" s="13">
        <f t="shared" si="10"/>
        <v>0</v>
      </c>
      <c r="DI96" s="13">
        <f t="shared" si="10"/>
        <v>0</v>
      </c>
      <c r="DJ96" s="13">
        <f t="shared" si="10"/>
        <v>2233.2933000000003</v>
      </c>
      <c r="DK96" s="13">
        <f t="shared" si="10"/>
        <v>11.571300000000001</v>
      </c>
      <c r="DL96" s="13">
        <f t="shared" si="10"/>
        <v>2221.7220000000002</v>
      </c>
      <c r="DM96" s="13">
        <f t="shared" si="11"/>
        <v>0</v>
      </c>
      <c r="DN96" s="13">
        <f t="shared" si="11"/>
        <v>0</v>
      </c>
      <c r="DO96" s="13">
        <f t="shared" si="11"/>
        <v>0</v>
      </c>
      <c r="DP96" s="13">
        <f t="shared" si="11"/>
        <v>2530.2945</v>
      </c>
      <c r="DQ96" s="13">
        <f t="shared" si="11"/>
        <v>0</v>
      </c>
      <c r="DR96" s="13">
        <f t="shared" si="11"/>
        <v>2530.2945</v>
      </c>
      <c r="DS96" s="14" t="s">
        <v>60</v>
      </c>
      <c r="DT96" s="14" t="s">
        <v>81</v>
      </c>
      <c r="DU96" s="14" t="s">
        <v>73</v>
      </c>
      <c r="DV96" s="14" t="s">
        <v>63</v>
      </c>
      <c r="DW96" s="14" t="s">
        <v>74</v>
      </c>
    </row>
    <row r="97" spans="2:127" x14ac:dyDescent="0.3">
      <c r="B97" s="11" t="s">
        <v>83</v>
      </c>
      <c r="C97" s="12">
        <v>5008732757</v>
      </c>
      <c r="D97" s="11" t="s">
        <v>383</v>
      </c>
      <c r="E97" s="11" t="s">
        <v>55</v>
      </c>
      <c r="F97" s="11" t="s">
        <v>384</v>
      </c>
      <c r="G97" s="11" t="s">
        <v>385</v>
      </c>
      <c r="H97" s="11" t="s">
        <v>137</v>
      </c>
      <c r="I97" s="11">
        <v>78701</v>
      </c>
      <c r="J97" s="11" t="s">
        <v>59</v>
      </c>
      <c r="K97" s="11"/>
      <c r="L97" s="11"/>
      <c r="M97" s="11"/>
      <c r="N97" s="11"/>
      <c r="O97" s="13">
        <v>4454</v>
      </c>
      <c r="P97" s="13">
        <v>4454</v>
      </c>
      <c r="Q97" s="13">
        <v>0</v>
      </c>
      <c r="R97" s="13">
        <v>183263.82509999999</v>
      </c>
      <c r="S97" s="13">
        <v>7365.1571999999996</v>
      </c>
      <c r="T97" s="13">
        <v>175898.6679</v>
      </c>
      <c r="U97" s="13">
        <v>465</v>
      </c>
      <c r="V97" s="13">
        <v>465</v>
      </c>
      <c r="W97" s="13">
        <v>0</v>
      </c>
      <c r="X97" s="13">
        <v>11595.013800000001</v>
      </c>
      <c r="Y97" s="13">
        <v>807.31920000000002</v>
      </c>
      <c r="Z97" s="13">
        <v>10787.694600000001</v>
      </c>
      <c r="AA97" s="13">
        <v>260</v>
      </c>
      <c r="AB97" s="13">
        <v>260</v>
      </c>
      <c r="AC97" s="13">
        <v>0</v>
      </c>
      <c r="AD97" s="13">
        <v>15545.9058</v>
      </c>
      <c r="AE97" s="13">
        <v>672.71129999999994</v>
      </c>
      <c r="AF97" s="13">
        <v>14873.1945</v>
      </c>
      <c r="AG97" s="13">
        <v>307</v>
      </c>
      <c r="AH97" s="13">
        <v>307</v>
      </c>
      <c r="AI97" s="13">
        <v>0</v>
      </c>
      <c r="AJ97" s="13">
        <v>11540.5787</v>
      </c>
      <c r="AK97" s="13">
        <v>654.14089999999999</v>
      </c>
      <c r="AL97" s="13">
        <v>10886.4378</v>
      </c>
      <c r="AM97" s="13">
        <v>370</v>
      </c>
      <c r="AN97" s="13">
        <v>370</v>
      </c>
      <c r="AO97" s="13">
        <v>0</v>
      </c>
      <c r="AP97" s="13">
        <v>13103.242</v>
      </c>
      <c r="AQ97" s="13">
        <v>562.85559999999998</v>
      </c>
      <c r="AR97" s="13">
        <v>12540.386399999999</v>
      </c>
      <c r="AS97" s="13">
        <v>410</v>
      </c>
      <c r="AT97" s="13">
        <v>410</v>
      </c>
      <c r="AU97" s="13">
        <v>0</v>
      </c>
      <c r="AV97" s="13">
        <v>16140.830300000001</v>
      </c>
      <c r="AW97" s="13">
        <v>675.17660000000001</v>
      </c>
      <c r="AX97" s="13">
        <v>15465.653700000001</v>
      </c>
      <c r="AY97" s="13">
        <v>395</v>
      </c>
      <c r="AZ97" s="13">
        <v>395</v>
      </c>
      <c r="BA97" s="13">
        <v>0</v>
      </c>
      <c r="BB97" s="13">
        <v>14881.7045</v>
      </c>
      <c r="BC97" s="13">
        <v>637.99789999999996</v>
      </c>
      <c r="BD97" s="13">
        <v>14243.7066</v>
      </c>
      <c r="BE97" s="13">
        <v>166</v>
      </c>
      <c r="BF97" s="13">
        <v>166</v>
      </c>
      <c r="BG97" s="13">
        <v>0</v>
      </c>
      <c r="BH97" s="13">
        <v>11228.901399999999</v>
      </c>
      <c r="BI97" s="13">
        <v>280.7491</v>
      </c>
      <c r="BJ97" s="13">
        <v>10948.1523</v>
      </c>
      <c r="BK97" s="13">
        <v>388</v>
      </c>
      <c r="BL97" s="13">
        <v>388</v>
      </c>
      <c r="BM97" s="13">
        <v>0</v>
      </c>
      <c r="BN97" s="13">
        <v>16472.532200000001</v>
      </c>
      <c r="BO97" s="13">
        <v>562.53409999999997</v>
      </c>
      <c r="BP97" s="13">
        <v>15909.998100000001</v>
      </c>
      <c r="BQ97" s="13">
        <v>363</v>
      </c>
      <c r="BR97" s="13">
        <v>363</v>
      </c>
      <c r="BS97" s="13">
        <v>0</v>
      </c>
      <c r="BT97" s="13">
        <v>13301.636</v>
      </c>
      <c r="BU97" s="13">
        <v>514.39160000000004</v>
      </c>
      <c r="BV97" s="13">
        <v>12787.2444</v>
      </c>
      <c r="BW97" s="13">
        <v>437</v>
      </c>
      <c r="BX97" s="13">
        <v>437</v>
      </c>
      <c r="BY97" s="13">
        <v>0</v>
      </c>
      <c r="BZ97" s="13">
        <v>14367.311699999998</v>
      </c>
      <c r="CA97" s="13">
        <v>555.60659999999996</v>
      </c>
      <c r="CB97" s="13">
        <v>13811.705099999999</v>
      </c>
      <c r="CC97" s="13">
        <v>375</v>
      </c>
      <c r="CD97" s="13">
        <v>375</v>
      </c>
      <c r="CE97" s="13">
        <v>0</v>
      </c>
      <c r="CF97" s="13">
        <v>16897.705300000001</v>
      </c>
      <c r="CG97" s="13">
        <v>580.39149999999995</v>
      </c>
      <c r="CH97" s="13">
        <v>16317.3138</v>
      </c>
      <c r="CI97" s="13">
        <v>284</v>
      </c>
      <c r="CJ97" s="13">
        <v>284</v>
      </c>
      <c r="CK97" s="13">
        <v>0</v>
      </c>
      <c r="CL97" s="13">
        <v>14627.797200000001</v>
      </c>
      <c r="CM97" s="13">
        <v>495.17669999999998</v>
      </c>
      <c r="CN97" s="13">
        <v>14132.620500000001</v>
      </c>
      <c r="CO97" s="13">
        <v>234</v>
      </c>
      <c r="CP97" s="13">
        <v>234</v>
      </c>
      <c r="CQ97" s="13">
        <v>0</v>
      </c>
      <c r="CR97" s="13">
        <v>13560.6662</v>
      </c>
      <c r="CS97" s="13">
        <v>366.10609999999997</v>
      </c>
      <c r="CT97" s="13">
        <v>13194.560100000001</v>
      </c>
      <c r="CU97" s="13">
        <f t="shared" si="8"/>
        <v>3989</v>
      </c>
      <c r="CV97" s="13">
        <f t="shared" si="8"/>
        <v>3989</v>
      </c>
      <c r="CW97" s="13">
        <f t="shared" si="8"/>
        <v>0</v>
      </c>
      <c r="CX97" s="13">
        <f t="shared" si="8"/>
        <v>171668.8113</v>
      </c>
      <c r="CY97" s="13">
        <f t="shared" si="8"/>
        <v>6557.8379999999997</v>
      </c>
      <c r="CZ97" s="13">
        <f t="shared" si="8"/>
        <v>165110.97329999998</v>
      </c>
      <c r="DA97" s="13">
        <f t="shared" si="9"/>
        <v>893</v>
      </c>
      <c r="DB97" s="13">
        <f t="shared" si="9"/>
        <v>893</v>
      </c>
      <c r="DC97" s="13">
        <f t="shared" si="9"/>
        <v>0</v>
      </c>
      <c r="DD97" s="13">
        <f t="shared" si="9"/>
        <v>45086.168700000002</v>
      </c>
      <c r="DE97" s="13">
        <f t="shared" si="9"/>
        <v>1441.6742999999999</v>
      </c>
      <c r="DF97" s="13">
        <f t="shared" si="9"/>
        <v>43644.494400000003</v>
      </c>
      <c r="DG97" s="13">
        <f t="shared" si="10"/>
        <v>1188</v>
      </c>
      <c r="DH97" s="13">
        <f t="shared" si="10"/>
        <v>1188</v>
      </c>
      <c r="DI97" s="13">
        <f t="shared" si="10"/>
        <v>0</v>
      </c>
      <c r="DJ97" s="13">
        <f t="shared" si="10"/>
        <v>44141.479899999998</v>
      </c>
      <c r="DK97" s="13">
        <f t="shared" si="10"/>
        <v>1632.5322999999999</v>
      </c>
      <c r="DL97" s="13">
        <f t="shared" si="10"/>
        <v>42508.9476</v>
      </c>
      <c r="DM97" s="13">
        <f t="shared" si="11"/>
        <v>518</v>
      </c>
      <c r="DN97" s="13">
        <f t="shared" si="11"/>
        <v>518</v>
      </c>
      <c r="DO97" s="13">
        <f t="shared" si="11"/>
        <v>0</v>
      </c>
      <c r="DP97" s="13">
        <f t="shared" si="11"/>
        <v>28188.463400000001</v>
      </c>
      <c r="DQ97" s="13">
        <f t="shared" si="11"/>
        <v>861.28279999999995</v>
      </c>
      <c r="DR97" s="13">
        <f t="shared" si="11"/>
        <v>27327.1806</v>
      </c>
      <c r="DS97" s="14" t="s">
        <v>81</v>
      </c>
      <c r="DT97" s="14" t="s">
        <v>125</v>
      </c>
      <c r="DU97" s="14" t="s">
        <v>73</v>
      </c>
      <c r="DV97" s="14" t="s">
        <v>97</v>
      </c>
      <c r="DW97" s="14" t="s">
        <v>74</v>
      </c>
    </row>
    <row r="98" spans="2:127" x14ac:dyDescent="0.3">
      <c r="B98" s="11" t="s">
        <v>65</v>
      </c>
      <c r="C98" s="12">
        <v>5008789822</v>
      </c>
      <c r="D98" s="11" t="s">
        <v>386</v>
      </c>
      <c r="E98" s="11" t="s">
        <v>55</v>
      </c>
      <c r="F98" s="11" t="s">
        <v>387</v>
      </c>
      <c r="G98" s="11" t="s">
        <v>388</v>
      </c>
      <c r="H98" s="11" t="s">
        <v>340</v>
      </c>
      <c r="I98" s="11">
        <v>8837</v>
      </c>
      <c r="J98" s="11" t="s">
        <v>80</v>
      </c>
      <c r="K98" s="11"/>
      <c r="L98" s="11"/>
      <c r="M98" s="11"/>
      <c r="N98" s="11"/>
      <c r="O98" s="13">
        <v>2544</v>
      </c>
      <c r="P98" s="13">
        <v>2544</v>
      </c>
      <c r="Q98" s="13">
        <v>0</v>
      </c>
      <c r="R98" s="13">
        <v>63661.197200000002</v>
      </c>
      <c r="S98" s="13">
        <v>4390.5914000000002</v>
      </c>
      <c r="T98" s="13">
        <v>59270.605799999998</v>
      </c>
      <c r="U98" s="13">
        <v>113</v>
      </c>
      <c r="V98" s="13">
        <v>113</v>
      </c>
      <c r="W98" s="13">
        <v>0</v>
      </c>
      <c r="X98" s="13">
        <v>4353.1702999999998</v>
      </c>
      <c r="Y98" s="13">
        <v>230.64170000000001</v>
      </c>
      <c r="Z98" s="13">
        <v>4122.5285999999996</v>
      </c>
      <c r="AA98" s="13">
        <v>205</v>
      </c>
      <c r="AB98" s="13">
        <v>205</v>
      </c>
      <c r="AC98" s="13">
        <v>0</v>
      </c>
      <c r="AD98" s="13">
        <v>4936.9565000000002</v>
      </c>
      <c r="AE98" s="13">
        <v>444.14089999999999</v>
      </c>
      <c r="AF98" s="13">
        <v>4492.8155999999999</v>
      </c>
      <c r="AG98" s="13">
        <v>146</v>
      </c>
      <c r="AH98" s="13">
        <v>146</v>
      </c>
      <c r="AI98" s="13">
        <v>0</v>
      </c>
      <c r="AJ98" s="13">
        <v>3955.3252000000002</v>
      </c>
      <c r="AK98" s="13">
        <v>338.85550000000001</v>
      </c>
      <c r="AL98" s="13">
        <v>3616.4697000000001</v>
      </c>
      <c r="AM98" s="13">
        <v>288</v>
      </c>
      <c r="AN98" s="13">
        <v>288</v>
      </c>
      <c r="AO98" s="13">
        <v>0</v>
      </c>
      <c r="AP98" s="13">
        <v>4614.7637000000004</v>
      </c>
      <c r="AQ98" s="13">
        <v>418.17769999999996</v>
      </c>
      <c r="AR98" s="13">
        <v>4196.5860000000002</v>
      </c>
      <c r="AS98" s="13">
        <v>267</v>
      </c>
      <c r="AT98" s="13">
        <v>267</v>
      </c>
      <c r="AU98" s="13">
        <v>0</v>
      </c>
      <c r="AV98" s="13">
        <v>5417.2667000000001</v>
      </c>
      <c r="AW98" s="13">
        <v>418.3922</v>
      </c>
      <c r="AX98" s="13">
        <v>4998.8744999999999</v>
      </c>
      <c r="AY98" s="13">
        <v>270</v>
      </c>
      <c r="AZ98" s="13">
        <v>270</v>
      </c>
      <c r="BA98" s="13">
        <v>0</v>
      </c>
      <c r="BB98" s="13">
        <v>3921.7608</v>
      </c>
      <c r="BC98" s="13">
        <v>404.03430000000003</v>
      </c>
      <c r="BD98" s="13">
        <v>3517.7265000000002</v>
      </c>
      <c r="BE98" s="13">
        <v>186</v>
      </c>
      <c r="BF98" s="13">
        <v>186</v>
      </c>
      <c r="BG98" s="13">
        <v>0</v>
      </c>
      <c r="BH98" s="13">
        <v>4935.7007999999996</v>
      </c>
      <c r="BI98" s="13">
        <v>282.42750000000001</v>
      </c>
      <c r="BJ98" s="13">
        <v>4653.2732999999998</v>
      </c>
      <c r="BK98" s="13">
        <v>175</v>
      </c>
      <c r="BL98" s="13">
        <v>175</v>
      </c>
      <c r="BM98" s="13">
        <v>0</v>
      </c>
      <c r="BN98" s="13">
        <v>5105.9874</v>
      </c>
      <c r="BO98" s="13">
        <v>267.57060000000001</v>
      </c>
      <c r="BP98" s="13">
        <v>4838.4168</v>
      </c>
      <c r="BQ98" s="13">
        <v>296</v>
      </c>
      <c r="BR98" s="13">
        <v>296</v>
      </c>
      <c r="BS98" s="13">
        <v>0</v>
      </c>
      <c r="BT98" s="13">
        <v>4833.9433000000008</v>
      </c>
      <c r="BU98" s="13">
        <v>390.49930000000001</v>
      </c>
      <c r="BV98" s="13">
        <v>4443.4440000000004</v>
      </c>
      <c r="BW98" s="13">
        <v>208</v>
      </c>
      <c r="BX98" s="13">
        <v>208</v>
      </c>
      <c r="BY98" s="13">
        <v>0</v>
      </c>
      <c r="BZ98" s="13">
        <v>4716.6278999999995</v>
      </c>
      <c r="CA98" s="13">
        <v>371.9271</v>
      </c>
      <c r="CB98" s="13">
        <v>4344.7007999999996</v>
      </c>
      <c r="CC98" s="13">
        <v>125</v>
      </c>
      <c r="CD98" s="13">
        <v>125</v>
      </c>
      <c r="CE98" s="13">
        <v>0</v>
      </c>
      <c r="CF98" s="13">
        <v>5953.5474000000004</v>
      </c>
      <c r="CG98" s="13">
        <v>238.78469999999999</v>
      </c>
      <c r="CH98" s="13">
        <v>5714.7627000000002</v>
      </c>
      <c r="CI98" s="13">
        <v>145</v>
      </c>
      <c r="CJ98" s="13">
        <v>145</v>
      </c>
      <c r="CK98" s="13">
        <v>0</v>
      </c>
      <c r="CL98" s="13">
        <v>5264.9863999999998</v>
      </c>
      <c r="CM98" s="13">
        <v>364.85509999999999</v>
      </c>
      <c r="CN98" s="13">
        <v>4900.1313</v>
      </c>
      <c r="CO98" s="13">
        <v>120</v>
      </c>
      <c r="CP98" s="13">
        <v>120</v>
      </c>
      <c r="CQ98" s="13">
        <v>0</v>
      </c>
      <c r="CR98" s="13">
        <v>5651.1608000000006</v>
      </c>
      <c r="CS98" s="13">
        <v>220.28480000000002</v>
      </c>
      <c r="CT98" s="13">
        <v>5430.8760000000002</v>
      </c>
      <c r="CU98" s="13">
        <f t="shared" si="8"/>
        <v>2431</v>
      </c>
      <c r="CV98" s="13">
        <f t="shared" si="8"/>
        <v>2431</v>
      </c>
      <c r="CW98" s="13">
        <f t="shared" si="8"/>
        <v>0</v>
      </c>
      <c r="CX98" s="13">
        <f t="shared" si="8"/>
        <v>59308.026899999997</v>
      </c>
      <c r="CY98" s="13">
        <f t="shared" si="8"/>
        <v>4159.9497000000001</v>
      </c>
      <c r="CZ98" s="13">
        <f t="shared" si="8"/>
        <v>55148.0772</v>
      </c>
      <c r="DA98" s="13">
        <f t="shared" si="9"/>
        <v>390</v>
      </c>
      <c r="DB98" s="13">
        <f t="shared" si="9"/>
        <v>390</v>
      </c>
      <c r="DC98" s="13">
        <f t="shared" si="9"/>
        <v>0</v>
      </c>
      <c r="DD98" s="13">
        <f t="shared" si="9"/>
        <v>16869.694600000003</v>
      </c>
      <c r="DE98" s="13">
        <f t="shared" si="9"/>
        <v>823.92459999999994</v>
      </c>
      <c r="DF98" s="13">
        <f t="shared" si="9"/>
        <v>16045.77</v>
      </c>
      <c r="DG98" s="13">
        <f t="shared" si="10"/>
        <v>679</v>
      </c>
      <c r="DH98" s="13">
        <f t="shared" si="10"/>
        <v>679</v>
      </c>
      <c r="DI98" s="13">
        <f t="shared" si="10"/>
        <v>0</v>
      </c>
      <c r="DJ98" s="13">
        <f t="shared" si="10"/>
        <v>14656.5586</v>
      </c>
      <c r="DK98" s="13">
        <f t="shared" si="10"/>
        <v>1029.9969999999998</v>
      </c>
      <c r="DL98" s="13">
        <f t="shared" si="10"/>
        <v>13626.561600000001</v>
      </c>
      <c r="DM98" s="13">
        <f t="shared" si="11"/>
        <v>265</v>
      </c>
      <c r="DN98" s="13">
        <f t="shared" si="11"/>
        <v>265</v>
      </c>
      <c r="DO98" s="13">
        <f t="shared" si="11"/>
        <v>0</v>
      </c>
      <c r="DP98" s="13">
        <f t="shared" si="11"/>
        <v>10916.147199999999</v>
      </c>
      <c r="DQ98" s="13">
        <f t="shared" si="11"/>
        <v>585.13990000000001</v>
      </c>
      <c r="DR98" s="13">
        <f t="shared" si="11"/>
        <v>10331.007300000001</v>
      </c>
      <c r="DS98" s="14" t="s">
        <v>81</v>
      </c>
      <c r="DT98" s="14" t="s">
        <v>72</v>
      </c>
      <c r="DU98" s="14" t="s">
        <v>62</v>
      </c>
      <c r="DV98" s="14" t="s">
        <v>97</v>
      </c>
      <c r="DW98" s="14" t="s">
        <v>74</v>
      </c>
    </row>
    <row r="99" spans="2:127" x14ac:dyDescent="0.3">
      <c r="B99" s="11" t="s">
        <v>53</v>
      </c>
      <c r="C99" s="12">
        <v>5009329531</v>
      </c>
      <c r="D99" s="11" t="s">
        <v>389</v>
      </c>
      <c r="E99" s="11" t="s">
        <v>55</v>
      </c>
      <c r="F99" s="11" t="s">
        <v>390</v>
      </c>
      <c r="G99" s="11" t="s">
        <v>391</v>
      </c>
      <c r="H99" s="11" t="s">
        <v>173</v>
      </c>
      <c r="I99" s="11">
        <v>98057</v>
      </c>
      <c r="J99" s="11" t="s">
        <v>80</v>
      </c>
      <c r="K99" s="11"/>
      <c r="L99" s="11"/>
      <c r="M99" s="11"/>
      <c r="N99" s="11"/>
      <c r="O99" s="13">
        <v>4801</v>
      </c>
      <c r="P99" s="13">
        <v>4801</v>
      </c>
      <c r="Q99" s="13">
        <v>0</v>
      </c>
      <c r="R99" s="13">
        <v>155028.1441</v>
      </c>
      <c r="S99" s="13">
        <v>7258.9452999999994</v>
      </c>
      <c r="T99" s="13">
        <v>147769.19880000001</v>
      </c>
      <c r="U99" s="13">
        <v>342</v>
      </c>
      <c r="V99" s="13">
        <v>342</v>
      </c>
      <c r="W99" s="13">
        <v>0</v>
      </c>
      <c r="X99" s="13">
        <v>10497.697699999999</v>
      </c>
      <c r="Y99" s="13">
        <v>487.60579999999999</v>
      </c>
      <c r="Z99" s="13">
        <v>10010.091899999999</v>
      </c>
      <c r="AA99" s="13">
        <v>432</v>
      </c>
      <c r="AB99" s="13">
        <v>432</v>
      </c>
      <c r="AC99" s="13">
        <v>0</v>
      </c>
      <c r="AD99" s="13">
        <v>12677.310100000001</v>
      </c>
      <c r="AE99" s="13">
        <v>754.06870000000004</v>
      </c>
      <c r="AF99" s="13">
        <v>11923.241400000001</v>
      </c>
      <c r="AG99" s="13">
        <v>348</v>
      </c>
      <c r="AH99" s="13">
        <v>348</v>
      </c>
      <c r="AI99" s="13">
        <v>0</v>
      </c>
      <c r="AJ99" s="13">
        <v>10192.0391</v>
      </c>
      <c r="AK99" s="13">
        <v>539.8913</v>
      </c>
      <c r="AL99" s="13">
        <v>9652.1478000000006</v>
      </c>
      <c r="AM99" s="13">
        <v>424</v>
      </c>
      <c r="AN99" s="13">
        <v>424</v>
      </c>
      <c r="AO99" s="13">
        <v>0</v>
      </c>
      <c r="AP99" s="13">
        <v>11656.422199999999</v>
      </c>
      <c r="AQ99" s="13">
        <v>634.21249999999998</v>
      </c>
      <c r="AR99" s="13">
        <v>11022.209699999999</v>
      </c>
      <c r="AS99" s="13">
        <v>311</v>
      </c>
      <c r="AT99" s="13">
        <v>311</v>
      </c>
      <c r="AU99" s="13">
        <v>0</v>
      </c>
      <c r="AV99" s="13">
        <v>13380.971299999999</v>
      </c>
      <c r="AW99" s="13">
        <v>544.35529999999994</v>
      </c>
      <c r="AX99" s="13">
        <v>12836.616</v>
      </c>
      <c r="AY99" s="13">
        <v>344</v>
      </c>
      <c r="AZ99" s="13">
        <v>344</v>
      </c>
      <c r="BA99" s="13">
        <v>0</v>
      </c>
      <c r="BB99" s="13">
        <v>11207.4858</v>
      </c>
      <c r="BC99" s="13">
        <v>518.53440000000001</v>
      </c>
      <c r="BD99" s="13">
        <v>10688.9514</v>
      </c>
      <c r="BE99" s="13">
        <v>279</v>
      </c>
      <c r="BF99" s="13">
        <v>279</v>
      </c>
      <c r="BG99" s="13">
        <v>0</v>
      </c>
      <c r="BH99" s="13">
        <v>10243.768099999999</v>
      </c>
      <c r="BI99" s="13">
        <v>480.5342</v>
      </c>
      <c r="BJ99" s="13">
        <v>9763.2338999999993</v>
      </c>
      <c r="BK99" s="13">
        <v>428</v>
      </c>
      <c r="BL99" s="13">
        <v>428</v>
      </c>
      <c r="BM99" s="13">
        <v>0</v>
      </c>
      <c r="BN99" s="13">
        <v>13729.208199999999</v>
      </c>
      <c r="BO99" s="13">
        <v>633.3913</v>
      </c>
      <c r="BP99" s="13">
        <v>13095.8169</v>
      </c>
      <c r="BQ99" s="13">
        <v>385</v>
      </c>
      <c r="BR99" s="13">
        <v>385</v>
      </c>
      <c r="BS99" s="13">
        <v>0</v>
      </c>
      <c r="BT99" s="13">
        <v>12375.5468</v>
      </c>
      <c r="BU99" s="13">
        <v>563.39149999999995</v>
      </c>
      <c r="BV99" s="13">
        <v>11812.1553</v>
      </c>
      <c r="BW99" s="13">
        <v>335</v>
      </c>
      <c r="BX99" s="13">
        <v>335</v>
      </c>
      <c r="BY99" s="13">
        <v>0</v>
      </c>
      <c r="BZ99" s="13">
        <v>11137.350199999999</v>
      </c>
      <c r="CA99" s="13">
        <v>485.42750000000001</v>
      </c>
      <c r="CB99" s="13">
        <v>10651.922699999999</v>
      </c>
      <c r="CC99" s="13">
        <v>518</v>
      </c>
      <c r="CD99" s="13">
        <v>518</v>
      </c>
      <c r="CE99" s="13">
        <v>0</v>
      </c>
      <c r="CF99" s="13">
        <v>14434.618200000001</v>
      </c>
      <c r="CG99" s="13">
        <v>672.28469999999993</v>
      </c>
      <c r="CH99" s="13">
        <v>13762.333500000001</v>
      </c>
      <c r="CI99" s="13">
        <v>326</v>
      </c>
      <c r="CJ99" s="13">
        <v>326</v>
      </c>
      <c r="CK99" s="13">
        <v>0</v>
      </c>
      <c r="CL99" s="13">
        <v>12227.64</v>
      </c>
      <c r="CM99" s="13">
        <v>464.85630000000003</v>
      </c>
      <c r="CN99" s="13">
        <v>11762.7837</v>
      </c>
      <c r="CO99" s="13">
        <v>329</v>
      </c>
      <c r="CP99" s="13">
        <v>329</v>
      </c>
      <c r="CQ99" s="13">
        <v>0</v>
      </c>
      <c r="CR99" s="13">
        <v>11268.0864</v>
      </c>
      <c r="CS99" s="13">
        <v>480.39179999999999</v>
      </c>
      <c r="CT99" s="13">
        <v>10787.694600000001</v>
      </c>
      <c r="CU99" s="13">
        <f t="shared" si="8"/>
        <v>4459</v>
      </c>
      <c r="CV99" s="13">
        <f t="shared" si="8"/>
        <v>4459</v>
      </c>
      <c r="CW99" s="13">
        <f t="shared" si="8"/>
        <v>0</v>
      </c>
      <c r="CX99" s="13">
        <f t="shared" si="8"/>
        <v>144530.44639999999</v>
      </c>
      <c r="CY99" s="13">
        <f t="shared" si="8"/>
        <v>6771.3395</v>
      </c>
      <c r="CZ99" s="13">
        <f t="shared" si="8"/>
        <v>137759.10689999998</v>
      </c>
      <c r="DA99" s="13">
        <f t="shared" si="9"/>
        <v>1173</v>
      </c>
      <c r="DB99" s="13">
        <f t="shared" si="9"/>
        <v>1173</v>
      </c>
      <c r="DC99" s="13">
        <f t="shared" si="9"/>
        <v>0</v>
      </c>
      <c r="DD99" s="13">
        <f t="shared" si="9"/>
        <v>37930.344599999997</v>
      </c>
      <c r="DE99" s="13">
        <f t="shared" si="9"/>
        <v>1617.5328</v>
      </c>
      <c r="DF99" s="13">
        <f t="shared" si="9"/>
        <v>36312.811800000003</v>
      </c>
      <c r="DG99" s="13">
        <f t="shared" si="10"/>
        <v>1148</v>
      </c>
      <c r="DH99" s="13">
        <f t="shared" si="10"/>
        <v>1148</v>
      </c>
      <c r="DI99" s="13">
        <f t="shared" si="10"/>
        <v>0</v>
      </c>
      <c r="DJ99" s="13">
        <f t="shared" si="10"/>
        <v>37242.105199999998</v>
      </c>
      <c r="DK99" s="13">
        <f t="shared" si="10"/>
        <v>1682.2103</v>
      </c>
      <c r="DL99" s="13">
        <f t="shared" si="10"/>
        <v>35559.894899999999</v>
      </c>
      <c r="DM99" s="13">
        <f t="shared" si="11"/>
        <v>655</v>
      </c>
      <c r="DN99" s="13">
        <f t="shared" si="11"/>
        <v>655</v>
      </c>
      <c r="DO99" s="13">
        <f t="shared" si="11"/>
        <v>0</v>
      </c>
      <c r="DP99" s="13">
        <f t="shared" si="11"/>
        <v>23495.7264</v>
      </c>
      <c r="DQ99" s="13">
        <f t="shared" si="11"/>
        <v>945.24810000000002</v>
      </c>
      <c r="DR99" s="13">
        <f t="shared" si="11"/>
        <v>22550.478300000002</v>
      </c>
      <c r="DS99" s="14" t="s">
        <v>71</v>
      </c>
      <c r="DT99" s="14" t="s">
        <v>125</v>
      </c>
      <c r="DU99" s="14" t="s">
        <v>62</v>
      </c>
      <c r="DV99" s="14" t="s">
        <v>82</v>
      </c>
      <c r="DW99" s="14" t="s">
        <v>64</v>
      </c>
    </row>
    <row r="100" spans="2:127" x14ac:dyDescent="0.3">
      <c r="B100" s="11" t="s">
        <v>65</v>
      </c>
      <c r="C100" s="12">
        <v>5010908307</v>
      </c>
      <c r="D100" s="11" t="s">
        <v>392</v>
      </c>
      <c r="E100" s="11" t="s">
        <v>55</v>
      </c>
      <c r="F100" s="11" t="s">
        <v>393</v>
      </c>
      <c r="G100" s="11" t="s">
        <v>260</v>
      </c>
      <c r="H100" s="11" t="s">
        <v>216</v>
      </c>
      <c r="I100" s="11">
        <v>43214</v>
      </c>
      <c r="J100" s="11" t="s">
        <v>109</v>
      </c>
      <c r="K100" s="11"/>
      <c r="L100" s="11"/>
      <c r="M100" s="11"/>
      <c r="N100" s="11"/>
      <c r="O100" s="13">
        <v>593</v>
      </c>
      <c r="P100" s="13">
        <v>593</v>
      </c>
      <c r="Q100" s="13">
        <v>0</v>
      </c>
      <c r="R100" s="13">
        <v>10701.8351</v>
      </c>
      <c r="S100" s="13">
        <v>593</v>
      </c>
      <c r="T100" s="13">
        <v>10108.8351</v>
      </c>
      <c r="U100" s="13">
        <v>9</v>
      </c>
      <c r="V100" s="13">
        <v>9</v>
      </c>
      <c r="W100" s="13">
        <v>0</v>
      </c>
      <c r="X100" s="13">
        <v>749.57399999999996</v>
      </c>
      <c r="Y100" s="13">
        <v>9</v>
      </c>
      <c r="Z100" s="13">
        <v>740.57399999999996</v>
      </c>
      <c r="AA100" s="13">
        <v>13</v>
      </c>
      <c r="AB100" s="13">
        <v>13</v>
      </c>
      <c r="AC100" s="13">
        <v>0</v>
      </c>
      <c r="AD100" s="13">
        <v>839.97429999999997</v>
      </c>
      <c r="AE100" s="13">
        <v>13</v>
      </c>
      <c r="AF100" s="13">
        <v>826.97429999999997</v>
      </c>
      <c r="AG100" s="13">
        <v>61</v>
      </c>
      <c r="AH100" s="13">
        <v>61</v>
      </c>
      <c r="AI100" s="13">
        <v>0</v>
      </c>
      <c r="AJ100" s="13">
        <v>850.94560000000001</v>
      </c>
      <c r="AK100" s="13">
        <v>61</v>
      </c>
      <c r="AL100" s="13">
        <v>789.94560000000001</v>
      </c>
      <c r="AM100" s="13">
        <v>54</v>
      </c>
      <c r="AN100" s="13">
        <v>54</v>
      </c>
      <c r="AO100" s="13">
        <v>0</v>
      </c>
      <c r="AP100" s="13">
        <v>1078.4607000000001</v>
      </c>
      <c r="AQ100" s="13">
        <v>54</v>
      </c>
      <c r="AR100" s="13">
        <v>1024.4607000000001</v>
      </c>
      <c r="AS100" s="13">
        <v>64</v>
      </c>
      <c r="AT100" s="13">
        <v>64</v>
      </c>
      <c r="AU100" s="13">
        <v>0</v>
      </c>
      <c r="AV100" s="13">
        <v>1063.7748999999999</v>
      </c>
      <c r="AW100" s="13">
        <v>64</v>
      </c>
      <c r="AX100" s="13">
        <v>999.7749</v>
      </c>
      <c r="AY100" s="13">
        <v>46</v>
      </c>
      <c r="AZ100" s="13">
        <v>46</v>
      </c>
      <c r="BA100" s="13">
        <v>0</v>
      </c>
      <c r="BB100" s="13">
        <v>675.48789999999997</v>
      </c>
      <c r="BC100" s="13">
        <v>46</v>
      </c>
      <c r="BD100" s="13">
        <v>629.48789999999997</v>
      </c>
      <c r="BE100" s="13">
        <v>53</v>
      </c>
      <c r="BF100" s="13">
        <v>53</v>
      </c>
      <c r="BG100" s="13">
        <v>0</v>
      </c>
      <c r="BH100" s="13">
        <v>756.5453</v>
      </c>
      <c r="BI100" s="13">
        <v>53</v>
      </c>
      <c r="BJ100" s="13">
        <v>703.5453</v>
      </c>
      <c r="BK100" s="13">
        <v>46</v>
      </c>
      <c r="BL100" s="13">
        <v>46</v>
      </c>
      <c r="BM100" s="13">
        <v>0</v>
      </c>
      <c r="BN100" s="13">
        <v>885.31719999999996</v>
      </c>
      <c r="BO100" s="13">
        <v>46</v>
      </c>
      <c r="BP100" s="13">
        <v>839.31719999999996</v>
      </c>
      <c r="BQ100" s="13">
        <v>47</v>
      </c>
      <c r="BR100" s="13">
        <v>47</v>
      </c>
      <c r="BS100" s="13">
        <v>0</v>
      </c>
      <c r="BT100" s="13">
        <v>750.5453</v>
      </c>
      <c r="BU100" s="13">
        <v>47</v>
      </c>
      <c r="BV100" s="13">
        <v>703.5453</v>
      </c>
      <c r="BW100" s="13">
        <v>47</v>
      </c>
      <c r="BX100" s="13">
        <v>47</v>
      </c>
      <c r="BY100" s="13">
        <v>0</v>
      </c>
      <c r="BZ100" s="13">
        <v>713.51660000000004</v>
      </c>
      <c r="CA100" s="13">
        <v>47</v>
      </c>
      <c r="CB100" s="13">
        <v>666.51660000000004</v>
      </c>
      <c r="CC100" s="13">
        <v>83</v>
      </c>
      <c r="CD100" s="13">
        <v>83</v>
      </c>
      <c r="CE100" s="13">
        <v>0</v>
      </c>
      <c r="CF100" s="13">
        <v>1070.432</v>
      </c>
      <c r="CG100" s="13">
        <v>83</v>
      </c>
      <c r="CH100" s="13">
        <v>987.43200000000002</v>
      </c>
      <c r="CI100" s="13">
        <v>31</v>
      </c>
      <c r="CJ100" s="13">
        <v>31</v>
      </c>
      <c r="CK100" s="13">
        <v>0</v>
      </c>
      <c r="CL100" s="13">
        <v>598.77340000000004</v>
      </c>
      <c r="CM100" s="13">
        <v>31</v>
      </c>
      <c r="CN100" s="13">
        <v>567.77340000000004</v>
      </c>
      <c r="CO100" s="13">
        <v>39</v>
      </c>
      <c r="CP100" s="13">
        <v>39</v>
      </c>
      <c r="CQ100" s="13">
        <v>0</v>
      </c>
      <c r="CR100" s="13">
        <v>668.48789999999997</v>
      </c>
      <c r="CS100" s="13">
        <v>39</v>
      </c>
      <c r="CT100" s="13">
        <v>629.48789999999997</v>
      </c>
      <c r="CU100" s="13">
        <f t="shared" si="8"/>
        <v>584</v>
      </c>
      <c r="CV100" s="13">
        <f t="shared" si="8"/>
        <v>584</v>
      </c>
      <c r="CW100" s="13">
        <f t="shared" si="8"/>
        <v>0</v>
      </c>
      <c r="CX100" s="13">
        <f t="shared" si="8"/>
        <v>9952.2610999999997</v>
      </c>
      <c r="CY100" s="13">
        <f t="shared" si="8"/>
        <v>584</v>
      </c>
      <c r="CZ100" s="13">
        <f t="shared" si="8"/>
        <v>9368.2610999999997</v>
      </c>
      <c r="DA100" s="13">
        <f t="shared" si="9"/>
        <v>153</v>
      </c>
      <c r="DB100" s="13">
        <f t="shared" si="9"/>
        <v>153</v>
      </c>
      <c r="DC100" s="13">
        <f t="shared" si="9"/>
        <v>0</v>
      </c>
      <c r="DD100" s="13">
        <f t="shared" si="9"/>
        <v>2337.6932999999999</v>
      </c>
      <c r="DE100" s="13">
        <f t="shared" si="9"/>
        <v>153</v>
      </c>
      <c r="DF100" s="13">
        <f t="shared" si="9"/>
        <v>2184.6932999999999</v>
      </c>
      <c r="DG100" s="13">
        <f t="shared" si="10"/>
        <v>140</v>
      </c>
      <c r="DH100" s="13">
        <f t="shared" si="10"/>
        <v>140</v>
      </c>
      <c r="DI100" s="13">
        <f t="shared" si="10"/>
        <v>0</v>
      </c>
      <c r="DJ100" s="13">
        <f t="shared" si="10"/>
        <v>2349.3791000000001</v>
      </c>
      <c r="DK100" s="13">
        <f t="shared" si="10"/>
        <v>140</v>
      </c>
      <c r="DL100" s="13">
        <f t="shared" si="10"/>
        <v>2209.3791000000001</v>
      </c>
      <c r="DM100" s="13">
        <f t="shared" si="11"/>
        <v>70</v>
      </c>
      <c r="DN100" s="13">
        <f t="shared" si="11"/>
        <v>70</v>
      </c>
      <c r="DO100" s="13">
        <f t="shared" si="11"/>
        <v>0</v>
      </c>
      <c r="DP100" s="13">
        <f t="shared" si="11"/>
        <v>1267.2613000000001</v>
      </c>
      <c r="DQ100" s="13">
        <f t="shared" si="11"/>
        <v>70</v>
      </c>
      <c r="DR100" s="13">
        <f t="shared" si="11"/>
        <v>1197.2613000000001</v>
      </c>
      <c r="DS100" s="14" t="s">
        <v>60</v>
      </c>
      <c r="DT100" s="14" t="s">
        <v>81</v>
      </c>
      <c r="DU100" s="14" t="s">
        <v>73</v>
      </c>
      <c r="DV100" s="14" t="s">
        <v>63</v>
      </c>
      <c r="DW100" s="14" t="s">
        <v>64</v>
      </c>
    </row>
    <row r="101" spans="2:127" x14ac:dyDescent="0.3">
      <c r="B101" s="11" t="s">
        <v>75</v>
      </c>
      <c r="C101" s="14">
        <v>5001337620</v>
      </c>
      <c r="D101" s="11" t="s">
        <v>394</v>
      </c>
      <c r="E101" s="11" t="s">
        <v>395</v>
      </c>
      <c r="F101" s="11" t="s">
        <v>396</v>
      </c>
      <c r="G101" s="11" t="s">
        <v>397</v>
      </c>
      <c r="H101" s="11" t="s">
        <v>120</v>
      </c>
      <c r="I101" s="11">
        <v>38501</v>
      </c>
      <c r="J101" s="11" t="s">
        <v>80</v>
      </c>
      <c r="K101" s="11"/>
      <c r="L101" s="11"/>
      <c r="M101" s="11"/>
      <c r="N101" s="11"/>
      <c r="O101" s="13">
        <v>0</v>
      </c>
      <c r="P101" s="13">
        <v>0</v>
      </c>
      <c r="Q101" s="13">
        <v>0</v>
      </c>
      <c r="R101" s="13">
        <v>5033.973</v>
      </c>
      <c r="S101" s="13">
        <v>121.4988</v>
      </c>
      <c r="T101" s="13">
        <v>4912.4741999999997</v>
      </c>
      <c r="U101" s="13">
        <v>0</v>
      </c>
      <c r="V101" s="13">
        <v>0</v>
      </c>
      <c r="W101" s="13">
        <v>0</v>
      </c>
      <c r="X101" s="13">
        <v>308.57249999999999</v>
      </c>
      <c r="Y101" s="13">
        <v>0</v>
      </c>
      <c r="Z101" s="13">
        <v>308.57249999999999</v>
      </c>
      <c r="AA101" s="13">
        <v>0</v>
      </c>
      <c r="AB101" s="13">
        <v>0</v>
      </c>
      <c r="AC101" s="13">
        <v>0</v>
      </c>
      <c r="AD101" s="13">
        <v>463.62990000000002</v>
      </c>
      <c r="AE101" s="13">
        <v>19.285499999999999</v>
      </c>
      <c r="AF101" s="13">
        <v>444.34440000000001</v>
      </c>
      <c r="AG101" s="13">
        <v>0</v>
      </c>
      <c r="AH101" s="13">
        <v>0</v>
      </c>
      <c r="AI101" s="13">
        <v>0</v>
      </c>
      <c r="AJ101" s="13">
        <v>423.51569999999998</v>
      </c>
      <c r="AK101" s="13">
        <v>3.8571</v>
      </c>
      <c r="AL101" s="13">
        <v>419.65859999999998</v>
      </c>
      <c r="AM101" s="13">
        <v>0</v>
      </c>
      <c r="AN101" s="13">
        <v>0</v>
      </c>
      <c r="AO101" s="13">
        <v>0</v>
      </c>
      <c r="AP101" s="13">
        <v>394.39389999999997</v>
      </c>
      <c r="AQ101" s="13">
        <v>24.1069</v>
      </c>
      <c r="AR101" s="13">
        <v>370.28699999999998</v>
      </c>
      <c r="AS101" s="13">
        <v>0</v>
      </c>
      <c r="AT101" s="13">
        <v>0</v>
      </c>
      <c r="AU101" s="13">
        <v>0</v>
      </c>
      <c r="AV101" s="13">
        <v>296.42230000000001</v>
      </c>
      <c r="AW101" s="13">
        <v>12.535600000000001</v>
      </c>
      <c r="AX101" s="13">
        <v>283.88670000000002</v>
      </c>
      <c r="AY101" s="13">
        <v>0</v>
      </c>
      <c r="AZ101" s="13">
        <v>0</v>
      </c>
      <c r="BA101" s="13">
        <v>0</v>
      </c>
      <c r="BB101" s="13">
        <v>444.53710000000001</v>
      </c>
      <c r="BC101" s="13">
        <v>12.535600000000001</v>
      </c>
      <c r="BD101" s="13">
        <v>432.00150000000002</v>
      </c>
      <c r="BE101" s="13">
        <v>0</v>
      </c>
      <c r="BF101" s="13">
        <v>0</v>
      </c>
      <c r="BG101" s="13">
        <v>0</v>
      </c>
      <c r="BH101" s="13">
        <v>345.60120000000001</v>
      </c>
      <c r="BI101" s="13">
        <v>0</v>
      </c>
      <c r="BJ101" s="13">
        <v>345.60120000000001</v>
      </c>
      <c r="BK101" s="13">
        <v>0</v>
      </c>
      <c r="BL101" s="13">
        <v>0</v>
      </c>
      <c r="BM101" s="13">
        <v>0</v>
      </c>
      <c r="BN101" s="13">
        <v>665.93769999999995</v>
      </c>
      <c r="BO101" s="13">
        <v>24.1069</v>
      </c>
      <c r="BP101" s="13">
        <v>641.83079999999995</v>
      </c>
      <c r="BQ101" s="13">
        <v>0</v>
      </c>
      <c r="BR101" s="13">
        <v>0</v>
      </c>
      <c r="BS101" s="13">
        <v>0</v>
      </c>
      <c r="BT101" s="13">
        <v>432.19419999999997</v>
      </c>
      <c r="BU101" s="13">
        <v>12.535600000000001</v>
      </c>
      <c r="BV101" s="13">
        <v>419.65859999999998</v>
      </c>
      <c r="BW101" s="13">
        <v>0</v>
      </c>
      <c r="BX101" s="13">
        <v>0</v>
      </c>
      <c r="BY101" s="13">
        <v>0</v>
      </c>
      <c r="BZ101" s="13">
        <v>296.2296</v>
      </c>
      <c r="CA101" s="13">
        <v>0</v>
      </c>
      <c r="CB101" s="13">
        <v>296.2296</v>
      </c>
      <c r="CC101" s="13">
        <v>0</v>
      </c>
      <c r="CD101" s="13">
        <v>0</v>
      </c>
      <c r="CE101" s="13">
        <v>0</v>
      </c>
      <c r="CF101" s="13">
        <v>469.22289999999998</v>
      </c>
      <c r="CG101" s="13">
        <v>12.535600000000001</v>
      </c>
      <c r="CH101" s="13">
        <v>456.68729999999999</v>
      </c>
      <c r="CI101" s="13">
        <v>0</v>
      </c>
      <c r="CJ101" s="13">
        <v>0</v>
      </c>
      <c r="CK101" s="13">
        <v>0</v>
      </c>
      <c r="CL101" s="13">
        <v>246.858</v>
      </c>
      <c r="CM101" s="13">
        <v>0</v>
      </c>
      <c r="CN101" s="13">
        <v>246.858</v>
      </c>
      <c r="CO101" s="13">
        <v>0</v>
      </c>
      <c r="CP101" s="13">
        <v>0</v>
      </c>
      <c r="CQ101" s="13">
        <v>0</v>
      </c>
      <c r="CR101" s="13">
        <v>246.858</v>
      </c>
      <c r="CS101" s="13">
        <v>0</v>
      </c>
      <c r="CT101" s="13">
        <v>246.858</v>
      </c>
      <c r="CU101" s="13">
        <f t="shared" si="8"/>
        <v>0</v>
      </c>
      <c r="CV101" s="13">
        <f t="shared" si="8"/>
        <v>0</v>
      </c>
      <c r="CW101" s="13">
        <f t="shared" si="8"/>
        <v>0</v>
      </c>
      <c r="CX101" s="13">
        <f t="shared" si="8"/>
        <v>4725.4005000000006</v>
      </c>
      <c r="CY101" s="13">
        <f t="shared" si="8"/>
        <v>121.4988</v>
      </c>
      <c r="CZ101" s="13">
        <f t="shared" si="8"/>
        <v>4603.9017000000003</v>
      </c>
      <c r="DA101" s="13">
        <f t="shared" si="9"/>
        <v>0</v>
      </c>
      <c r="DB101" s="13">
        <f t="shared" si="9"/>
        <v>0</v>
      </c>
      <c r="DC101" s="13">
        <f t="shared" si="9"/>
        <v>0</v>
      </c>
      <c r="DD101" s="13">
        <f t="shared" si="9"/>
        <v>962.93889999999988</v>
      </c>
      <c r="DE101" s="13">
        <f t="shared" si="9"/>
        <v>12.535600000000001</v>
      </c>
      <c r="DF101" s="13">
        <f t="shared" si="9"/>
        <v>950.40329999999994</v>
      </c>
      <c r="DG101" s="13">
        <f t="shared" si="10"/>
        <v>0</v>
      </c>
      <c r="DH101" s="13">
        <f t="shared" si="10"/>
        <v>0</v>
      </c>
      <c r="DI101" s="13">
        <f t="shared" si="10"/>
        <v>0</v>
      </c>
      <c r="DJ101" s="13">
        <f t="shared" si="10"/>
        <v>1394.3615</v>
      </c>
      <c r="DK101" s="13">
        <f t="shared" si="10"/>
        <v>36.642499999999998</v>
      </c>
      <c r="DL101" s="13">
        <f t="shared" si="10"/>
        <v>1357.7190000000001</v>
      </c>
      <c r="DM101" s="13">
        <f t="shared" si="11"/>
        <v>0</v>
      </c>
      <c r="DN101" s="13">
        <f t="shared" si="11"/>
        <v>0</v>
      </c>
      <c r="DO101" s="13">
        <f t="shared" si="11"/>
        <v>0</v>
      </c>
      <c r="DP101" s="13">
        <f t="shared" si="11"/>
        <v>493.71600000000001</v>
      </c>
      <c r="DQ101" s="13">
        <f t="shared" si="11"/>
        <v>0</v>
      </c>
      <c r="DR101" s="13">
        <f t="shared" si="11"/>
        <v>493.71600000000001</v>
      </c>
      <c r="DS101" s="14" t="s">
        <v>60</v>
      </c>
      <c r="DT101" s="14" t="s">
        <v>81</v>
      </c>
      <c r="DU101" s="14" t="s">
        <v>73</v>
      </c>
      <c r="DV101" s="14" t="s">
        <v>97</v>
      </c>
      <c r="DW101" s="14" t="s">
        <v>126</v>
      </c>
    </row>
    <row r="102" spans="2:127" x14ac:dyDescent="0.3">
      <c r="B102" s="11" t="s">
        <v>53</v>
      </c>
      <c r="C102" s="14">
        <v>5001338436</v>
      </c>
      <c r="D102" s="11" t="s">
        <v>398</v>
      </c>
      <c r="E102" s="11" t="s">
        <v>395</v>
      </c>
      <c r="F102" s="11" t="s">
        <v>399</v>
      </c>
      <c r="G102" s="11" t="s">
        <v>400</v>
      </c>
      <c r="H102" s="11" t="s">
        <v>58</v>
      </c>
      <c r="I102" s="11">
        <v>93291</v>
      </c>
      <c r="J102" s="11" t="s">
        <v>80</v>
      </c>
      <c r="K102" s="11"/>
      <c r="L102" s="11"/>
      <c r="M102" s="11"/>
      <c r="N102" s="11"/>
      <c r="O102" s="13">
        <v>82</v>
      </c>
      <c r="P102" s="13">
        <v>82</v>
      </c>
      <c r="Q102" s="13">
        <v>0</v>
      </c>
      <c r="R102" s="13">
        <v>8232.5506000000005</v>
      </c>
      <c r="S102" s="13">
        <v>728.06740000000002</v>
      </c>
      <c r="T102" s="13">
        <v>7504.4831999999997</v>
      </c>
      <c r="U102" s="13">
        <v>0</v>
      </c>
      <c r="V102" s="13">
        <v>0</v>
      </c>
      <c r="W102" s="13">
        <v>0</v>
      </c>
      <c r="X102" s="13">
        <v>570.66549999999995</v>
      </c>
      <c r="Y102" s="13">
        <v>64.6066</v>
      </c>
      <c r="Z102" s="13">
        <v>506.05889999999999</v>
      </c>
      <c r="AA102" s="13">
        <v>0</v>
      </c>
      <c r="AB102" s="13">
        <v>0</v>
      </c>
      <c r="AC102" s="13">
        <v>0</v>
      </c>
      <c r="AD102" s="13">
        <v>519.17279999999994</v>
      </c>
      <c r="AE102" s="13">
        <v>50.142600000000002</v>
      </c>
      <c r="AF102" s="13">
        <v>469.03019999999998</v>
      </c>
      <c r="AG102" s="13">
        <v>0</v>
      </c>
      <c r="AH102" s="13">
        <v>0</v>
      </c>
      <c r="AI102" s="13">
        <v>0</v>
      </c>
      <c r="AJ102" s="13">
        <v>551.57280000000003</v>
      </c>
      <c r="AK102" s="13">
        <v>57.8568</v>
      </c>
      <c r="AL102" s="13">
        <v>493.71600000000001</v>
      </c>
      <c r="AM102" s="13">
        <v>0</v>
      </c>
      <c r="AN102" s="13">
        <v>0</v>
      </c>
      <c r="AO102" s="13">
        <v>0</v>
      </c>
      <c r="AP102" s="13">
        <v>533.63689999999997</v>
      </c>
      <c r="AQ102" s="13">
        <v>64.606700000000004</v>
      </c>
      <c r="AR102" s="13">
        <v>469.03019999999998</v>
      </c>
      <c r="AS102" s="13">
        <v>0</v>
      </c>
      <c r="AT102" s="13">
        <v>0</v>
      </c>
      <c r="AU102" s="13">
        <v>0</v>
      </c>
      <c r="AV102" s="13">
        <v>729.19479999999999</v>
      </c>
      <c r="AW102" s="13">
        <v>62.678199999999997</v>
      </c>
      <c r="AX102" s="13">
        <v>666.51660000000004</v>
      </c>
      <c r="AY102" s="13">
        <v>0</v>
      </c>
      <c r="AZ102" s="13">
        <v>0</v>
      </c>
      <c r="BA102" s="13">
        <v>0</v>
      </c>
      <c r="BB102" s="13">
        <v>694.6735000000001</v>
      </c>
      <c r="BC102" s="13">
        <v>40.4998</v>
      </c>
      <c r="BD102" s="13">
        <v>654.17370000000005</v>
      </c>
      <c r="BE102" s="13">
        <v>0</v>
      </c>
      <c r="BF102" s="13">
        <v>0</v>
      </c>
      <c r="BG102" s="13">
        <v>0</v>
      </c>
      <c r="BH102" s="13">
        <v>572.20869999999991</v>
      </c>
      <c r="BI102" s="13">
        <v>41.463999999999999</v>
      </c>
      <c r="BJ102" s="13">
        <v>530.74469999999997</v>
      </c>
      <c r="BK102" s="13">
        <v>0</v>
      </c>
      <c r="BL102" s="13">
        <v>0</v>
      </c>
      <c r="BM102" s="13">
        <v>0</v>
      </c>
      <c r="BN102" s="13">
        <v>704.5089999999999</v>
      </c>
      <c r="BO102" s="13">
        <v>62.678199999999997</v>
      </c>
      <c r="BP102" s="13">
        <v>641.83079999999995</v>
      </c>
      <c r="BQ102" s="13">
        <v>0</v>
      </c>
      <c r="BR102" s="13">
        <v>0</v>
      </c>
      <c r="BS102" s="13">
        <v>0</v>
      </c>
      <c r="BT102" s="13">
        <v>605.38030000000003</v>
      </c>
      <c r="BU102" s="13">
        <v>37.606900000000003</v>
      </c>
      <c r="BV102" s="13">
        <v>567.77340000000004</v>
      </c>
      <c r="BW102" s="13">
        <v>2</v>
      </c>
      <c r="BX102" s="13">
        <v>2</v>
      </c>
      <c r="BY102" s="13">
        <v>0</v>
      </c>
      <c r="BZ102" s="13">
        <v>642.67319999999995</v>
      </c>
      <c r="CA102" s="13">
        <v>50.213999999999999</v>
      </c>
      <c r="CB102" s="13">
        <v>592.45920000000001</v>
      </c>
      <c r="CC102" s="13">
        <v>40</v>
      </c>
      <c r="CD102" s="13">
        <v>40</v>
      </c>
      <c r="CE102" s="13">
        <v>0</v>
      </c>
      <c r="CF102" s="13">
        <v>779.41640000000007</v>
      </c>
      <c r="CG102" s="13">
        <v>88.213999999999999</v>
      </c>
      <c r="CH102" s="13">
        <v>691.20240000000001</v>
      </c>
      <c r="CI102" s="13">
        <v>20</v>
      </c>
      <c r="CJ102" s="13">
        <v>20</v>
      </c>
      <c r="CK102" s="13">
        <v>0</v>
      </c>
      <c r="CL102" s="13">
        <v>646.20900000000006</v>
      </c>
      <c r="CM102" s="13">
        <v>53.7498</v>
      </c>
      <c r="CN102" s="13">
        <v>592.45920000000001</v>
      </c>
      <c r="CO102" s="13">
        <v>20</v>
      </c>
      <c r="CP102" s="13">
        <v>20</v>
      </c>
      <c r="CQ102" s="13">
        <v>0</v>
      </c>
      <c r="CR102" s="13">
        <v>683.23770000000002</v>
      </c>
      <c r="CS102" s="13">
        <v>53.7498</v>
      </c>
      <c r="CT102" s="13">
        <v>629.48789999999997</v>
      </c>
      <c r="CU102" s="13">
        <f t="shared" si="8"/>
        <v>82</v>
      </c>
      <c r="CV102" s="13">
        <f t="shared" si="8"/>
        <v>82</v>
      </c>
      <c r="CW102" s="13">
        <f t="shared" si="8"/>
        <v>0</v>
      </c>
      <c r="CX102" s="13">
        <f t="shared" si="8"/>
        <v>7661.8850999999995</v>
      </c>
      <c r="CY102" s="13">
        <f t="shared" si="8"/>
        <v>663.46080000000006</v>
      </c>
      <c r="CZ102" s="13">
        <f t="shared" si="8"/>
        <v>6998.4243000000006</v>
      </c>
      <c r="DA102" s="13">
        <f t="shared" si="9"/>
        <v>80</v>
      </c>
      <c r="DB102" s="13">
        <f t="shared" si="9"/>
        <v>80</v>
      </c>
      <c r="DC102" s="13">
        <f t="shared" si="9"/>
        <v>0</v>
      </c>
      <c r="DD102" s="13">
        <f t="shared" si="9"/>
        <v>2108.8631</v>
      </c>
      <c r="DE102" s="13">
        <f t="shared" si="9"/>
        <v>195.71359999999999</v>
      </c>
      <c r="DF102" s="13">
        <f t="shared" si="9"/>
        <v>1913.1495</v>
      </c>
      <c r="DG102" s="13">
        <f t="shared" si="10"/>
        <v>2</v>
      </c>
      <c r="DH102" s="13">
        <f t="shared" si="10"/>
        <v>2</v>
      </c>
      <c r="DI102" s="13">
        <f t="shared" si="10"/>
        <v>0</v>
      </c>
      <c r="DJ102" s="13">
        <f t="shared" si="10"/>
        <v>1952.5624999999998</v>
      </c>
      <c r="DK102" s="13">
        <f t="shared" si="10"/>
        <v>150.4991</v>
      </c>
      <c r="DL102" s="13">
        <f t="shared" si="10"/>
        <v>1802.0634</v>
      </c>
      <c r="DM102" s="13">
        <f t="shared" si="11"/>
        <v>40</v>
      </c>
      <c r="DN102" s="13">
        <f t="shared" si="11"/>
        <v>40</v>
      </c>
      <c r="DO102" s="13">
        <f t="shared" si="11"/>
        <v>0</v>
      </c>
      <c r="DP102" s="13">
        <f t="shared" si="11"/>
        <v>1329.4467</v>
      </c>
      <c r="DQ102" s="13">
        <f t="shared" si="11"/>
        <v>107.4996</v>
      </c>
      <c r="DR102" s="13">
        <f t="shared" si="11"/>
        <v>1221.9470999999999</v>
      </c>
      <c r="DS102" s="14" t="s">
        <v>60</v>
      </c>
      <c r="DT102" s="14" t="s">
        <v>81</v>
      </c>
      <c r="DU102" s="14" t="s">
        <v>73</v>
      </c>
      <c r="DV102" s="14" t="s">
        <v>82</v>
      </c>
      <c r="DW102" s="14" t="s">
        <v>74</v>
      </c>
    </row>
    <row r="103" spans="2:127" x14ac:dyDescent="0.3">
      <c r="B103" s="11" t="s">
        <v>75</v>
      </c>
      <c r="C103" s="14">
        <v>5001338541</v>
      </c>
      <c r="D103" s="11" t="s">
        <v>401</v>
      </c>
      <c r="E103" s="11" t="s">
        <v>395</v>
      </c>
      <c r="F103" s="11" t="s">
        <v>402</v>
      </c>
      <c r="G103" s="11" t="s">
        <v>403</v>
      </c>
      <c r="H103" s="11" t="s">
        <v>104</v>
      </c>
      <c r="I103" s="11">
        <v>32901</v>
      </c>
      <c r="J103" s="11" t="s">
        <v>70</v>
      </c>
      <c r="K103" s="11"/>
      <c r="L103" s="11"/>
      <c r="M103" s="11"/>
      <c r="N103" s="11"/>
      <c r="O103" s="13">
        <v>517</v>
      </c>
      <c r="P103" s="13">
        <v>517</v>
      </c>
      <c r="Q103" s="13">
        <v>0</v>
      </c>
      <c r="R103" s="13">
        <v>13723.903</v>
      </c>
      <c r="S103" s="13">
        <v>517</v>
      </c>
      <c r="T103" s="13">
        <v>13206.903</v>
      </c>
      <c r="U103" s="13">
        <v>5</v>
      </c>
      <c r="V103" s="13">
        <v>5</v>
      </c>
      <c r="W103" s="13">
        <v>0</v>
      </c>
      <c r="X103" s="13">
        <v>696.20240000000001</v>
      </c>
      <c r="Y103" s="13">
        <v>5</v>
      </c>
      <c r="Z103" s="13">
        <v>691.20240000000001</v>
      </c>
      <c r="AA103" s="13">
        <v>24</v>
      </c>
      <c r="AB103" s="13">
        <v>24</v>
      </c>
      <c r="AC103" s="13">
        <v>0</v>
      </c>
      <c r="AD103" s="13">
        <v>962.06039999999996</v>
      </c>
      <c r="AE103" s="13">
        <v>24</v>
      </c>
      <c r="AF103" s="13">
        <v>938.06039999999996</v>
      </c>
      <c r="AG103" s="13">
        <v>29</v>
      </c>
      <c r="AH103" s="13">
        <v>29</v>
      </c>
      <c r="AI103" s="13">
        <v>0</v>
      </c>
      <c r="AJ103" s="13">
        <v>1004.0891</v>
      </c>
      <c r="AK103" s="13">
        <v>29</v>
      </c>
      <c r="AL103" s="13">
        <v>975.08910000000003</v>
      </c>
      <c r="AM103" s="13">
        <v>20</v>
      </c>
      <c r="AN103" s="13">
        <v>20</v>
      </c>
      <c r="AO103" s="13">
        <v>0</v>
      </c>
      <c r="AP103" s="13">
        <v>1192.5754999999999</v>
      </c>
      <c r="AQ103" s="13">
        <v>20</v>
      </c>
      <c r="AR103" s="13">
        <v>1172.5754999999999</v>
      </c>
      <c r="AS103" s="13">
        <v>78</v>
      </c>
      <c r="AT103" s="13">
        <v>78</v>
      </c>
      <c r="AU103" s="13">
        <v>0</v>
      </c>
      <c r="AV103" s="13">
        <v>1398.6903</v>
      </c>
      <c r="AW103" s="13">
        <v>78</v>
      </c>
      <c r="AX103" s="13">
        <v>1320.6903</v>
      </c>
      <c r="AY103" s="13">
        <v>20</v>
      </c>
      <c r="AZ103" s="13">
        <v>20</v>
      </c>
      <c r="BA103" s="13">
        <v>0</v>
      </c>
      <c r="BB103" s="13">
        <v>1093.8323</v>
      </c>
      <c r="BC103" s="13">
        <v>20</v>
      </c>
      <c r="BD103" s="13">
        <v>1073.8323</v>
      </c>
      <c r="BE103" s="13">
        <v>41</v>
      </c>
      <c r="BF103" s="13">
        <v>41</v>
      </c>
      <c r="BG103" s="13">
        <v>0</v>
      </c>
      <c r="BH103" s="13">
        <v>1213.5754999999999</v>
      </c>
      <c r="BI103" s="13">
        <v>41</v>
      </c>
      <c r="BJ103" s="13">
        <v>1172.5754999999999</v>
      </c>
      <c r="BK103" s="13">
        <v>45</v>
      </c>
      <c r="BL103" s="13">
        <v>45</v>
      </c>
      <c r="BM103" s="13">
        <v>0</v>
      </c>
      <c r="BN103" s="13">
        <v>1427.4048</v>
      </c>
      <c r="BO103" s="13">
        <v>45</v>
      </c>
      <c r="BP103" s="13">
        <v>1382.4048</v>
      </c>
      <c r="BQ103" s="13">
        <v>49</v>
      </c>
      <c r="BR103" s="13">
        <v>49</v>
      </c>
      <c r="BS103" s="13">
        <v>0</v>
      </c>
      <c r="BT103" s="13">
        <v>999.40329999999994</v>
      </c>
      <c r="BU103" s="13">
        <v>49</v>
      </c>
      <c r="BV103" s="13">
        <v>950.40329999999994</v>
      </c>
      <c r="BW103" s="13">
        <v>49</v>
      </c>
      <c r="BX103" s="13">
        <v>49</v>
      </c>
      <c r="BY103" s="13">
        <v>0</v>
      </c>
      <c r="BZ103" s="13">
        <v>974.71749999999997</v>
      </c>
      <c r="CA103" s="13">
        <v>49</v>
      </c>
      <c r="CB103" s="13">
        <v>925.71749999999997</v>
      </c>
      <c r="CC103" s="13">
        <v>39</v>
      </c>
      <c r="CD103" s="13">
        <v>39</v>
      </c>
      <c r="CE103" s="13">
        <v>0</v>
      </c>
      <c r="CF103" s="13">
        <v>1236.2612999999999</v>
      </c>
      <c r="CG103" s="13">
        <v>39</v>
      </c>
      <c r="CH103" s="13">
        <v>1197.2612999999999</v>
      </c>
      <c r="CI103" s="13">
        <v>49</v>
      </c>
      <c r="CJ103" s="13">
        <v>49</v>
      </c>
      <c r="CK103" s="13">
        <v>0</v>
      </c>
      <c r="CL103" s="13">
        <v>579.74469999999997</v>
      </c>
      <c r="CM103" s="13">
        <v>49</v>
      </c>
      <c r="CN103" s="13">
        <v>530.74469999999997</v>
      </c>
      <c r="CO103" s="13">
        <v>69</v>
      </c>
      <c r="CP103" s="13">
        <v>69</v>
      </c>
      <c r="CQ103" s="13">
        <v>0</v>
      </c>
      <c r="CR103" s="13">
        <v>945.34590000000003</v>
      </c>
      <c r="CS103" s="13">
        <v>69</v>
      </c>
      <c r="CT103" s="13">
        <v>876.34590000000003</v>
      </c>
      <c r="CU103" s="13">
        <f t="shared" si="8"/>
        <v>512</v>
      </c>
      <c r="CV103" s="13">
        <f t="shared" si="8"/>
        <v>512</v>
      </c>
      <c r="CW103" s="13">
        <f t="shared" si="8"/>
        <v>0</v>
      </c>
      <c r="CX103" s="13">
        <f t="shared" si="8"/>
        <v>13027.7006</v>
      </c>
      <c r="CY103" s="13">
        <f t="shared" si="8"/>
        <v>512</v>
      </c>
      <c r="CZ103" s="13">
        <f t="shared" si="8"/>
        <v>12515.7006</v>
      </c>
      <c r="DA103" s="13">
        <f t="shared" si="9"/>
        <v>157</v>
      </c>
      <c r="DB103" s="13">
        <f t="shared" si="9"/>
        <v>157</v>
      </c>
      <c r="DC103" s="13">
        <f t="shared" si="9"/>
        <v>0</v>
      </c>
      <c r="DD103" s="13">
        <f t="shared" si="9"/>
        <v>2761.3518999999997</v>
      </c>
      <c r="DE103" s="13">
        <f t="shared" si="9"/>
        <v>157</v>
      </c>
      <c r="DF103" s="13">
        <f t="shared" si="9"/>
        <v>2604.3518999999997</v>
      </c>
      <c r="DG103" s="13">
        <f t="shared" si="10"/>
        <v>143</v>
      </c>
      <c r="DH103" s="13">
        <f t="shared" si="10"/>
        <v>143</v>
      </c>
      <c r="DI103" s="13">
        <f t="shared" si="10"/>
        <v>0</v>
      </c>
      <c r="DJ103" s="13">
        <f t="shared" si="10"/>
        <v>3401.5255999999999</v>
      </c>
      <c r="DK103" s="13">
        <f t="shared" si="10"/>
        <v>143</v>
      </c>
      <c r="DL103" s="13">
        <f t="shared" si="10"/>
        <v>3258.5255999999999</v>
      </c>
      <c r="DM103" s="13">
        <f t="shared" si="11"/>
        <v>118</v>
      </c>
      <c r="DN103" s="13">
        <f t="shared" si="11"/>
        <v>118</v>
      </c>
      <c r="DO103" s="13">
        <f t="shared" si="11"/>
        <v>0</v>
      </c>
      <c r="DP103" s="13">
        <f t="shared" si="11"/>
        <v>1525.0906</v>
      </c>
      <c r="DQ103" s="13">
        <f t="shared" si="11"/>
        <v>118</v>
      </c>
      <c r="DR103" s="13">
        <f t="shared" si="11"/>
        <v>1407.0906</v>
      </c>
      <c r="DS103" s="14" t="s">
        <v>60</v>
      </c>
      <c r="DT103" s="14" t="s">
        <v>125</v>
      </c>
      <c r="DU103" s="14" t="s">
        <v>73</v>
      </c>
      <c r="DV103" s="14" t="s">
        <v>63</v>
      </c>
      <c r="DW103" s="14" t="s">
        <v>74</v>
      </c>
    </row>
    <row r="104" spans="2:127" x14ac:dyDescent="0.3">
      <c r="B104" s="11" t="s">
        <v>65</v>
      </c>
      <c r="C104" s="14">
        <v>5001338548</v>
      </c>
      <c r="D104" s="11" t="s">
        <v>404</v>
      </c>
      <c r="E104" s="11" t="s">
        <v>395</v>
      </c>
      <c r="F104" s="11" t="s">
        <v>405</v>
      </c>
      <c r="G104" s="11" t="s">
        <v>406</v>
      </c>
      <c r="H104" s="11" t="s">
        <v>340</v>
      </c>
      <c r="I104" s="11">
        <v>8540</v>
      </c>
      <c r="J104" s="11" t="s">
        <v>109</v>
      </c>
      <c r="K104" s="11"/>
      <c r="L104" s="11"/>
      <c r="M104" s="11"/>
      <c r="N104" s="11"/>
      <c r="O104" s="13">
        <v>721</v>
      </c>
      <c r="P104" s="13">
        <v>721</v>
      </c>
      <c r="Q104" s="13">
        <v>0</v>
      </c>
      <c r="R104" s="13">
        <v>6572.2969000000003</v>
      </c>
      <c r="S104" s="13">
        <v>1511.7078999999999</v>
      </c>
      <c r="T104" s="13">
        <v>5060.5889999999999</v>
      </c>
      <c r="U104" s="13">
        <v>103</v>
      </c>
      <c r="V104" s="13">
        <v>103</v>
      </c>
      <c r="W104" s="13">
        <v>0</v>
      </c>
      <c r="X104" s="13">
        <v>612.3365</v>
      </c>
      <c r="Y104" s="13">
        <v>192.67789999999999</v>
      </c>
      <c r="Z104" s="13">
        <v>419.65859999999998</v>
      </c>
      <c r="AA104" s="13">
        <v>101</v>
      </c>
      <c r="AB104" s="13">
        <v>101</v>
      </c>
      <c r="AC104" s="13">
        <v>0</v>
      </c>
      <c r="AD104" s="13">
        <v>690.5655999999999</v>
      </c>
      <c r="AE104" s="13">
        <v>159.82089999999999</v>
      </c>
      <c r="AF104" s="13">
        <v>530.74469999999997</v>
      </c>
      <c r="AG104" s="13">
        <v>56</v>
      </c>
      <c r="AH104" s="13">
        <v>56</v>
      </c>
      <c r="AI104" s="13">
        <v>0</v>
      </c>
      <c r="AJ104" s="13">
        <v>398.90039999999999</v>
      </c>
      <c r="AK104" s="13">
        <v>127.3566</v>
      </c>
      <c r="AL104" s="13">
        <v>271.54379999999998</v>
      </c>
      <c r="AM104" s="13">
        <v>57</v>
      </c>
      <c r="AN104" s="13">
        <v>57</v>
      </c>
      <c r="AO104" s="13">
        <v>0</v>
      </c>
      <c r="AP104" s="13">
        <v>408.1934</v>
      </c>
      <c r="AQ104" s="13">
        <v>111.96379999999999</v>
      </c>
      <c r="AR104" s="13">
        <v>296.2296</v>
      </c>
      <c r="AS104" s="13">
        <v>28</v>
      </c>
      <c r="AT104" s="13">
        <v>28</v>
      </c>
      <c r="AU104" s="13">
        <v>0</v>
      </c>
      <c r="AV104" s="13">
        <v>543.89370000000008</v>
      </c>
      <c r="AW104" s="13">
        <v>111.8922</v>
      </c>
      <c r="AX104" s="13">
        <v>432.00150000000002</v>
      </c>
      <c r="AY104" s="13">
        <v>65</v>
      </c>
      <c r="AZ104" s="13">
        <v>65</v>
      </c>
      <c r="BA104" s="13">
        <v>0</v>
      </c>
      <c r="BB104" s="13">
        <v>481.95769999999999</v>
      </c>
      <c r="BC104" s="13">
        <v>136.35649999999998</v>
      </c>
      <c r="BD104" s="13">
        <v>345.60120000000001</v>
      </c>
      <c r="BE104" s="13">
        <v>52</v>
      </c>
      <c r="BF104" s="13">
        <v>52</v>
      </c>
      <c r="BG104" s="13">
        <v>0</v>
      </c>
      <c r="BH104" s="13">
        <v>467.99360000000001</v>
      </c>
      <c r="BI104" s="13">
        <v>122.39239999999999</v>
      </c>
      <c r="BJ104" s="13">
        <v>345.60120000000001</v>
      </c>
      <c r="BK104" s="13">
        <v>33</v>
      </c>
      <c r="BL104" s="13">
        <v>33</v>
      </c>
      <c r="BM104" s="13">
        <v>0</v>
      </c>
      <c r="BN104" s="13">
        <v>608.67960000000005</v>
      </c>
      <c r="BO104" s="13">
        <v>114.9636</v>
      </c>
      <c r="BP104" s="13">
        <v>493.71600000000001</v>
      </c>
      <c r="BQ104" s="13">
        <v>45</v>
      </c>
      <c r="BR104" s="13">
        <v>45</v>
      </c>
      <c r="BS104" s="13">
        <v>0</v>
      </c>
      <c r="BT104" s="13">
        <v>262.15729999999996</v>
      </c>
      <c r="BU104" s="13">
        <v>89.356699999999989</v>
      </c>
      <c r="BV104" s="13">
        <v>172.8006</v>
      </c>
      <c r="BW104" s="13">
        <v>51</v>
      </c>
      <c r="BX104" s="13">
        <v>51</v>
      </c>
      <c r="BY104" s="13">
        <v>0</v>
      </c>
      <c r="BZ104" s="13">
        <v>450.60079999999999</v>
      </c>
      <c r="CA104" s="13">
        <v>104.9996</v>
      </c>
      <c r="CB104" s="13">
        <v>345.60120000000001</v>
      </c>
      <c r="CC104" s="13">
        <v>45</v>
      </c>
      <c r="CD104" s="13">
        <v>45</v>
      </c>
      <c r="CE104" s="13">
        <v>0</v>
      </c>
      <c r="CF104" s="13">
        <v>552.79399999999998</v>
      </c>
      <c r="CG104" s="13">
        <v>96.106699999999989</v>
      </c>
      <c r="CH104" s="13">
        <v>456.68729999999999</v>
      </c>
      <c r="CI104" s="13">
        <v>39</v>
      </c>
      <c r="CJ104" s="13">
        <v>39</v>
      </c>
      <c r="CK104" s="13">
        <v>0</v>
      </c>
      <c r="CL104" s="13">
        <v>517.09410000000003</v>
      </c>
      <c r="CM104" s="13">
        <v>72.74969999999999</v>
      </c>
      <c r="CN104" s="13">
        <v>444.34440000000001</v>
      </c>
      <c r="CO104" s="13">
        <v>46</v>
      </c>
      <c r="CP104" s="13">
        <v>46</v>
      </c>
      <c r="CQ104" s="13">
        <v>0</v>
      </c>
      <c r="CR104" s="13">
        <v>577.13020000000006</v>
      </c>
      <c r="CS104" s="13">
        <v>71.071300000000008</v>
      </c>
      <c r="CT104" s="13">
        <v>506.05889999999999</v>
      </c>
      <c r="CU104" s="13">
        <f t="shared" si="8"/>
        <v>618</v>
      </c>
      <c r="CV104" s="13">
        <f t="shared" si="8"/>
        <v>618</v>
      </c>
      <c r="CW104" s="13">
        <f t="shared" si="8"/>
        <v>0</v>
      </c>
      <c r="CX104" s="13">
        <f t="shared" ref="CX104:CZ167" si="12">SUM(AD104,AJ104,AP104,AV104,BB104,BH104,BN104,BT104,BZ104,CF104,CL104,CR104)</f>
        <v>5959.9603999999999</v>
      </c>
      <c r="CY104" s="13">
        <f t="shared" si="12"/>
        <v>1319.0300000000002</v>
      </c>
      <c r="CZ104" s="13">
        <f t="shared" si="12"/>
        <v>4640.9304000000002</v>
      </c>
      <c r="DA104" s="13">
        <f t="shared" si="9"/>
        <v>130</v>
      </c>
      <c r="DB104" s="13">
        <f t="shared" si="9"/>
        <v>130</v>
      </c>
      <c r="DC104" s="13">
        <f t="shared" si="9"/>
        <v>0</v>
      </c>
      <c r="DD104" s="13">
        <f t="shared" ref="DD104:DF167" si="13">SUM(CF104,CL104,CR104)</f>
        <v>1647.0183000000002</v>
      </c>
      <c r="DE104" s="13">
        <f t="shared" si="13"/>
        <v>239.92769999999999</v>
      </c>
      <c r="DF104" s="13">
        <f t="shared" si="13"/>
        <v>1407.0906</v>
      </c>
      <c r="DG104" s="13">
        <f t="shared" si="10"/>
        <v>129</v>
      </c>
      <c r="DH104" s="13">
        <f t="shared" si="10"/>
        <v>129</v>
      </c>
      <c r="DI104" s="13">
        <f t="shared" si="10"/>
        <v>0</v>
      </c>
      <c r="DJ104" s="13">
        <f t="shared" ref="DJ104:DL167" si="14">SUM(BN104,BT104,BZ104)</f>
        <v>1321.4376999999999</v>
      </c>
      <c r="DK104" s="13">
        <f t="shared" si="14"/>
        <v>309.31989999999996</v>
      </c>
      <c r="DL104" s="13">
        <f t="shared" si="14"/>
        <v>1012.1178</v>
      </c>
      <c r="DM104" s="13">
        <f t="shared" si="11"/>
        <v>85</v>
      </c>
      <c r="DN104" s="13">
        <f t="shared" si="11"/>
        <v>85</v>
      </c>
      <c r="DO104" s="13">
        <f t="shared" si="11"/>
        <v>0</v>
      </c>
      <c r="DP104" s="13">
        <f t="shared" ref="DP104:DR167" si="15">SUM(CL104,CR104)</f>
        <v>1094.2243000000001</v>
      </c>
      <c r="DQ104" s="13">
        <f t="shared" si="15"/>
        <v>143.821</v>
      </c>
      <c r="DR104" s="13">
        <f t="shared" si="15"/>
        <v>950.40329999999994</v>
      </c>
      <c r="DS104" s="14" t="s">
        <v>60</v>
      </c>
      <c r="DT104" s="14" t="s">
        <v>81</v>
      </c>
      <c r="DU104" s="14" t="s">
        <v>73</v>
      </c>
      <c r="DV104" s="14" t="s">
        <v>63</v>
      </c>
      <c r="DW104" s="14" t="s">
        <v>74</v>
      </c>
    </row>
    <row r="105" spans="2:127" x14ac:dyDescent="0.3">
      <c r="B105" s="11" t="s">
        <v>75</v>
      </c>
      <c r="C105" s="14">
        <v>5001338881</v>
      </c>
      <c r="D105" s="11" t="s">
        <v>407</v>
      </c>
      <c r="E105" s="11" t="s">
        <v>395</v>
      </c>
      <c r="F105" s="11" t="s">
        <v>408</v>
      </c>
      <c r="G105" s="11" t="s">
        <v>215</v>
      </c>
      <c r="H105" s="11" t="s">
        <v>216</v>
      </c>
      <c r="I105" s="11">
        <v>45219</v>
      </c>
      <c r="J105" s="11" t="s">
        <v>80</v>
      </c>
      <c r="K105" s="11"/>
      <c r="L105" s="11"/>
      <c r="M105" s="11"/>
      <c r="N105" s="11"/>
      <c r="O105" s="13">
        <v>598</v>
      </c>
      <c r="P105" s="13">
        <v>598</v>
      </c>
      <c r="Q105" s="13">
        <v>0</v>
      </c>
      <c r="R105" s="13">
        <v>13792.163500000001</v>
      </c>
      <c r="S105" s="13">
        <v>1622.0641000000001</v>
      </c>
      <c r="T105" s="13">
        <v>12170.099399999999</v>
      </c>
      <c r="U105" s="13">
        <v>45</v>
      </c>
      <c r="V105" s="13">
        <v>45</v>
      </c>
      <c r="W105" s="13">
        <v>0</v>
      </c>
      <c r="X105" s="13">
        <v>1132.3316</v>
      </c>
      <c r="Y105" s="13">
        <v>120.21380000000001</v>
      </c>
      <c r="Z105" s="13">
        <v>1012.1178</v>
      </c>
      <c r="AA105" s="13">
        <v>55</v>
      </c>
      <c r="AB105" s="13">
        <v>55</v>
      </c>
      <c r="AC105" s="13">
        <v>0</v>
      </c>
      <c r="AD105" s="13">
        <v>1368.5531000000001</v>
      </c>
      <c r="AE105" s="13">
        <v>208.32050000000001</v>
      </c>
      <c r="AF105" s="13">
        <v>1160.2326</v>
      </c>
      <c r="AG105" s="13">
        <v>52</v>
      </c>
      <c r="AH105" s="13">
        <v>52</v>
      </c>
      <c r="AI105" s="13">
        <v>0</v>
      </c>
      <c r="AJ105" s="13">
        <v>1239.2317</v>
      </c>
      <c r="AK105" s="13">
        <v>140.71359999999999</v>
      </c>
      <c r="AL105" s="13">
        <v>1098.5181</v>
      </c>
      <c r="AM105" s="13">
        <v>76</v>
      </c>
      <c r="AN105" s="13">
        <v>76</v>
      </c>
      <c r="AO105" s="13">
        <v>0</v>
      </c>
      <c r="AP105" s="13">
        <v>1033.3453</v>
      </c>
      <c r="AQ105" s="13">
        <v>156.99939999999998</v>
      </c>
      <c r="AR105" s="13">
        <v>876.34590000000003</v>
      </c>
      <c r="AS105" s="13">
        <v>105</v>
      </c>
      <c r="AT105" s="13">
        <v>105</v>
      </c>
      <c r="AU105" s="13">
        <v>0</v>
      </c>
      <c r="AV105" s="13">
        <v>1209.6886</v>
      </c>
      <c r="AW105" s="13">
        <v>197.57080000000002</v>
      </c>
      <c r="AX105" s="13">
        <v>1012.1178</v>
      </c>
      <c r="AY105" s="13">
        <v>47</v>
      </c>
      <c r="AZ105" s="13">
        <v>47</v>
      </c>
      <c r="BA105" s="13">
        <v>0</v>
      </c>
      <c r="BB105" s="13">
        <v>904.44510000000002</v>
      </c>
      <c r="BC105" s="13">
        <v>114.4995</v>
      </c>
      <c r="BD105" s="13">
        <v>789.94560000000001</v>
      </c>
      <c r="BE105" s="13">
        <v>34</v>
      </c>
      <c r="BF105" s="13">
        <v>34</v>
      </c>
      <c r="BG105" s="13">
        <v>0</v>
      </c>
      <c r="BH105" s="13">
        <v>879.87369999999999</v>
      </c>
      <c r="BI105" s="13">
        <v>89.928100000000001</v>
      </c>
      <c r="BJ105" s="13">
        <v>789.94560000000001</v>
      </c>
      <c r="BK105" s="13">
        <v>32</v>
      </c>
      <c r="BL105" s="13">
        <v>32</v>
      </c>
      <c r="BM105" s="13">
        <v>0</v>
      </c>
      <c r="BN105" s="13">
        <v>1264.9389000000001</v>
      </c>
      <c r="BO105" s="13">
        <v>129.3921</v>
      </c>
      <c r="BP105" s="13">
        <v>1135.5468000000001</v>
      </c>
      <c r="BQ105" s="13">
        <v>33</v>
      </c>
      <c r="BR105" s="13">
        <v>33</v>
      </c>
      <c r="BS105" s="13">
        <v>0</v>
      </c>
      <c r="BT105" s="13">
        <v>811.75900000000001</v>
      </c>
      <c r="BU105" s="13">
        <v>108.2137</v>
      </c>
      <c r="BV105" s="13">
        <v>703.5453</v>
      </c>
      <c r="BW105" s="13">
        <v>34</v>
      </c>
      <c r="BX105" s="13">
        <v>34</v>
      </c>
      <c r="BY105" s="13">
        <v>0</v>
      </c>
      <c r="BZ105" s="13">
        <v>856.15230000000008</v>
      </c>
      <c r="CA105" s="13">
        <v>90.892499999999998</v>
      </c>
      <c r="CB105" s="13">
        <v>765.25980000000004</v>
      </c>
      <c r="CC105" s="13">
        <v>42</v>
      </c>
      <c r="CD105" s="13">
        <v>42</v>
      </c>
      <c r="CE105" s="13">
        <v>0</v>
      </c>
      <c r="CF105" s="13">
        <v>1337.425</v>
      </c>
      <c r="CG105" s="13">
        <v>127.82080000000001</v>
      </c>
      <c r="CH105" s="13">
        <v>1209.6042</v>
      </c>
      <c r="CI105" s="13">
        <v>17</v>
      </c>
      <c r="CJ105" s="13">
        <v>17</v>
      </c>
      <c r="CK105" s="13">
        <v>0</v>
      </c>
      <c r="CL105" s="13">
        <v>855.93110000000001</v>
      </c>
      <c r="CM105" s="13">
        <v>53.642600000000002</v>
      </c>
      <c r="CN105" s="13">
        <v>802.2885</v>
      </c>
      <c r="CO105" s="13">
        <v>26</v>
      </c>
      <c r="CP105" s="13">
        <v>26</v>
      </c>
      <c r="CQ105" s="13">
        <v>0</v>
      </c>
      <c r="CR105" s="13">
        <v>898.48810000000003</v>
      </c>
      <c r="CS105" s="13">
        <v>83.856699999999989</v>
      </c>
      <c r="CT105" s="13">
        <v>814.63139999999999</v>
      </c>
      <c r="CU105" s="13">
        <f t="shared" ref="CU105:CZ168" si="16">SUM(AA105,AG105,AM105,AS105,AY105,BE105,BK105,BQ105,BW105,CC105,CI105,CO105)</f>
        <v>553</v>
      </c>
      <c r="CV105" s="13">
        <f t="shared" si="16"/>
        <v>553</v>
      </c>
      <c r="CW105" s="13">
        <f t="shared" si="16"/>
        <v>0</v>
      </c>
      <c r="CX105" s="13">
        <f t="shared" si="12"/>
        <v>12659.831899999999</v>
      </c>
      <c r="CY105" s="13">
        <f t="shared" si="12"/>
        <v>1501.8502999999998</v>
      </c>
      <c r="CZ105" s="13">
        <f t="shared" si="12"/>
        <v>11157.981600000001</v>
      </c>
      <c r="DA105" s="13">
        <f t="shared" ref="DA105:DF168" si="17">SUM(CC105,CI105,CO105)</f>
        <v>85</v>
      </c>
      <c r="DB105" s="13">
        <f t="shared" si="17"/>
        <v>85</v>
      </c>
      <c r="DC105" s="13">
        <f t="shared" si="17"/>
        <v>0</v>
      </c>
      <c r="DD105" s="13">
        <f t="shared" si="13"/>
        <v>3091.8442</v>
      </c>
      <c r="DE105" s="13">
        <f t="shared" si="13"/>
        <v>265.32010000000002</v>
      </c>
      <c r="DF105" s="13">
        <f t="shared" si="13"/>
        <v>2826.5240999999996</v>
      </c>
      <c r="DG105" s="13">
        <f t="shared" ref="DG105:DL168" si="18">SUM(BK105,BQ105,BW105)</f>
        <v>99</v>
      </c>
      <c r="DH105" s="13">
        <f t="shared" si="18"/>
        <v>99</v>
      </c>
      <c r="DI105" s="13">
        <f t="shared" si="18"/>
        <v>0</v>
      </c>
      <c r="DJ105" s="13">
        <f t="shared" si="14"/>
        <v>2932.8502000000003</v>
      </c>
      <c r="DK105" s="13">
        <f t="shared" si="14"/>
        <v>328.49829999999997</v>
      </c>
      <c r="DL105" s="13">
        <f t="shared" si="14"/>
        <v>2604.3519000000001</v>
      </c>
      <c r="DM105" s="13">
        <f t="shared" ref="DM105:DR168" si="19">SUM(CI105,CO105)</f>
        <v>43</v>
      </c>
      <c r="DN105" s="13">
        <f t="shared" si="19"/>
        <v>43</v>
      </c>
      <c r="DO105" s="13">
        <f t="shared" si="19"/>
        <v>0</v>
      </c>
      <c r="DP105" s="13">
        <f t="shared" si="15"/>
        <v>1754.4192</v>
      </c>
      <c r="DQ105" s="13">
        <f t="shared" si="15"/>
        <v>137.49930000000001</v>
      </c>
      <c r="DR105" s="13">
        <f t="shared" si="15"/>
        <v>1616.9198999999999</v>
      </c>
      <c r="DS105" s="14" t="s">
        <v>60</v>
      </c>
      <c r="DT105" s="14" t="s">
        <v>81</v>
      </c>
      <c r="DU105" s="14" t="s">
        <v>73</v>
      </c>
      <c r="DV105" s="14" t="s">
        <v>63</v>
      </c>
      <c r="DW105" s="14" t="s">
        <v>74</v>
      </c>
    </row>
    <row r="106" spans="2:127" x14ac:dyDescent="0.3">
      <c r="B106" s="11" t="s">
        <v>75</v>
      </c>
      <c r="C106" s="14">
        <v>5001339408</v>
      </c>
      <c r="D106" s="11" t="s">
        <v>409</v>
      </c>
      <c r="E106" s="11" t="s">
        <v>395</v>
      </c>
      <c r="F106" s="11" t="s">
        <v>410</v>
      </c>
      <c r="G106" s="11" t="s">
        <v>411</v>
      </c>
      <c r="H106" s="11" t="s">
        <v>145</v>
      </c>
      <c r="I106" s="11">
        <v>36526</v>
      </c>
      <c r="J106" s="11" t="s">
        <v>70</v>
      </c>
      <c r="K106" s="11"/>
      <c r="L106" s="11"/>
      <c r="M106" s="11"/>
      <c r="N106" s="11"/>
      <c r="O106" s="13">
        <v>137</v>
      </c>
      <c r="P106" s="13">
        <v>137</v>
      </c>
      <c r="Q106" s="13">
        <v>0</v>
      </c>
      <c r="R106" s="13">
        <v>20340.5831</v>
      </c>
      <c r="S106" s="13">
        <v>888.17269999999996</v>
      </c>
      <c r="T106" s="13">
        <v>19452.410400000001</v>
      </c>
      <c r="U106" s="13">
        <v>16</v>
      </c>
      <c r="V106" s="13">
        <v>16</v>
      </c>
      <c r="W106" s="13">
        <v>0</v>
      </c>
      <c r="X106" s="13">
        <v>1580.4621</v>
      </c>
      <c r="Y106" s="13">
        <v>62.285400000000003</v>
      </c>
      <c r="Z106" s="13">
        <v>1518.1767</v>
      </c>
      <c r="AA106" s="13">
        <v>16</v>
      </c>
      <c r="AB106" s="13">
        <v>16</v>
      </c>
      <c r="AC106" s="13">
        <v>0</v>
      </c>
      <c r="AD106" s="13">
        <v>1654.5194999999999</v>
      </c>
      <c r="AE106" s="13">
        <v>62.285400000000003</v>
      </c>
      <c r="AF106" s="13">
        <v>1592.2340999999999</v>
      </c>
      <c r="AG106" s="13">
        <v>14</v>
      </c>
      <c r="AH106" s="13">
        <v>14</v>
      </c>
      <c r="AI106" s="13">
        <v>0</v>
      </c>
      <c r="AJ106" s="13">
        <v>1474.8975</v>
      </c>
      <c r="AK106" s="13">
        <v>55.463999999999999</v>
      </c>
      <c r="AL106" s="13">
        <v>1419.4335000000001</v>
      </c>
      <c r="AM106" s="13">
        <v>14</v>
      </c>
      <c r="AN106" s="13">
        <v>14</v>
      </c>
      <c r="AO106" s="13">
        <v>0</v>
      </c>
      <c r="AP106" s="13">
        <v>1547.2190999999998</v>
      </c>
      <c r="AQ106" s="13">
        <v>66.071100000000001</v>
      </c>
      <c r="AR106" s="13">
        <v>1481.1479999999999</v>
      </c>
      <c r="AS106" s="13">
        <v>34</v>
      </c>
      <c r="AT106" s="13">
        <v>34</v>
      </c>
      <c r="AU106" s="13">
        <v>0</v>
      </c>
      <c r="AV106" s="13">
        <v>1782.2558000000001</v>
      </c>
      <c r="AW106" s="13">
        <v>54.2498</v>
      </c>
      <c r="AX106" s="13">
        <v>1728.0060000000001</v>
      </c>
      <c r="AY106" s="13">
        <v>0</v>
      </c>
      <c r="AZ106" s="13">
        <v>0</v>
      </c>
      <c r="BA106" s="13">
        <v>0</v>
      </c>
      <c r="BB106" s="13">
        <v>1481.1474000000001</v>
      </c>
      <c r="BC106" s="13">
        <v>61.713900000000002</v>
      </c>
      <c r="BD106" s="13">
        <v>1419.4335000000001</v>
      </c>
      <c r="BE106" s="13">
        <v>8</v>
      </c>
      <c r="BF106" s="13">
        <v>8</v>
      </c>
      <c r="BG106" s="13">
        <v>0</v>
      </c>
      <c r="BH106" s="13">
        <v>1387.7040000000002</v>
      </c>
      <c r="BI106" s="13">
        <v>79.3566</v>
      </c>
      <c r="BJ106" s="13">
        <v>1308.3474000000001</v>
      </c>
      <c r="BK106" s="13">
        <v>21</v>
      </c>
      <c r="BL106" s="13">
        <v>21</v>
      </c>
      <c r="BM106" s="13">
        <v>0</v>
      </c>
      <c r="BN106" s="13">
        <v>1937.6198000000002</v>
      </c>
      <c r="BO106" s="13">
        <v>123.2135</v>
      </c>
      <c r="BP106" s="13">
        <v>1814.4063000000001</v>
      </c>
      <c r="BQ106" s="13">
        <v>7</v>
      </c>
      <c r="BR106" s="13">
        <v>7</v>
      </c>
      <c r="BS106" s="13">
        <v>0</v>
      </c>
      <c r="BT106" s="13">
        <v>1299.3392000000001</v>
      </c>
      <c r="BU106" s="13">
        <v>77.392099999999999</v>
      </c>
      <c r="BV106" s="13">
        <v>1221.9471000000001</v>
      </c>
      <c r="BW106" s="13">
        <v>7</v>
      </c>
      <c r="BX106" s="13">
        <v>7</v>
      </c>
      <c r="BY106" s="13">
        <v>0</v>
      </c>
      <c r="BZ106" s="13">
        <v>1538.2903999999999</v>
      </c>
      <c r="CA106" s="13">
        <v>57.142400000000002</v>
      </c>
      <c r="CB106" s="13">
        <v>1481.1479999999999</v>
      </c>
      <c r="CC106" s="13">
        <v>0</v>
      </c>
      <c r="CD106" s="13">
        <v>0</v>
      </c>
      <c r="CE106" s="13">
        <v>0</v>
      </c>
      <c r="CF106" s="13">
        <v>1653.3691999999999</v>
      </c>
      <c r="CG106" s="13">
        <v>85.820899999999995</v>
      </c>
      <c r="CH106" s="13">
        <v>1567.5482999999999</v>
      </c>
      <c r="CI106" s="13">
        <v>0</v>
      </c>
      <c r="CJ106" s="13">
        <v>0</v>
      </c>
      <c r="CK106" s="13">
        <v>0</v>
      </c>
      <c r="CL106" s="13">
        <v>1398.9902</v>
      </c>
      <c r="CM106" s="13">
        <v>28.9283</v>
      </c>
      <c r="CN106" s="13">
        <v>1370.0618999999999</v>
      </c>
      <c r="CO106" s="13">
        <v>0</v>
      </c>
      <c r="CP106" s="13">
        <v>0</v>
      </c>
      <c r="CQ106" s="13">
        <v>0</v>
      </c>
      <c r="CR106" s="13">
        <v>1604.7689</v>
      </c>
      <c r="CS106" s="13">
        <v>74.249300000000005</v>
      </c>
      <c r="CT106" s="13">
        <v>1530.5196000000001</v>
      </c>
      <c r="CU106" s="13">
        <f t="shared" si="16"/>
        <v>121</v>
      </c>
      <c r="CV106" s="13">
        <f t="shared" si="16"/>
        <v>121</v>
      </c>
      <c r="CW106" s="13">
        <f t="shared" si="16"/>
        <v>0</v>
      </c>
      <c r="CX106" s="13">
        <f t="shared" si="12"/>
        <v>18760.120999999999</v>
      </c>
      <c r="CY106" s="13">
        <f t="shared" si="12"/>
        <v>825.88729999999987</v>
      </c>
      <c r="CZ106" s="13">
        <f t="shared" si="12"/>
        <v>17934.233700000001</v>
      </c>
      <c r="DA106" s="13">
        <f t="shared" si="17"/>
        <v>0</v>
      </c>
      <c r="DB106" s="13">
        <f t="shared" si="17"/>
        <v>0</v>
      </c>
      <c r="DC106" s="13">
        <f t="shared" si="17"/>
        <v>0</v>
      </c>
      <c r="DD106" s="13">
        <f t="shared" si="13"/>
        <v>4657.1283000000003</v>
      </c>
      <c r="DE106" s="13">
        <f t="shared" si="13"/>
        <v>188.99850000000001</v>
      </c>
      <c r="DF106" s="13">
        <f t="shared" si="13"/>
        <v>4468.1298000000006</v>
      </c>
      <c r="DG106" s="13">
        <f t="shared" si="18"/>
        <v>35</v>
      </c>
      <c r="DH106" s="13">
        <f t="shared" si="18"/>
        <v>35</v>
      </c>
      <c r="DI106" s="13">
        <f t="shared" si="18"/>
        <v>0</v>
      </c>
      <c r="DJ106" s="13">
        <f t="shared" si="14"/>
        <v>4775.2494000000006</v>
      </c>
      <c r="DK106" s="13">
        <f t="shared" si="14"/>
        <v>257.74799999999999</v>
      </c>
      <c r="DL106" s="13">
        <f t="shared" si="14"/>
        <v>4517.5014000000001</v>
      </c>
      <c r="DM106" s="13">
        <f t="shared" si="19"/>
        <v>0</v>
      </c>
      <c r="DN106" s="13">
        <f t="shared" si="19"/>
        <v>0</v>
      </c>
      <c r="DO106" s="13">
        <f t="shared" si="19"/>
        <v>0</v>
      </c>
      <c r="DP106" s="13">
        <f t="shared" si="15"/>
        <v>3003.7591000000002</v>
      </c>
      <c r="DQ106" s="13">
        <f t="shared" si="15"/>
        <v>103.17760000000001</v>
      </c>
      <c r="DR106" s="13">
        <f t="shared" si="15"/>
        <v>2900.5815000000002</v>
      </c>
      <c r="DS106" s="14" t="s">
        <v>138</v>
      </c>
      <c r="DT106" s="14" t="s">
        <v>92</v>
      </c>
      <c r="DU106" s="14" t="s">
        <v>73</v>
      </c>
      <c r="DV106" s="14" t="s">
        <v>63</v>
      </c>
      <c r="DW106" s="14" t="s">
        <v>74</v>
      </c>
    </row>
    <row r="107" spans="2:127" x14ac:dyDescent="0.3">
      <c r="B107" s="11" t="s">
        <v>75</v>
      </c>
      <c r="C107" s="14">
        <v>5001339811</v>
      </c>
      <c r="D107" s="11" t="s">
        <v>412</v>
      </c>
      <c r="E107" s="11" t="s">
        <v>395</v>
      </c>
      <c r="F107" s="11" t="s">
        <v>413</v>
      </c>
      <c r="G107" s="11" t="s">
        <v>156</v>
      </c>
      <c r="H107" s="11" t="s">
        <v>157</v>
      </c>
      <c r="I107" s="11">
        <v>30318</v>
      </c>
      <c r="J107" s="11" t="s">
        <v>70</v>
      </c>
      <c r="K107" s="11"/>
      <c r="L107" s="11"/>
      <c r="M107" s="11"/>
      <c r="N107" s="11"/>
      <c r="O107" s="13">
        <v>162</v>
      </c>
      <c r="P107" s="13">
        <v>162</v>
      </c>
      <c r="Q107" s="13">
        <v>0</v>
      </c>
      <c r="R107" s="13">
        <v>30772.392</v>
      </c>
      <c r="S107" s="13">
        <v>162</v>
      </c>
      <c r="T107" s="13">
        <v>30610.392</v>
      </c>
      <c r="U107" s="13">
        <v>12</v>
      </c>
      <c r="V107" s="13">
        <v>12</v>
      </c>
      <c r="W107" s="13">
        <v>0</v>
      </c>
      <c r="X107" s="13">
        <v>2085.6071999999999</v>
      </c>
      <c r="Y107" s="13">
        <v>12</v>
      </c>
      <c r="Z107" s="13">
        <v>2073.6071999999999</v>
      </c>
      <c r="AA107" s="13">
        <v>18</v>
      </c>
      <c r="AB107" s="13">
        <v>18</v>
      </c>
      <c r="AC107" s="13">
        <v>0</v>
      </c>
      <c r="AD107" s="13">
        <v>2585.3231999999998</v>
      </c>
      <c r="AE107" s="13">
        <v>18</v>
      </c>
      <c r="AF107" s="13">
        <v>2567.3231999999998</v>
      </c>
      <c r="AG107" s="13">
        <v>12</v>
      </c>
      <c r="AH107" s="13">
        <v>12</v>
      </c>
      <c r="AI107" s="13">
        <v>0</v>
      </c>
      <c r="AJ107" s="13">
        <v>1937.4924000000001</v>
      </c>
      <c r="AK107" s="13">
        <v>12</v>
      </c>
      <c r="AL107" s="13">
        <v>1925.4924000000001</v>
      </c>
      <c r="AM107" s="13">
        <v>12</v>
      </c>
      <c r="AN107" s="13">
        <v>12</v>
      </c>
      <c r="AO107" s="13">
        <v>0</v>
      </c>
      <c r="AP107" s="13">
        <v>1789.3776</v>
      </c>
      <c r="AQ107" s="13">
        <v>12</v>
      </c>
      <c r="AR107" s="13">
        <v>1777.3776</v>
      </c>
      <c r="AS107" s="13">
        <v>12</v>
      </c>
      <c r="AT107" s="13">
        <v>12</v>
      </c>
      <c r="AU107" s="13">
        <v>0</v>
      </c>
      <c r="AV107" s="13">
        <v>2369.4938999999999</v>
      </c>
      <c r="AW107" s="13">
        <v>12</v>
      </c>
      <c r="AX107" s="13">
        <v>2357.4938999999999</v>
      </c>
      <c r="AY107" s="13">
        <v>12</v>
      </c>
      <c r="AZ107" s="13">
        <v>12</v>
      </c>
      <c r="BA107" s="13">
        <v>0</v>
      </c>
      <c r="BB107" s="13">
        <v>1838.7492</v>
      </c>
      <c r="BC107" s="13">
        <v>12</v>
      </c>
      <c r="BD107" s="13">
        <v>1826.7492</v>
      </c>
      <c r="BE107" s="13">
        <v>12</v>
      </c>
      <c r="BF107" s="13">
        <v>12</v>
      </c>
      <c r="BG107" s="13">
        <v>0</v>
      </c>
      <c r="BH107" s="13">
        <v>2048.5785000000001</v>
      </c>
      <c r="BI107" s="13">
        <v>12</v>
      </c>
      <c r="BJ107" s="13">
        <v>2036.5785000000001</v>
      </c>
      <c r="BK107" s="13">
        <v>12</v>
      </c>
      <c r="BL107" s="13">
        <v>12</v>
      </c>
      <c r="BM107" s="13">
        <v>0</v>
      </c>
      <c r="BN107" s="13">
        <v>2838.5241000000001</v>
      </c>
      <c r="BO107" s="13">
        <v>12</v>
      </c>
      <c r="BP107" s="13">
        <v>2826.5241000000001</v>
      </c>
      <c r="BQ107" s="13">
        <v>12</v>
      </c>
      <c r="BR107" s="13">
        <v>12</v>
      </c>
      <c r="BS107" s="13">
        <v>0</v>
      </c>
      <c r="BT107" s="13">
        <v>2332.4652000000001</v>
      </c>
      <c r="BU107" s="13">
        <v>12</v>
      </c>
      <c r="BV107" s="13">
        <v>2320.4652000000001</v>
      </c>
      <c r="BW107" s="13">
        <v>12</v>
      </c>
      <c r="BX107" s="13">
        <v>12</v>
      </c>
      <c r="BY107" s="13">
        <v>0</v>
      </c>
      <c r="BZ107" s="13">
        <v>2480.58</v>
      </c>
      <c r="CA107" s="13">
        <v>12</v>
      </c>
      <c r="CB107" s="13">
        <v>2468.58</v>
      </c>
      <c r="CC107" s="13">
        <v>12</v>
      </c>
      <c r="CD107" s="13">
        <v>12</v>
      </c>
      <c r="CE107" s="13">
        <v>0</v>
      </c>
      <c r="CF107" s="13">
        <v>3208.8110999999999</v>
      </c>
      <c r="CG107" s="13">
        <v>12</v>
      </c>
      <c r="CH107" s="13">
        <v>3196.8110999999999</v>
      </c>
      <c r="CI107" s="13">
        <v>12</v>
      </c>
      <c r="CJ107" s="13">
        <v>12</v>
      </c>
      <c r="CK107" s="13">
        <v>0</v>
      </c>
      <c r="CL107" s="13">
        <v>2604.009</v>
      </c>
      <c r="CM107" s="13">
        <v>12</v>
      </c>
      <c r="CN107" s="13">
        <v>2592.009</v>
      </c>
      <c r="CO107" s="13">
        <v>12</v>
      </c>
      <c r="CP107" s="13">
        <v>12</v>
      </c>
      <c r="CQ107" s="13">
        <v>0</v>
      </c>
      <c r="CR107" s="13">
        <v>2653.3806</v>
      </c>
      <c r="CS107" s="13">
        <v>12</v>
      </c>
      <c r="CT107" s="13">
        <v>2641.3806</v>
      </c>
      <c r="CU107" s="13">
        <f t="shared" si="16"/>
        <v>150</v>
      </c>
      <c r="CV107" s="13">
        <f t="shared" si="16"/>
        <v>150</v>
      </c>
      <c r="CW107" s="13">
        <f t="shared" si="16"/>
        <v>0</v>
      </c>
      <c r="CX107" s="13">
        <f t="shared" si="12"/>
        <v>28686.784799999998</v>
      </c>
      <c r="CY107" s="13">
        <f t="shared" si="12"/>
        <v>150</v>
      </c>
      <c r="CZ107" s="13">
        <f t="shared" si="12"/>
        <v>28536.784799999998</v>
      </c>
      <c r="DA107" s="13">
        <f t="shared" si="17"/>
        <v>36</v>
      </c>
      <c r="DB107" s="13">
        <f t="shared" si="17"/>
        <v>36</v>
      </c>
      <c r="DC107" s="13">
        <f t="shared" si="17"/>
        <v>0</v>
      </c>
      <c r="DD107" s="13">
        <f t="shared" si="13"/>
        <v>8466.2006999999994</v>
      </c>
      <c r="DE107" s="13">
        <f t="shared" si="13"/>
        <v>36</v>
      </c>
      <c r="DF107" s="13">
        <f t="shared" si="13"/>
        <v>8430.2006999999994</v>
      </c>
      <c r="DG107" s="13">
        <f t="shared" si="18"/>
        <v>36</v>
      </c>
      <c r="DH107" s="13">
        <f t="shared" si="18"/>
        <v>36</v>
      </c>
      <c r="DI107" s="13">
        <f t="shared" si="18"/>
        <v>0</v>
      </c>
      <c r="DJ107" s="13">
        <f t="shared" si="14"/>
        <v>7651.5693000000001</v>
      </c>
      <c r="DK107" s="13">
        <f t="shared" si="14"/>
        <v>36</v>
      </c>
      <c r="DL107" s="13">
        <f t="shared" si="14"/>
        <v>7615.5693000000001</v>
      </c>
      <c r="DM107" s="13">
        <f t="shared" si="19"/>
        <v>24</v>
      </c>
      <c r="DN107" s="13">
        <f t="shared" si="19"/>
        <v>24</v>
      </c>
      <c r="DO107" s="13">
        <f t="shared" si="19"/>
        <v>0</v>
      </c>
      <c r="DP107" s="13">
        <f t="shared" si="15"/>
        <v>5257.3896000000004</v>
      </c>
      <c r="DQ107" s="13">
        <f t="shared" si="15"/>
        <v>24</v>
      </c>
      <c r="DR107" s="13">
        <f t="shared" si="15"/>
        <v>5233.3896000000004</v>
      </c>
      <c r="DS107" s="14" t="s">
        <v>138</v>
      </c>
      <c r="DT107" s="14" t="s">
        <v>125</v>
      </c>
      <c r="DU107" s="14" t="s">
        <v>73</v>
      </c>
      <c r="DV107" s="14" t="s">
        <v>63</v>
      </c>
      <c r="DW107" s="14" t="s">
        <v>74</v>
      </c>
    </row>
    <row r="108" spans="2:127" x14ac:dyDescent="0.3">
      <c r="B108" s="11" t="s">
        <v>75</v>
      </c>
      <c r="C108" s="14">
        <v>5001340411</v>
      </c>
      <c r="D108" s="11" t="s">
        <v>414</v>
      </c>
      <c r="E108" s="11" t="s">
        <v>395</v>
      </c>
      <c r="F108" s="11" t="s">
        <v>415</v>
      </c>
      <c r="G108" s="11" t="s">
        <v>416</v>
      </c>
      <c r="H108" s="11" t="s">
        <v>157</v>
      </c>
      <c r="I108" s="11">
        <v>30909</v>
      </c>
      <c r="J108" s="11" t="s">
        <v>70</v>
      </c>
      <c r="K108" s="11"/>
      <c r="L108" s="11"/>
      <c r="M108" s="11"/>
      <c r="N108" s="11"/>
      <c r="O108" s="13">
        <v>299</v>
      </c>
      <c r="P108" s="13">
        <v>299</v>
      </c>
      <c r="Q108" s="13">
        <v>0</v>
      </c>
      <c r="R108" s="13">
        <v>15434.0908</v>
      </c>
      <c r="S108" s="13">
        <v>721.35400000000004</v>
      </c>
      <c r="T108" s="13">
        <v>14712.736800000001</v>
      </c>
      <c r="U108" s="13">
        <v>20</v>
      </c>
      <c r="V108" s="13">
        <v>20</v>
      </c>
      <c r="W108" s="13">
        <v>0</v>
      </c>
      <c r="X108" s="13">
        <v>1287.847</v>
      </c>
      <c r="Y108" s="13">
        <v>41.214100000000002</v>
      </c>
      <c r="Z108" s="13">
        <v>1246.6329000000001</v>
      </c>
      <c r="AA108" s="13">
        <v>20</v>
      </c>
      <c r="AB108" s="13">
        <v>20</v>
      </c>
      <c r="AC108" s="13">
        <v>0</v>
      </c>
      <c r="AD108" s="13">
        <v>1448.3046999999999</v>
      </c>
      <c r="AE108" s="13">
        <v>41.214100000000002</v>
      </c>
      <c r="AF108" s="13">
        <v>1407.0906</v>
      </c>
      <c r="AG108" s="13">
        <v>20</v>
      </c>
      <c r="AH108" s="13">
        <v>20</v>
      </c>
      <c r="AI108" s="13">
        <v>0</v>
      </c>
      <c r="AJ108" s="13">
        <v>1250.8182999999999</v>
      </c>
      <c r="AK108" s="13">
        <v>41.214100000000002</v>
      </c>
      <c r="AL108" s="13">
        <v>1209.6042</v>
      </c>
      <c r="AM108" s="13">
        <v>20</v>
      </c>
      <c r="AN108" s="13">
        <v>20</v>
      </c>
      <c r="AO108" s="13">
        <v>0</v>
      </c>
      <c r="AP108" s="13">
        <v>885.16000000000008</v>
      </c>
      <c r="AQ108" s="13">
        <v>33.499899999999997</v>
      </c>
      <c r="AR108" s="13">
        <v>851.66010000000006</v>
      </c>
      <c r="AS108" s="13">
        <v>70</v>
      </c>
      <c r="AT108" s="13">
        <v>70</v>
      </c>
      <c r="AU108" s="13">
        <v>0</v>
      </c>
      <c r="AV108" s="13">
        <v>1374.8756999999998</v>
      </c>
      <c r="AW108" s="13">
        <v>91.214100000000002</v>
      </c>
      <c r="AX108" s="13">
        <v>1283.6615999999999</v>
      </c>
      <c r="AY108" s="13">
        <v>30</v>
      </c>
      <c r="AZ108" s="13">
        <v>30</v>
      </c>
      <c r="BA108" s="13">
        <v>0</v>
      </c>
      <c r="BB108" s="13">
        <v>802.97400000000005</v>
      </c>
      <c r="BC108" s="13">
        <v>37.714199999999998</v>
      </c>
      <c r="BD108" s="13">
        <v>765.25980000000004</v>
      </c>
      <c r="BE108" s="13">
        <v>10</v>
      </c>
      <c r="BF108" s="13">
        <v>10</v>
      </c>
      <c r="BG108" s="13">
        <v>0</v>
      </c>
      <c r="BH108" s="13">
        <v>1066.0892999999999</v>
      </c>
      <c r="BI108" s="13">
        <v>29.285699999999999</v>
      </c>
      <c r="BJ108" s="13">
        <v>1036.8036</v>
      </c>
      <c r="BK108" s="13">
        <v>20</v>
      </c>
      <c r="BL108" s="13">
        <v>20</v>
      </c>
      <c r="BM108" s="13">
        <v>0</v>
      </c>
      <c r="BN108" s="13">
        <v>1545.1187</v>
      </c>
      <c r="BO108" s="13">
        <v>100.99939999999999</v>
      </c>
      <c r="BP108" s="13">
        <v>1444.1193000000001</v>
      </c>
      <c r="BQ108" s="13">
        <v>0</v>
      </c>
      <c r="BR108" s="13">
        <v>0</v>
      </c>
      <c r="BS108" s="13">
        <v>0</v>
      </c>
      <c r="BT108" s="13">
        <v>1227.7320999999999</v>
      </c>
      <c r="BU108" s="13">
        <v>67.499499999999998</v>
      </c>
      <c r="BV108" s="13">
        <v>1160.2326</v>
      </c>
      <c r="BW108" s="13">
        <v>23</v>
      </c>
      <c r="BX108" s="13">
        <v>23</v>
      </c>
      <c r="BY108" s="13">
        <v>0</v>
      </c>
      <c r="BZ108" s="13">
        <v>1099.1463000000001</v>
      </c>
      <c r="CA108" s="13">
        <v>49.9998</v>
      </c>
      <c r="CB108" s="13">
        <v>1049.1465000000001</v>
      </c>
      <c r="CC108" s="13">
        <v>22</v>
      </c>
      <c r="CD108" s="13">
        <v>22</v>
      </c>
      <c r="CE108" s="13">
        <v>0</v>
      </c>
      <c r="CF108" s="13">
        <v>1457.2474</v>
      </c>
      <c r="CG108" s="13">
        <v>62.499699999999997</v>
      </c>
      <c r="CH108" s="13">
        <v>1394.7476999999999</v>
      </c>
      <c r="CI108" s="13">
        <v>22</v>
      </c>
      <c r="CJ108" s="13">
        <v>22</v>
      </c>
      <c r="CK108" s="13">
        <v>0</v>
      </c>
      <c r="CL108" s="13">
        <v>1049.9317000000001</v>
      </c>
      <c r="CM108" s="13">
        <v>62.499699999999997</v>
      </c>
      <c r="CN108" s="13">
        <v>987.43200000000002</v>
      </c>
      <c r="CO108" s="13">
        <v>22</v>
      </c>
      <c r="CP108" s="13">
        <v>22</v>
      </c>
      <c r="CQ108" s="13">
        <v>0</v>
      </c>
      <c r="CR108" s="13">
        <v>938.84559999999999</v>
      </c>
      <c r="CS108" s="13">
        <v>62.499699999999997</v>
      </c>
      <c r="CT108" s="13">
        <v>876.34590000000003</v>
      </c>
      <c r="CU108" s="13">
        <f t="shared" si="16"/>
        <v>279</v>
      </c>
      <c r="CV108" s="13">
        <f t="shared" si="16"/>
        <v>279</v>
      </c>
      <c r="CW108" s="13">
        <f t="shared" si="16"/>
        <v>0</v>
      </c>
      <c r="CX108" s="13">
        <f t="shared" si="12"/>
        <v>14146.2438</v>
      </c>
      <c r="CY108" s="13">
        <f t="shared" si="12"/>
        <v>680.1398999999999</v>
      </c>
      <c r="CZ108" s="13">
        <f t="shared" si="12"/>
        <v>13466.103900000002</v>
      </c>
      <c r="DA108" s="13">
        <f t="shared" si="17"/>
        <v>66</v>
      </c>
      <c r="DB108" s="13">
        <f t="shared" si="17"/>
        <v>66</v>
      </c>
      <c r="DC108" s="13">
        <f t="shared" si="17"/>
        <v>0</v>
      </c>
      <c r="DD108" s="13">
        <f t="shared" si="13"/>
        <v>3446.0247000000004</v>
      </c>
      <c r="DE108" s="13">
        <f t="shared" si="13"/>
        <v>187.4991</v>
      </c>
      <c r="DF108" s="13">
        <f t="shared" si="13"/>
        <v>3258.5255999999999</v>
      </c>
      <c r="DG108" s="13">
        <f t="shared" si="18"/>
        <v>43</v>
      </c>
      <c r="DH108" s="13">
        <f t="shared" si="18"/>
        <v>43</v>
      </c>
      <c r="DI108" s="13">
        <f t="shared" si="18"/>
        <v>0</v>
      </c>
      <c r="DJ108" s="13">
        <f t="shared" si="14"/>
        <v>3871.9971000000005</v>
      </c>
      <c r="DK108" s="13">
        <f t="shared" si="14"/>
        <v>218.49869999999999</v>
      </c>
      <c r="DL108" s="13">
        <f t="shared" si="14"/>
        <v>3653.4984000000004</v>
      </c>
      <c r="DM108" s="13">
        <f t="shared" si="19"/>
        <v>44</v>
      </c>
      <c r="DN108" s="13">
        <f t="shared" si="19"/>
        <v>44</v>
      </c>
      <c r="DO108" s="13">
        <f t="shared" si="19"/>
        <v>0</v>
      </c>
      <c r="DP108" s="13">
        <f t="shared" si="15"/>
        <v>1988.7773000000002</v>
      </c>
      <c r="DQ108" s="13">
        <f t="shared" si="15"/>
        <v>124.99939999999999</v>
      </c>
      <c r="DR108" s="13">
        <f t="shared" si="15"/>
        <v>1863.7779</v>
      </c>
      <c r="DS108" s="14" t="s">
        <v>60</v>
      </c>
      <c r="DT108" s="14" t="s">
        <v>81</v>
      </c>
      <c r="DU108" s="14" t="s">
        <v>73</v>
      </c>
      <c r="DV108" s="14" t="s">
        <v>63</v>
      </c>
      <c r="DW108" s="14" t="s">
        <v>126</v>
      </c>
    </row>
    <row r="109" spans="2:127" x14ac:dyDescent="0.3">
      <c r="B109" s="11" t="s">
        <v>65</v>
      </c>
      <c r="C109" s="14">
        <v>5001340505</v>
      </c>
      <c r="D109" s="11" t="s">
        <v>417</v>
      </c>
      <c r="E109" s="11" t="s">
        <v>395</v>
      </c>
      <c r="F109" s="11" t="s">
        <v>418</v>
      </c>
      <c r="G109" s="11" t="s">
        <v>419</v>
      </c>
      <c r="H109" s="11" t="s">
        <v>216</v>
      </c>
      <c r="I109" s="11">
        <v>45414</v>
      </c>
      <c r="J109" s="11" t="s">
        <v>70</v>
      </c>
      <c r="K109" s="11"/>
      <c r="L109" s="11"/>
      <c r="M109" s="11"/>
      <c r="N109" s="11"/>
      <c r="O109" s="13">
        <v>362</v>
      </c>
      <c r="P109" s="13">
        <v>362</v>
      </c>
      <c r="Q109" s="13">
        <v>0</v>
      </c>
      <c r="R109" s="13">
        <v>9737.7654999999995</v>
      </c>
      <c r="S109" s="13">
        <v>1900.0239999999999</v>
      </c>
      <c r="T109" s="13">
        <v>7837.7415000000001</v>
      </c>
      <c r="U109" s="13">
        <v>22</v>
      </c>
      <c r="V109" s="13">
        <v>22</v>
      </c>
      <c r="W109" s="13">
        <v>0</v>
      </c>
      <c r="X109" s="13">
        <v>675.20799999999997</v>
      </c>
      <c r="Y109" s="13">
        <v>144.4633</v>
      </c>
      <c r="Z109" s="13">
        <v>530.74469999999997</v>
      </c>
      <c r="AA109" s="13">
        <v>38</v>
      </c>
      <c r="AB109" s="13">
        <v>38</v>
      </c>
      <c r="AC109" s="13">
        <v>0</v>
      </c>
      <c r="AD109" s="13">
        <v>708.17960000000005</v>
      </c>
      <c r="AE109" s="13">
        <v>152.7491</v>
      </c>
      <c r="AF109" s="13">
        <v>555.43050000000005</v>
      </c>
      <c r="AG109" s="13">
        <v>44</v>
      </c>
      <c r="AH109" s="13">
        <v>44</v>
      </c>
      <c r="AI109" s="13">
        <v>0</v>
      </c>
      <c r="AJ109" s="13">
        <v>712.44369999999992</v>
      </c>
      <c r="AK109" s="13">
        <v>169.3561</v>
      </c>
      <c r="AL109" s="13">
        <v>543.08759999999995</v>
      </c>
      <c r="AM109" s="13">
        <v>22</v>
      </c>
      <c r="AN109" s="13">
        <v>22</v>
      </c>
      <c r="AO109" s="13">
        <v>0</v>
      </c>
      <c r="AP109" s="13">
        <v>770.47950000000003</v>
      </c>
      <c r="AQ109" s="13">
        <v>165.67740000000001</v>
      </c>
      <c r="AR109" s="13">
        <v>604.8021</v>
      </c>
      <c r="AS109" s="13">
        <v>37</v>
      </c>
      <c r="AT109" s="13">
        <v>37</v>
      </c>
      <c r="AU109" s="13">
        <v>0</v>
      </c>
      <c r="AV109" s="13">
        <v>815.95170000000007</v>
      </c>
      <c r="AW109" s="13">
        <v>124.74930000000001</v>
      </c>
      <c r="AX109" s="13">
        <v>691.20240000000001</v>
      </c>
      <c r="AY109" s="13">
        <v>44</v>
      </c>
      <c r="AZ109" s="13">
        <v>44</v>
      </c>
      <c r="BA109" s="13">
        <v>0</v>
      </c>
      <c r="BB109" s="13">
        <v>795.17969999999991</v>
      </c>
      <c r="BC109" s="13">
        <v>178.03469999999999</v>
      </c>
      <c r="BD109" s="13">
        <v>617.14499999999998</v>
      </c>
      <c r="BE109" s="13">
        <v>7</v>
      </c>
      <c r="BF109" s="13">
        <v>7</v>
      </c>
      <c r="BG109" s="13">
        <v>0</v>
      </c>
      <c r="BH109" s="13">
        <v>780.93689999999992</v>
      </c>
      <c r="BI109" s="13">
        <v>139.1061</v>
      </c>
      <c r="BJ109" s="13">
        <v>641.83079999999995</v>
      </c>
      <c r="BK109" s="13">
        <v>22</v>
      </c>
      <c r="BL109" s="13">
        <v>22</v>
      </c>
      <c r="BM109" s="13">
        <v>0</v>
      </c>
      <c r="BN109" s="13">
        <v>1020.8087</v>
      </c>
      <c r="BO109" s="13">
        <v>206.1773</v>
      </c>
      <c r="BP109" s="13">
        <v>814.63139999999999</v>
      </c>
      <c r="BQ109" s="13">
        <v>39</v>
      </c>
      <c r="BR109" s="13">
        <v>39</v>
      </c>
      <c r="BS109" s="13">
        <v>0</v>
      </c>
      <c r="BT109" s="13">
        <v>661.54319999999996</v>
      </c>
      <c r="BU109" s="13">
        <v>204.85589999999999</v>
      </c>
      <c r="BV109" s="13">
        <v>456.68729999999999</v>
      </c>
      <c r="BW109" s="13">
        <v>14</v>
      </c>
      <c r="BX109" s="13">
        <v>14</v>
      </c>
      <c r="BY109" s="13">
        <v>0</v>
      </c>
      <c r="BZ109" s="13">
        <v>715.42269999999996</v>
      </c>
      <c r="CA109" s="13">
        <v>122.9635</v>
      </c>
      <c r="CB109" s="13">
        <v>592.45920000000001</v>
      </c>
      <c r="CC109" s="13">
        <v>29</v>
      </c>
      <c r="CD109" s="13">
        <v>29</v>
      </c>
      <c r="CE109" s="13">
        <v>0</v>
      </c>
      <c r="CF109" s="13">
        <v>1094.7312999999999</v>
      </c>
      <c r="CG109" s="13">
        <v>119.6422</v>
      </c>
      <c r="CH109" s="13">
        <v>975.08910000000003</v>
      </c>
      <c r="CI109" s="13">
        <v>22</v>
      </c>
      <c r="CJ109" s="13">
        <v>22</v>
      </c>
      <c r="CK109" s="13">
        <v>0</v>
      </c>
      <c r="CL109" s="13">
        <v>437.60809999999998</v>
      </c>
      <c r="CM109" s="13">
        <v>67.321100000000001</v>
      </c>
      <c r="CN109" s="13">
        <v>370.28699999999998</v>
      </c>
      <c r="CO109" s="13">
        <v>22</v>
      </c>
      <c r="CP109" s="13">
        <v>22</v>
      </c>
      <c r="CQ109" s="13">
        <v>0</v>
      </c>
      <c r="CR109" s="13">
        <v>549.27240000000006</v>
      </c>
      <c r="CS109" s="13">
        <v>104.928</v>
      </c>
      <c r="CT109" s="13">
        <v>444.34440000000001</v>
      </c>
      <c r="CU109" s="13">
        <f t="shared" si="16"/>
        <v>340</v>
      </c>
      <c r="CV109" s="13">
        <f t="shared" si="16"/>
        <v>340</v>
      </c>
      <c r="CW109" s="13">
        <f t="shared" si="16"/>
        <v>0</v>
      </c>
      <c r="CX109" s="13">
        <f t="shared" si="12"/>
        <v>9062.557499999999</v>
      </c>
      <c r="CY109" s="13">
        <f t="shared" si="12"/>
        <v>1755.5607</v>
      </c>
      <c r="CZ109" s="13">
        <f t="shared" si="12"/>
        <v>7306.9968000000008</v>
      </c>
      <c r="DA109" s="13">
        <f t="shared" si="17"/>
        <v>73</v>
      </c>
      <c r="DB109" s="13">
        <f t="shared" si="17"/>
        <v>73</v>
      </c>
      <c r="DC109" s="13">
        <f t="shared" si="17"/>
        <v>0</v>
      </c>
      <c r="DD109" s="13">
        <f t="shared" si="13"/>
        <v>2081.6117999999997</v>
      </c>
      <c r="DE109" s="13">
        <f t="shared" si="13"/>
        <v>291.8913</v>
      </c>
      <c r="DF109" s="13">
        <f t="shared" si="13"/>
        <v>1789.7204999999999</v>
      </c>
      <c r="DG109" s="13">
        <f t="shared" si="18"/>
        <v>75</v>
      </c>
      <c r="DH109" s="13">
        <f t="shared" si="18"/>
        <v>75</v>
      </c>
      <c r="DI109" s="13">
        <f t="shared" si="18"/>
        <v>0</v>
      </c>
      <c r="DJ109" s="13">
        <f t="shared" si="14"/>
        <v>2397.7746000000002</v>
      </c>
      <c r="DK109" s="13">
        <f t="shared" si="14"/>
        <v>533.99669999999992</v>
      </c>
      <c r="DL109" s="13">
        <f t="shared" si="14"/>
        <v>1863.7779</v>
      </c>
      <c r="DM109" s="13">
        <f t="shared" si="19"/>
        <v>44</v>
      </c>
      <c r="DN109" s="13">
        <f t="shared" si="19"/>
        <v>44</v>
      </c>
      <c r="DO109" s="13">
        <f t="shared" si="19"/>
        <v>0</v>
      </c>
      <c r="DP109" s="13">
        <f t="shared" si="15"/>
        <v>986.88049999999998</v>
      </c>
      <c r="DQ109" s="13">
        <f t="shared" si="15"/>
        <v>172.2491</v>
      </c>
      <c r="DR109" s="13">
        <f t="shared" si="15"/>
        <v>814.63139999999999</v>
      </c>
      <c r="DS109" s="14" t="s">
        <v>81</v>
      </c>
      <c r="DT109" s="14" t="s">
        <v>81</v>
      </c>
      <c r="DU109" s="14" t="s">
        <v>73</v>
      </c>
      <c r="DV109" s="14" t="s">
        <v>63</v>
      </c>
      <c r="DW109" s="14" t="s">
        <v>74</v>
      </c>
    </row>
    <row r="110" spans="2:127" x14ac:dyDescent="0.3">
      <c r="B110" s="11" t="s">
        <v>53</v>
      </c>
      <c r="C110" s="14">
        <v>5001340536</v>
      </c>
      <c r="D110" s="11" t="s">
        <v>420</v>
      </c>
      <c r="E110" s="11" t="s">
        <v>395</v>
      </c>
      <c r="F110" s="11" t="s">
        <v>421</v>
      </c>
      <c r="G110" s="11" t="s">
        <v>123</v>
      </c>
      <c r="H110" s="11" t="s">
        <v>124</v>
      </c>
      <c r="I110" s="11">
        <v>87109</v>
      </c>
      <c r="J110" s="11" t="s">
        <v>70</v>
      </c>
      <c r="K110" s="11"/>
      <c r="L110" s="11"/>
      <c r="M110" s="11"/>
      <c r="N110" s="11"/>
      <c r="O110" s="13">
        <v>791</v>
      </c>
      <c r="P110" s="13">
        <v>791</v>
      </c>
      <c r="Q110" s="13">
        <v>0</v>
      </c>
      <c r="R110" s="13">
        <v>13468.878699999999</v>
      </c>
      <c r="S110" s="13">
        <v>2138.0965000000001</v>
      </c>
      <c r="T110" s="13">
        <v>11330.7822</v>
      </c>
      <c r="U110" s="13">
        <v>63</v>
      </c>
      <c r="V110" s="13">
        <v>63</v>
      </c>
      <c r="W110" s="13">
        <v>0</v>
      </c>
      <c r="X110" s="13">
        <v>792.96559999999999</v>
      </c>
      <c r="Y110" s="13">
        <v>175.82060000000001</v>
      </c>
      <c r="Z110" s="13">
        <v>617.14499999999998</v>
      </c>
      <c r="AA110" s="13">
        <v>92</v>
      </c>
      <c r="AB110" s="13">
        <v>92</v>
      </c>
      <c r="AC110" s="13">
        <v>0</v>
      </c>
      <c r="AD110" s="13">
        <v>1010.7729</v>
      </c>
      <c r="AE110" s="13">
        <v>257.85599999999999</v>
      </c>
      <c r="AF110" s="13">
        <v>752.91690000000006</v>
      </c>
      <c r="AG110" s="13">
        <v>93</v>
      </c>
      <c r="AH110" s="13">
        <v>93</v>
      </c>
      <c r="AI110" s="13">
        <v>0</v>
      </c>
      <c r="AJ110" s="13">
        <v>893.55130000000008</v>
      </c>
      <c r="AK110" s="13">
        <v>227.03469999999999</v>
      </c>
      <c r="AL110" s="13">
        <v>666.51660000000004</v>
      </c>
      <c r="AM110" s="13">
        <v>67</v>
      </c>
      <c r="AN110" s="13">
        <v>67</v>
      </c>
      <c r="AO110" s="13">
        <v>0</v>
      </c>
      <c r="AP110" s="13">
        <v>951.63760000000002</v>
      </c>
      <c r="AQ110" s="13">
        <v>174.03489999999999</v>
      </c>
      <c r="AR110" s="13">
        <v>777.60270000000003</v>
      </c>
      <c r="AS110" s="13">
        <v>114</v>
      </c>
      <c r="AT110" s="13">
        <v>114</v>
      </c>
      <c r="AU110" s="13">
        <v>0</v>
      </c>
      <c r="AV110" s="13">
        <v>1424.0811000000001</v>
      </c>
      <c r="AW110" s="13">
        <v>288.53430000000003</v>
      </c>
      <c r="AX110" s="13">
        <v>1135.5468000000001</v>
      </c>
      <c r="AY110" s="13">
        <v>73</v>
      </c>
      <c r="AZ110" s="13">
        <v>73</v>
      </c>
      <c r="BA110" s="13">
        <v>0</v>
      </c>
      <c r="BB110" s="13">
        <v>652.53690000000006</v>
      </c>
      <c r="BC110" s="13">
        <v>158.82089999999999</v>
      </c>
      <c r="BD110" s="13">
        <v>493.71600000000001</v>
      </c>
      <c r="BE110" s="13">
        <v>61</v>
      </c>
      <c r="BF110" s="13">
        <v>61</v>
      </c>
      <c r="BG110" s="13">
        <v>0</v>
      </c>
      <c r="BH110" s="13">
        <v>892.60210000000006</v>
      </c>
      <c r="BI110" s="13">
        <v>114.99940000000001</v>
      </c>
      <c r="BJ110" s="13">
        <v>777.60270000000003</v>
      </c>
      <c r="BK110" s="13">
        <v>58</v>
      </c>
      <c r="BL110" s="13">
        <v>58</v>
      </c>
      <c r="BM110" s="13">
        <v>0</v>
      </c>
      <c r="BN110" s="13">
        <v>1271.2671</v>
      </c>
      <c r="BO110" s="13">
        <v>172.749</v>
      </c>
      <c r="BP110" s="13">
        <v>1098.5181</v>
      </c>
      <c r="BQ110" s="13">
        <v>48</v>
      </c>
      <c r="BR110" s="13">
        <v>48</v>
      </c>
      <c r="BS110" s="13">
        <v>0</v>
      </c>
      <c r="BT110" s="13">
        <v>939.19479999999999</v>
      </c>
      <c r="BU110" s="13">
        <v>149.2492</v>
      </c>
      <c r="BV110" s="13">
        <v>789.94560000000001</v>
      </c>
      <c r="BW110" s="13">
        <v>50</v>
      </c>
      <c r="BX110" s="13">
        <v>50</v>
      </c>
      <c r="BY110" s="13">
        <v>0</v>
      </c>
      <c r="BZ110" s="13">
        <v>1074.8453999999999</v>
      </c>
      <c r="CA110" s="13">
        <v>136.785</v>
      </c>
      <c r="CB110" s="13">
        <v>938.06039999999996</v>
      </c>
      <c r="CC110" s="13">
        <v>33</v>
      </c>
      <c r="CD110" s="13">
        <v>33</v>
      </c>
      <c r="CE110" s="13">
        <v>0</v>
      </c>
      <c r="CF110" s="13">
        <v>1389.9467</v>
      </c>
      <c r="CG110" s="13">
        <v>106.2851</v>
      </c>
      <c r="CH110" s="13">
        <v>1283.6615999999999</v>
      </c>
      <c r="CI110" s="13">
        <v>15</v>
      </c>
      <c r="CJ110" s="13">
        <v>15</v>
      </c>
      <c r="CK110" s="13">
        <v>0</v>
      </c>
      <c r="CL110" s="13">
        <v>1141.2887000000001</v>
      </c>
      <c r="CM110" s="13">
        <v>92.142200000000003</v>
      </c>
      <c r="CN110" s="13">
        <v>1049.1465000000001</v>
      </c>
      <c r="CO110" s="13">
        <v>24</v>
      </c>
      <c r="CP110" s="13">
        <v>24</v>
      </c>
      <c r="CQ110" s="13">
        <v>0</v>
      </c>
      <c r="CR110" s="13">
        <v>1034.1885</v>
      </c>
      <c r="CS110" s="13">
        <v>83.785200000000003</v>
      </c>
      <c r="CT110" s="13">
        <v>950.40329999999994</v>
      </c>
      <c r="CU110" s="13">
        <f t="shared" si="16"/>
        <v>728</v>
      </c>
      <c r="CV110" s="13">
        <f t="shared" si="16"/>
        <v>728</v>
      </c>
      <c r="CW110" s="13">
        <f t="shared" si="16"/>
        <v>0</v>
      </c>
      <c r="CX110" s="13">
        <f t="shared" si="12"/>
        <v>12675.913100000002</v>
      </c>
      <c r="CY110" s="13">
        <f t="shared" si="12"/>
        <v>1962.2759000000001</v>
      </c>
      <c r="CZ110" s="13">
        <f t="shared" si="12"/>
        <v>10713.637200000001</v>
      </c>
      <c r="DA110" s="13">
        <f t="shared" si="17"/>
        <v>72</v>
      </c>
      <c r="DB110" s="13">
        <f t="shared" si="17"/>
        <v>72</v>
      </c>
      <c r="DC110" s="13">
        <f t="shared" si="17"/>
        <v>0</v>
      </c>
      <c r="DD110" s="13">
        <f t="shared" si="13"/>
        <v>3565.4238999999998</v>
      </c>
      <c r="DE110" s="13">
        <f t="shared" si="13"/>
        <v>282.21249999999998</v>
      </c>
      <c r="DF110" s="13">
        <f t="shared" si="13"/>
        <v>3283.2114000000001</v>
      </c>
      <c r="DG110" s="13">
        <f t="shared" si="18"/>
        <v>156</v>
      </c>
      <c r="DH110" s="13">
        <f t="shared" si="18"/>
        <v>156</v>
      </c>
      <c r="DI110" s="13">
        <f t="shared" si="18"/>
        <v>0</v>
      </c>
      <c r="DJ110" s="13">
        <f t="shared" si="14"/>
        <v>3285.3073000000004</v>
      </c>
      <c r="DK110" s="13">
        <f t="shared" si="14"/>
        <v>458.78319999999997</v>
      </c>
      <c r="DL110" s="13">
        <f t="shared" si="14"/>
        <v>2826.5241000000001</v>
      </c>
      <c r="DM110" s="13">
        <f t="shared" si="19"/>
        <v>39</v>
      </c>
      <c r="DN110" s="13">
        <f t="shared" si="19"/>
        <v>39</v>
      </c>
      <c r="DO110" s="13">
        <f t="shared" si="19"/>
        <v>0</v>
      </c>
      <c r="DP110" s="13">
        <f t="shared" si="15"/>
        <v>2175.4772000000003</v>
      </c>
      <c r="DQ110" s="13">
        <f t="shared" si="15"/>
        <v>175.92740000000001</v>
      </c>
      <c r="DR110" s="13">
        <f t="shared" si="15"/>
        <v>1999.5498</v>
      </c>
      <c r="DS110" s="14" t="s">
        <v>60</v>
      </c>
      <c r="DT110" s="14" t="s">
        <v>72</v>
      </c>
      <c r="DU110" s="14" t="s">
        <v>73</v>
      </c>
      <c r="DV110" s="14" t="s">
        <v>63</v>
      </c>
      <c r="DW110" s="14" t="s">
        <v>74</v>
      </c>
    </row>
    <row r="111" spans="2:127" x14ac:dyDescent="0.3">
      <c r="B111" s="11" t="s">
        <v>53</v>
      </c>
      <c r="C111" s="14">
        <v>5001340559</v>
      </c>
      <c r="D111" s="11" t="s">
        <v>422</v>
      </c>
      <c r="E111" s="11" t="s">
        <v>395</v>
      </c>
      <c r="F111" s="11" t="s">
        <v>423</v>
      </c>
      <c r="G111" s="11" t="s">
        <v>424</v>
      </c>
      <c r="H111" s="11" t="s">
        <v>177</v>
      </c>
      <c r="I111" s="11">
        <v>85224</v>
      </c>
      <c r="J111" s="11" t="s">
        <v>109</v>
      </c>
      <c r="K111" s="11"/>
      <c r="L111" s="11"/>
      <c r="M111" s="11"/>
      <c r="N111" s="11"/>
      <c r="O111" s="13">
        <v>305</v>
      </c>
      <c r="P111" s="13">
        <v>305</v>
      </c>
      <c r="Q111" s="13">
        <v>0</v>
      </c>
      <c r="R111" s="13">
        <v>53314.827299999997</v>
      </c>
      <c r="S111" s="13">
        <v>3326.0823</v>
      </c>
      <c r="T111" s="13">
        <v>49988.745000000003</v>
      </c>
      <c r="U111" s="13">
        <v>64</v>
      </c>
      <c r="V111" s="13">
        <v>64</v>
      </c>
      <c r="W111" s="13">
        <v>0</v>
      </c>
      <c r="X111" s="13">
        <v>3865.9943000000003</v>
      </c>
      <c r="Y111" s="13">
        <v>459.35390000000001</v>
      </c>
      <c r="Z111" s="13">
        <v>3406.6404000000002</v>
      </c>
      <c r="AA111" s="13">
        <v>32</v>
      </c>
      <c r="AB111" s="13">
        <v>32</v>
      </c>
      <c r="AC111" s="13">
        <v>0</v>
      </c>
      <c r="AD111" s="13">
        <v>4710.3409999999994</v>
      </c>
      <c r="AE111" s="13">
        <v>365.64019999999999</v>
      </c>
      <c r="AF111" s="13">
        <v>4344.7007999999996</v>
      </c>
      <c r="AG111" s="13">
        <v>19</v>
      </c>
      <c r="AH111" s="13">
        <v>19</v>
      </c>
      <c r="AI111" s="13">
        <v>0</v>
      </c>
      <c r="AJ111" s="13">
        <v>3705.2809000000002</v>
      </c>
      <c r="AK111" s="13">
        <v>298.64049999999997</v>
      </c>
      <c r="AL111" s="13">
        <v>3406.6404000000002</v>
      </c>
      <c r="AM111" s="13">
        <v>29</v>
      </c>
      <c r="AN111" s="13">
        <v>29</v>
      </c>
      <c r="AO111" s="13">
        <v>0</v>
      </c>
      <c r="AP111" s="13">
        <v>3417.8944000000001</v>
      </c>
      <c r="AQ111" s="13">
        <v>295.14069999999998</v>
      </c>
      <c r="AR111" s="13">
        <v>3122.7537000000002</v>
      </c>
      <c r="AS111" s="13">
        <v>35</v>
      </c>
      <c r="AT111" s="13">
        <v>35</v>
      </c>
      <c r="AU111" s="13">
        <v>0</v>
      </c>
      <c r="AV111" s="13">
        <v>4405.7341000000006</v>
      </c>
      <c r="AW111" s="13">
        <v>246.17679999999999</v>
      </c>
      <c r="AX111" s="13">
        <v>4159.5573000000004</v>
      </c>
      <c r="AY111" s="13">
        <v>21</v>
      </c>
      <c r="AZ111" s="13">
        <v>21</v>
      </c>
      <c r="BA111" s="13">
        <v>0</v>
      </c>
      <c r="BB111" s="13">
        <v>3994.6401999999998</v>
      </c>
      <c r="BC111" s="13">
        <v>217.71279999999999</v>
      </c>
      <c r="BD111" s="13">
        <v>3776.9274</v>
      </c>
      <c r="BE111" s="13">
        <v>21</v>
      </c>
      <c r="BF111" s="13">
        <v>21</v>
      </c>
      <c r="BG111" s="13">
        <v>0</v>
      </c>
      <c r="BH111" s="13">
        <v>3646.3386999999998</v>
      </c>
      <c r="BI111" s="13">
        <v>227.3554</v>
      </c>
      <c r="BJ111" s="13">
        <v>3418.9832999999999</v>
      </c>
      <c r="BK111" s="13">
        <v>14</v>
      </c>
      <c r="BL111" s="13">
        <v>14</v>
      </c>
      <c r="BM111" s="13">
        <v>0</v>
      </c>
      <c r="BN111" s="13">
        <v>5069.3786</v>
      </c>
      <c r="BO111" s="13">
        <v>292.67630000000003</v>
      </c>
      <c r="BP111" s="13">
        <v>4776.7022999999999</v>
      </c>
      <c r="BQ111" s="13">
        <v>0</v>
      </c>
      <c r="BR111" s="13">
        <v>0</v>
      </c>
      <c r="BS111" s="13">
        <v>0</v>
      </c>
      <c r="BT111" s="13">
        <v>4226.4764000000005</v>
      </c>
      <c r="BU111" s="13">
        <v>215.03389999999999</v>
      </c>
      <c r="BV111" s="13">
        <v>4011.4425000000001</v>
      </c>
      <c r="BW111" s="13">
        <v>14</v>
      </c>
      <c r="BX111" s="13">
        <v>14</v>
      </c>
      <c r="BY111" s="13">
        <v>0</v>
      </c>
      <c r="BZ111" s="13">
        <v>3769.9037999999996</v>
      </c>
      <c r="CA111" s="13">
        <v>190.46279999999999</v>
      </c>
      <c r="CB111" s="13">
        <v>3579.4409999999998</v>
      </c>
      <c r="CC111" s="13">
        <v>28</v>
      </c>
      <c r="CD111" s="13">
        <v>28</v>
      </c>
      <c r="CE111" s="13">
        <v>0</v>
      </c>
      <c r="CF111" s="13">
        <v>4676.6423999999997</v>
      </c>
      <c r="CG111" s="13">
        <v>220.85550000000001</v>
      </c>
      <c r="CH111" s="13">
        <v>4455.7869000000001</v>
      </c>
      <c r="CI111" s="13">
        <v>7</v>
      </c>
      <c r="CJ111" s="13">
        <v>7</v>
      </c>
      <c r="CK111" s="13">
        <v>0</v>
      </c>
      <c r="CL111" s="13">
        <v>3712.9540999999999</v>
      </c>
      <c r="CM111" s="13">
        <v>145.85599999999999</v>
      </c>
      <c r="CN111" s="13">
        <v>3567.0981000000002</v>
      </c>
      <c r="CO111" s="13">
        <v>21</v>
      </c>
      <c r="CP111" s="13">
        <v>21</v>
      </c>
      <c r="CQ111" s="13">
        <v>0</v>
      </c>
      <c r="CR111" s="13">
        <v>4113.2484000000004</v>
      </c>
      <c r="CS111" s="13">
        <v>151.17750000000001</v>
      </c>
      <c r="CT111" s="13">
        <v>3962.0709000000002</v>
      </c>
      <c r="CU111" s="13">
        <f t="shared" si="16"/>
        <v>241</v>
      </c>
      <c r="CV111" s="13">
        <f t="shared" si="16"/>
        <v>241</v>
      </c>
      <c r="CW111" s="13">
        <f t="shared" si="16"/>
        <v>0</v>
      </c>
      <c r="CX111" s="13">
        <f t="shared" si="12"/>
        <v>49448.832999999999</v>
      </c>
      <c r="CY111" s="13">
        <f t="shared" si="12"/>
        <v>2866.7284</v>
      </c>
      <c r="CZ111" s="13">
        <f t="shared" si="12"/>
        <v>46582.104600000006</v>
      </c>
      <c r="DA111" s="13">
        <f t="shared" si="17"/>
        <v>56</v>
      </c>
      <c r="DB111" s="13">
        <f t="shared" si="17"/>
        <v>56</v>
      </c>
      <c r="DC111" s="13">
        <f t="shared" si="17"/>
        <v>0</v>
      </c>
      <c r="DD111" s="13">
        <f t="shared" si="13"/>
        <v>12502.8449</v>
      </c>
      <c r="DE111" s="13">
        <f t="shared" si="13"/>
        <v>517.88900000000001</v>
      </c>
      <c r="DF111" s="13">
        <f t="shared" si="13"/>
        <v>11984.955900000001</v>
      </c>
      <c r="DG111" s="13">
        <f t="shared" si="18"/>
        <v>28</v>
      </c>
      <c r="DH111" s="13">
        <f t="shared" si="18"/>
        <v>28</v>
      </c>
      <c r="DI111" s="13">
        <f t="shared" si="18"/>
        <v>0</v>
      </c>
      <c r="DJ111" s="13">
        <f t="shared" si="14"/>
        <v>13065.7588</v>
      </c>
      <c r="DK111" s="13">
        <f t="shared" si="14"/>
        <v>698.173</v>
      </c>
      <c r="DL111" s="13">
        <f t="shared" si="14"/>
        <v>12367.585800000001</v>
      </c>
      <c r="DM111" s="13">
        <f t="shared" si="19"/>
        <v>28</v>
      </c>
      <c r="DN111" s="13">
        <f t="shared" si="19"/>
        <v>28</v>
      </c>
      <c r="DO111" s="13">
        <f t="shared" si="19"/>
        <v>0</v>
      </c>
      <c r="DP111" s="13">
        <f t="shared" si="15"/>
        <v>7826.2025000000003</v>
      </c>
      <c r="DQ111" s="13">
        <f t="shared" si="15"/>
        <v>297.0335</v>
      </c>
      <c r="DR111" s="13">
        <f t="shared" si="15"/>
        <v>7529.1689999999999</v>
      </c>
      <c r="DS111" s="14" t="s">
        <v>71</v>
      </c>
      <c r="DT111" s="14" t="s">
        <v>81</v>
      </c>
      <c r="DU111" s="14" t="s">
        <v>113</v>
      </c>
      <c r="DV111" s="14" t="s">
        <v>63</v>
      </c>
      <c r="DW111" s="14" t="s">
        <v>74</v>
      </c>
    </row>
    <row r="112" spans="2:127" x14ac:dyDescent="0.3">
      <c r="B112" s="11" t="s">
        <v>53</v>
      </c>
      <c r="C112" s="14">
        <v>5001340814</v>
      </c>
      <c r="D112" s="11" t="s">
        <v>425</v>
      </c>
      <c r="E112" s="11" t="s">
        <v>395</v>
      </c>
      <c r="F112" s="11" t="s">
        <v>426</v>
      </c>
      <c r="G112" s="11" t="s">
        <v>427</v>
      </c>
      <c r="H112" s="11" t="s">
        <v>173</v>
      </c>
      <c r="I112" s="11">
        <v>98683</v>
      </c>
      <c r="J112" s="11" t="s">
        <v>70</v>
      </c>
      <c r="K112" s="11"/>
      <c r="L112" s="11"/>
      <c r="M112" s="11"/>
      <c r="N112" s="11"/>
      <c r="O112" s="13">
        <v>7</v>
      </c>
      <c r="P112" s="13">
        <v>7</v>
      </c>
      <c r="Q112" s="13">
        <v>0</v>
      </c>
      <c r="R112" s="13">
        <v>19697.7775</v>
      </c>
      <c r="S112" s="13">
        <v>504.56799999999998</v>
      </c>
      <c r="T112" s="13">
        <v>19193.209500000001</v>
      </c>
      <c r="U112" s="13">
        <v>7</v>
      </c>
      <c r="V112" s="13">
        <v>7</v>
      </c>
      <c r="W112" s="13">
        <v>0</v>
      </c>
      <c r="X112" s="13">
        <v>1438.3902999999998</v>
      </c>
      <c r="Y112" s="13">
        <v>43.642600000000002</v>
      </c>
      <c r="Z112" s="13">
        <v>1394.7476999999999</v>
      </c>
      <c r="AA112" s="13">
        <v>0</v>
      </c>
      <c r="AB112" s="13">
        <v>0</v>
      </c>
      <c r="AC112" s="13">
        <v>0</v>
      </c>
      <c r="AD112" s="13">
        <v>1690.5911999999998</v>
      </c>
      <c r="AE112" s="13">
        <v>36.642600000000002</v>
      </c>
      <c r="AF112" s="13">
        <v>1653.9485999999999</v>
      </c>
      <c r="AG112" s="13">
        <v>0</v>
      </c>
      <c r="AH112" s="13">
        <v>0</v>
      </c>
      <c r="AI112" s="13">
        <v>0</v>
      </c>
      <c r="AJ112" s="13">
        <v>1394.3616</v>
      </c>
      <c r="AK112" s="13">
        <v>36.642600000000002</v>
      </c>
      <c r="AL112" s="13">
        <v>1357.7190000000001</v>
      </c>
      <c r="AM112" s="13">
        <v>0</v>
      </c>
      <c r="AN112" s="13">
        <v>0</v>
      </c>
      <c r="AO112" s="13">
        <v>0</v>
      </c>
      <c r="AP112" s="13">
        <v>1287.1326000000001</v>
      </c>
      <c r="AQ112" s="13">
        <v>40.499699999999997</v>
      </c>
      <c r="AR112" s="13">
        <v>1246.6329000000001</v>
      </c>
      <c r="AS112" s="13">
        <v>0</v>
      </c>
      <c r="AT112" s="13">
        <v>0</v>
      </c>
      <c r="AU112" s="13">
        <v>0</v>
      </c>
      <c r="AV112" s="13">
        <v>1796.4699000000001</v>
      </c>
      <c r="AW112" s="13">
        <v>68.463899999999995</v>
      </c>
      <c r="AX112" s="13">
        <v>1728.0060000000001</v>
      </c>
      <c r="AY112" s="13">
        <v>0</v>
      </c>
      <c r="AZ112" s="13">
        <v>0</v>
      </c>
      <c r="BA112" s="13">
        <v>0</v>
      </c>
      <c r="BB112" s="13">
        <v>1443.7331999999999</v>
      </c>
      <c r="BC112" s="13">
        <v>36.642600000000002</v>
      </c>
      <c r="BD112" s="13">
        <v>1407.0906</v>
      </c>
      <c r="BE112" s="13">
        <v>0</v>
      </c>
      <c r="BF112" s="13">
        <v>0</v>
      </c>
      <c r="BG112" s="13">
        <v>0</v>
      </c>
      <c r="BH112" s="13">
        <v>1538.8119999999999</v>
      </c>
      <c r="BI112" s="13">
        <v>45.321100000000001</v>
      </c>
      <c r="BJ112" s="13">
        <v>1493.4909</v>
      </c>
      <c r="BK112" s="13">
        <v>0</v>
      </c>
      <c r="BL112" s="13">
        <v>0</v>
      </c>
      <c r="BM112" s="13">
        <v>0</v>
      </c>
      <c r="BN112" s="13">
        <v>1752.3056999999999</v>
      </c>
      <c r="BO112" s="13">
        <v>36.642600000000002</v>
      </c>
      <c r="BP112" s="13">
        <v>1715.6631</v>
      </c>
      <c r="BQ112" s="13">
        <v>0</v>
      </c>
      <c r="BR112" s="13">
        <v>0</v>
      </c>
      <c r="BS112" s="13">
        <v>0</v>
      </c>
      <c r="BT112" s="13">
        <v>1493.1047999999998</v>
      </c>
      <c r="BU112" s="13">
        <v>36.642600000000002</v>
      </c>
      <c r="BV112" s="13">
        <v>1456.4621999999999</v>
      </c>
      <c r="BW112" s="13">
        <v>0</v>
      </c>
      <c r="BX112" s="13">
        <v>0</v>
      </c>
      <c r="BY112" s="13">
        <v>0</v>
      </c>
      <c r="BZ112" s="13">
        <v>1604.1908999999998</v>
      </c>
      <c r="CA112" s="13">
        <v>36.642600000000002</v>
      </c>
      <c r="CB112" s="13">
        <v>1567.5482999999999</v>
      </c>
      <c r="CC112" s="13">
        <v>0</v>
      </c>
      <c r="CD112" s="13">
        <v>0</v>
      </c>
      <c r="CE112" s="13">
        <v>0</v>
      </c>
      <c r="CF112" s="13">
        <v>1838.7059999999999</v>
      </c>
      <c r="CG112" s="13">
        <v>36.642600000000002</v>
      </c>
      <c r="CH112" s="13">
        <v>1802.0634</v>
      </c>
      <c r="CI112" s="13">
        <v>0</v>
      </c>
      <c r="CJ112" s="13">
        <v>0</v>
      </c>
      <c r="CK112" s="13">
        <v>0</v>
      </c>
      <c r="CL112" s="13">
        <v>1138.8251</v>
      </c>
      <c r="CM112" s="13">
        <v>27.964099999999998</v>
      </c>
      <c r="CN112" s="13">
        <v>1110.8610000000001</v>
      </c>
      <c r="CO112" s="13">
        <v>0</v>
      </c>
      <c r="CP112" s="13">
        <v>0</v>
      </c>
      <c r="CQ112" s="13">
        <v>0</v>
      </c>
      <c r="CR112" s="13">
        <v>1281.1541999999999</v>
      </c>
      <c r="CS112" s="13">
        <v>22.1784</v>
      </c>
      <c r="CT112" s="13">
        <v>1258.9757999999999</v>
      </c>
      <c r="CU112" s="13">
        <f t="shared" si="16"/>
        <v>0</v>
      </c>
      <c r="CV112" s="13">
        <f t="shared" si="16"/>
        <v>0</v>
      </c>
      <c r="CW112" s="13">
        <f t="shared" si="16"/>
        <v>0</v>
      </c>
      <c r="CX112" s="13">
        <f t="shared" si="12"/>
        <v>18259.387200000001</v>
      </c>
      <c r="CY112" s="13">
        <f t="shared" si="12"/>
        <v>460.92540000000002</v>
      </c>
      <c r="CZ112" s="13">
        <f t="shared" si="12"/>
        <v>17798.461800000001</v>
      </c>
      <c r="DA112" s="13">
        <f t="shared" si="17"/>
        <v>0</v>
      </c>
      <c r="DB112" s="13">
        <f t="shared" si="17"/>
        <v>0</v>
      </c>
      <c r="DC112" s="13">
        <f t="shared" si="17"/>
        <v>0</v>
      </c>
      <c r="DD112" s="13">
        <f t="shared" si="13"/>
        <v>4258.6853000000001</v>
      </c>
      <c r="DE112" s="13">
        <f t="shared" si="13"/>
        <v>86.7851</v>
      </c>
      <c r="DF112" s="13">
        <f t="shared" si="13"/>
        <v>4171.9002</v>
      </c>
      <c r="DG112" s="13">
        <f t="shared" si="18"/>
        <v>0</v>
      </c>
      <c r="DH112" s="13">
        <f t="shared" si="18"/>
        <v>0</v>
      </c>
      <c r="DI112" s="13">
        <f t="shared" si="18"/>
        <v>0</v>
      </c>
      <c r="DJ112" s="13">
        <f t="shared" si="14"/>
        <v>4849.6013999999996</v>
      </c>
      <c r="DK112" s="13">
        <f t="shared" si="14"/>
        <v>109.9278</v>
      </c>
      <c r="DL112" s="13">
        <f t="shared" si="14"/>
        <v>4739.6736000000001</v>
      </c>
      <c r="DM112" s="13">
        <f t="shared" si="19"/>
        <v>0</v>
      </c>
      <c r="DN112" s="13">
        <f t="shared" si="19"/>
        <v>0</v>
      </c>
      <c r="DO112" s="13">
        <f t="shared" si="19"/>
        <v>0</v>
      </c>
      <c r="DP112" s="13">
        <f t="shared" si="15"/>
        <v>2419.9793</v>
      </c>
      <c r="DQ112" s="13">
        <f t="shared" si="15"/>
        <v>50.142499999999998</v>
      </c>
      <c r="DR112" s="13">
        <f t="shared" si="15"/>
        <v>2369.8368</v>
      </c>
      <c r="DS112" s="14" t="s">
        <v>138</v>
      </c>
      <c r="DT112" s="14" t="s">
        <v>81</v>
      </c>
      <c r="DU112" s="14" t="s">
        <v>73</v>
      </c>
      <c r="DV112" s="14" t="s">
        <v>63</v>
      </c>
      <c r="DW112" s="14" t="s">
        <v>74</v>
      </c>
    </row>
    <row r="113" spans="2:127" x14ac:dyDescent="0.3">
      <c r="B113" s="11" t="s">
        <v>83</v>
      </c>
      <c r="C113" s="14">
        <v>5001340817</v>
      </c>
      <c r="D113" s="11" t="s">
        <v>428</v>
      </c>
      <c r="E113" s="11" t="s">
        <v>395</v>
      </c>
      <c r="F113" s="11" t="s">
        <v>429</v>
      </c>
      <c r="G113" s="11" t="s">
        <v>430</v>
      </c>
      <c r="H113" s="11" t="s">
        <v>296</v>
      </c>
      <c r="I113" s="11">
        <v>60173</v>
      </c>
      <c r="J113" s="11" t="s">
        <v>70</v>
      </c>
      <c r="K113" s="11"/>
      <c r="L113" s="11"/>
      <c r="M113" s="11"/>
      <c r="N113" s="11"/>
      <c r="O113" s="13">
        <v>382</v>
      </c>
      <c r="P113" s="13">
        <v>382</v>
      </c>
      <c r="Q113" s="13">
        <v>0</v>
      </c>
      <c r="R113" s="13">
        <v>35033.286999999997</v>
      </c>
      <c r="S113" s="13">
        <v>5077.0686999999998</v>
      </c>
      <c r="T113" s="13">
        <v>29956.2183</v>
      </c>
      <c r="U113" s="13">
        <v>43</v>
      </c>
      <c r="V113" s="13">
        <v>43</v>
      </c>
      <c r="W113" s="13">
        <v>0</v>
      </c>
      <c r="X113" s="13">
        <v>2367.1241999999997</v>
      </c>
      <c r="Y113" s="13">
        <v>466.31760000000003</v>
      </c>
      <c r="Z113" s="13">
        <v>1900.8065999999999</v>
      </c>
      <c r="AA113" s="13">
        <v>14</v>
      </c>
      <c r="AB113" s="13">
        <v>14</v>
      </c>
      <c r="AC113" s="13">
        <v>0</v>
      </c>
      <c r="AD113" s="13">
        <v>3083.5189999999998</v>
      </c>
      <c r="AE113" s="13">
        <v>503.85289999999998</v>
      </c>
      <c r="AF113" s="13">
        <v>2579.6660999999999</v>
      </c>
      <c r="AG113" s="13">
        <v>28</v>
      </c>
      <c r="AH113" s="13">
        <v>28</v>
      </c>
      <c r="AI113" s="13">
        <v>0</v>
      </c>
      <c r="AJ113" s="13">
        <v>2585.2908000000002</v>
      </c>
      <c r="AK113" s="13">
        <v>363.56880000000001</v>
      </c>
      <c r="AL113" s="13">
        <v>2221.7220000000002</v>
      </c>
      <c r="AM113" s="13">
        <v>28</v>
      </c>
      <c r="AN113" s="13">
        <v>28</v>
      </c>
      <c r="AO113" s="13">
        <v>0</v>
      </c>
      <c r="AP113" s="13">
        <v>2231.3973000000001</v>
      </c>
      <c r="AQ113" s="13">
        <v>318.24779999999998</v>
      </c>
      <c r="AR113" s="13">
        <v>1913.1495</v>
      </c>
      <c r="AS113" s="13">
        <v>19</v>
      </c>
      <c r="AT113" s="13">
        <v>19</v>
      </c>
      <c r="AU113" s="13">
        <v>0</v>
      </c>
      <c r="AV113" s="13">
        <v>3259.3922000000002</v>
      </c>
      <c r="AW113" s="13">
        <v>445.21100000000001</v>
      </c>
      <c r="AX113" s="13">
        <v>2814.1812</v>
      </c>
      <c r="AY113" s="13">
        <v>28</v>
      </c>
      <c r="AZ113" s="13">
        <v>28</v>
      </c>
      <c r="BA113" s="13">
        <v>0</v>
      </c>
      <c r="BB113" s="13">
        <v>2462.6335000000004</v>
      </c>
      <c r="BC113" s="13">
        <v>351.99759999999998</v>
      </c>
      <c r="BD113" s="13">
        <v>2110.6359000000002</v>
      </c>
      <c r="BE113" s="13">
        <v>45</v>
      </c>
      <c r="BF113" s="13">
        <v>45</v>
      </c>
      <c r="BG113" s="13">
        <v>0</v>
      </c>
      <c r="BH113" s="13">
        <v>2389.5693000000001</v>
      </c>
      <c r="BI113" s="13">
        <v>315.96210000000002</v>
      </c>
      <c r="BJ113" s="13">
        <v>2073.6071999999999</v>
      </c>
      <c r="BK113" s="13">
        <v>19</v>
      </c>
      <c r="BL113" s="13">
        <v>19</v>
      </c>
      <c r="BM113" s="13">
        <v>0</v>
      </c>
      <c r="BN113" s="13">
        <v>3249.3621000000003</v>
      </c>
      <c r="BO113" s="13">
        <v>533.92409999999995</v>
      </c>
      <c r="BP113" s="13">
        <v>2715.4380000000001</v>
      </c>
      <c r="BQ113" s="13">
        <v>38</v>
      </c>
      <c r="BR113" s="13">
        <v>38</v>
      </c>
      <c r="BS113" s="13">
        <v>0</v>
      </c>
      <c r="BT113" s="13">
        <v>2413.2325999999998</v>
      </c>
      <c r="BU113" s="13">
        <v>388.99700000000001</v>
      </c>
      <c r="BV113" s="13">
        <v>2024.2356</v>
      </c>
      <c r="BW113" s="13">
        <v>25</v>
      </c>
      <c r="BX113" s="13">
        <v>25</v>
      </c>
      <c r="BY113" s="13">
        <v>0</v>
      </c>
      <c r="BZ113" s="13">
        <v>2707.6489999999999</v>
      </c>
      <c r="CA113" s="13">
        <v>300.7835</v>
      </c>
      <c r="CB113" s="13">
        <v>2406.8654999999999</v>
      </c>
      <c r="CC113" s="13">
        <v>32</v>
      </c>
      <c r="CD113" s="13">
        <v>32</v>
      </c>
      <c r="CE113" s="13">
        <v>0</v>
      </c>
      <c r="CF113" s="13">
        <v>3371.5205000000001</v>
      </c>
      <c r="CG113" s="13">
        <v>483.28190000000001</v>
      </c>
      <c r="CH113" s="13">
        <v>2888.2386000000001</v>
      </c>
      <c r="CI113" s="13">
        <v>25</v>
      </c>
      <c r="CJ113" s="13">
        <v>25</v>
      </c>
      <c r="CK113" s="13">
        <v>0</v>
      </c>
      <c r="CL113" s="13">
        <v>2281.2406000000001</v>
      </c>
      <c r="CM113" s="13">
        <v>294.03370000000001</v>
      </c>
      <c r="CN113" s="13">
        <v>1987.2068999999999</v>
      </c>
      <c r="CO113" s="13">
        <v>38</v>
      </c>
      <c r="CP113" s="13">
        <v>38</v>
      </c>
      <c r="CQ113" s="13">
        <v>0</v>
      </c>
      <c r="CR113" s="13">
        <v>2631.3559</v>
      </c>
      <c r="CS113" s="13">
        <v>310.89069999999998</v>
      </c>
      <c r="CT113" s="13">
        <v>2320.4652000000001</v>
      </c>
      <c r="CU113" s="13">
        <f t="shared" si="16"/>
        <v>339</v>
      </c>
      <c r="CV113" s="13">
        <f t="shared" si="16"/>
        <v>339</v>
      </c>
      <c r="CW113" s="13">
        <f t="shared" si="16"/>
        <v>0</v>
      </c>
      <c r="CX113" s="13">
        <f t="shared" si="12"/>
        <v>32666.162799999998</v>
      </c>
      <c r="CY113" s="13">
        <f t="shared" si="12"/>
        <v>4610.7510999999995</v>
      </c>
      <c r="CZ113" s="13">
        <f t="shared" si="12"/>
        <v>28055.411700000001</v>
      </c>
      <c r="DA113" s="13">
        <f t="shared" si="17"/>
        <v>95</v>
      </c>
      <c r="DB113" s="13">
        <f t="shared" si="17"/>
        <v>95</v>
      </c>
      <c r="DC113" s="13">
        <f t="shared" si="17"/>
        <v>0</v>
      </c>
      <c r="DD113" s="13">
        <f t="shared" si="13"/>
        <v>8284.1170000000002</v>
      </c>
      <c r="DE113" s="13">
        <f t="shared" si="13"/>
        <v>1088.2063000000001</v>
      </c>
      <c r="DF113" s="13">
        <f t="shared" si="13"/>
        <v>7195.9107000000004</v>
      </c>
      <c r="DG113" s="13">
        <f t="shared" si="18"/>
        <v>82</v>
      </c>
      <c r="DH113" s="13">
        <f t="shared" si="18"/>
        <v>82</v>
      </c>
      <c r="DI113" s="13">
        <f t="shared" si="18"/>
        <v>0</v>
      </c>
      <c r="DJ113" s="13">
        <f t="shared" si="14"/>
        <v>8370.2436999999991</v>
      </c>
      <c r="DK113" s="13">
        <f t="shared" si="14"/>
        <v>1223.7046</v>
      </c>
      <c r="DL113" s="13">
        <f t="shared" si="14"/>
        <v>7146.5391</v>
      </c>
      <c r="DM113" s="13">
        <f t="shared" si="19"/>
        <v>63</v>
      </c>
      <c r="DN113" s="13">
        <f t="shared" si="19"/>
        <v>63</v>
      </c>
      <c r="DO113" s="13">
        <f t="shared" si="19"/>
        <v>0</v>
      </c>
      <c r="DP113" s="13">
        <f t="shared" si="15"/>
        <v>4912.5964999999997</v>
      </c>
      <c r="DQ113" s="13">
        <f t="shared" si="15"/>
        <v>604.92439999999999</v>
      </c>
      <c r="DR113" s="13">
        <f t="shared" si="15"/>
        <v>4307.6720999999998</v>
      </c>
      <c r="DS113" s="14" t="s">
        <v>71</v>
      </c>
      <c r="DT113" s="14" t="s">
        <v>81</v>
      </c>
      <c r="DU113" s="14" t="s">
        <v>146</v>
      </c>
      <c r="DV113" s="14" t="s">
        <v>63</v>
      </c>
      <c r="DW113" s="14" t="s">
        <v>74</v>
      </c>
    </row>
    <row r="114" spans="2:127" x14ac:dyDescent="0.3">
      <c r="B114" s="11" t="s">
        <v>65</v>
      </c>
      <c r="C114" s="14">
        <v>5001340904</v>
      </c>
      <c r="D114" s="11" t="s">
        <v>431</v>
      </c>
      <c r="E114" s="11" t="s">
        <v>395</v>
      </c>
      <c r="F114" s="11" t="s">
        <v>432</v>
      </c>
      <c r="G114" s="11" t="s">
        <v>433</v>
      </c>
      <c r="H114" s="11" t="s">
        <v>340</v>
      </c>
      <c r="I114" s="11">
        <v>7046</v>
      </c>
      <c r="J114" s="11" t="s">
        <v>109</v>
      </c>
      <c r="K114" s="11"/>
      <c r="L114" s="11"/>
      <c r="M114" s="11"/>
      <c r="N114" s="11"/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0</v>
      </c>
      <c r="BD114" s="13">
        <v>0</v>
      </c>
      <c r="BE114" s="13">
        <v>0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>
        <v>0</v>
      </c>
      <c r="BL114" s="13">
        <v>0</v>
      </c>
      <c r="BM114" s="13">
        <v>0</v>
      </c>
      <c r="BN114" s="13">
        <v>0</v>
      </c>
      <c r="BO114" s="13">
        <v>0</v>
      </c>
      <c r="BP114" s="13">
        <v>0</v>
      </c>
      <c r="BQ114" s="13">
        <v>0</v>
      </c>
      <c r="BR114" s="13">
        <v>0</v>
      </c>
      <c r="BS114" s="13">
        <v>0</v>
      </c>
      <c r="BT114" s="13">
        <v>0</v>
      </c>
      <c r="BU114" s="13">
        <v>0</v>
      </c>
      <c r="BV114" s="13">
        <v>0</v>
      </c>
      <c r="BW114" s="13">
        <v>0</v>
      </c>
      <c r="BX114" s="13">
        <v>0</v>
      </c>
      <c r="BY114" s="13">
        <v>0</v>
      </c>
      <c r="BZ114" s="13">
        <v>0</v>
      </c>
      <c r="CA114" s="13">
        <v>0</v>
      </c>
      <c r="CB114" s="13">
        <v>0</v>
      </c>
      <c r="CC114" s="13">
        <v>0</v>
      </c>
      <c r="CD114" s="13">
        <v>0</v>
      </c>
      <c r="CE114" s="13">
        <v>0</v>
      </c>
      <c r="CF114" s="13">
        <v>0</v>
      </c>
      <c r="CG114" s="13">
        <v>0</v>
      </c>
      <c r="CH114" s="13">
        <v>0</v>
      </c>
      <c r="CI114" s="13">
        <v>0</v>
      </c>
      <c r="CJ114" s="13">
        <v>0</v>
      </c>
      <c r="CK114" s="13">
        <v>0</v>
      </c>
      <c r="CL114" s="13">
        <v>0</v>
      </c>
      <c r="CM114" s="13">
        <v>0</v>
      </c>
      <c r="CN114" s="13">
        <v>0</v>
      </c>
      <c r="CO114" s="13">
        <v>0</v>
      </c>
      <c r="CP114" s="13">
        <v>0</v>
      </c>
      <c r="CQ114" s="13">
        <v>0</v>
      </c>
      <c r="CR114" s="13">
        <v>0</v>
      </c>
      <c r="CS114" s="13">
        <v>0</v>
      </c>
      <c r="CT114" s="13">
        <v>0</v>
      </c>
      <c r="CU114" s="13">
        <f t="shared" si="16"/>
        <v>0</v>
      </c>
      <c r="CV114" s="13">
        <f t="shared" si="16"/>
        <v>0</v>
      </c>
      <c r="CW114" s="13">
        <f t="shared" si="16"/>
        <v>0</v>
      </c>
      <c r="CX114" s="13">
        <f t="shared" si="12"/>
        <v>0</v>
      </c>
      <c r="CY114" s="13">
        <f t="shared" si="12"/>
        <v>0</v>
      </c>
      <c r="CZ114" s="13">
        <f t="shared" si="12"/>
        <v>0</v>
      </c>
      <c r="DA114" s="13">
        <f t="shared" si="17"/>
        <v>0</v>
      </c>
      <c r="DB114" s="13">
        <f t="shared" si="17"/>
        <v>0</v>
      </c>
      <c r="DC114" s="13">
        <f t="shared" si="17"/>
        <v>0</v>
      </c>
      <c r="DD114" s="13">
        <f t="shared" si="13"/>
        <v>0</v>
      </c>
      <c r="DE114" s="13">
        <f t="shared" si="13"/>
        <v>0</v>
      </c>
      <c r="DF114" s="13">
        <f t="shared" si="13"/>
        <v>0</v>
      </c>
      <c r="DG114" s="13">
        <f t="shared" si="18"/>
        <v>0</v>
      </c>
      <c r="DH114" s="13">
        <f t="shared" si="18"/>
        <v>0</v>
      </c>
      <c r="DI114" s="13">
        <f t="shared" si="18"/>
        <v>0</v>
      </c>
      <c r="DJ114" s="13">
        <f t="shared" si="14"/>
        <v>0</v>
      </c>
      <c r="DK114" s="13">
        <f t="shared" si="14"/>
        <v>0</v>
      </c>
      <c r="DL114" s="13">
        <f t="shared" si="14"/>
        <v>0</v>
      </c>
      <c r="DM114" s="13">
        <f t="shared" si="19"/>
        <v>0</v>
      </c>
      <c r="DN114" s="13">
        <f t="shared" si="19"/>
        <v>0</v>
      </c>
      <c r="DO114" s="13">
        <f t="shared" si="19"/>
        <v>0</v>
      </c>
      <c r="DP114" s="13">
        <f t="shared" si="15"/>
        <v>0</v>
      </c>
      <c r="DQ114" s="13">
        <f t="shared" si="15"/>
        <v>0</v>
      </c>
      <c r="DR114" s="13">
        <f t="shared" si="15"/>
        <v>0</v>
      </c>
      <c r="DS114" s="14" t="s">
        <v>60</v>
      </c>
      <c r="DT114" s="14" t="s">
        <v>81</v>
      </c>
      <c r="DU114" s="14" t="s">
        <v>73</v>
      </c>
      <c r="DV114" s="14" t="s">
        <v>372</v>
      </c>
      <c r="DW114" s="14" t="s">
        <v>74</v>
      </c>
    </row>
    <row r="115" spans="2:127" x14ac:dyDescent="0.3">
      <c r="B115" s="11" t="s">
        <v>75</v>
      </c>
      <c r="C115" s="14">
        <v>5001340988</v>
      </c>
      <c r="D115" s="11" t="s">
        <v>434</v>
      </c>
      <c r="E115" s="11" t="s">
        <v>395</v>
      </c>
      <c r="F115" s="11" t="s">
        <v>435</v>
      </c>
      <c r="G115" s="11" t="s">
        <v>156</v>
      </c>
      <c r="H115" s="11" t="s">
        <v>157</v>
      </c>
      <c r="I115" s="11">
        <v>30318</v>
      </c>
      <c r="J115" s="11" t="s">
        <v>80</v>
      </c>
      <c r="K115" s="11"/>
      <c r="L115" s="11"/>
      <c r="M115" s="11"/>
      <c r="N115" s="11"/>
      <c r="O115" s="13">
        <v>647</v>
      </c>
      <c r="P115" s="13">
        <v>647</v>
      </c>
      <c r="Q115" s="13">
        <v>0</v>
      </c>
      <c r="R115" s="13">
        <v>25692.662400000001</v>
      </c>
      <c r="S115" s="13">
        <v>1574.6358</v>
      </c>
      <c r="T115" s="13">
        <v>24118.026600000001</v>
      </c>
      <c r="U115" s="13">
        <v>133</v>
      </c>
      <c r="V115" s="13">
        <v>133</v>
      </c>
      <c r="W115" s="13">
        <v>0</v>
      </c>
      <c r="X115" s="13">
        <v>1885.4976000000001</v>
      </c>
      <c r="Y115" s="13">
        <v>243.89190000000002</v>
      </c>
      <c r="Z115" s="13">
        <v>1641.6057000000001</v>
      </c>
      <c r="AA115" s="13">
        <v>57</v>
      </c>
      <c r="AB115" s="13">
        <v>57</v>
      </c>
      <c r="AC115" s="13">
        <v>0</v>
      </c>
      <c r="AD115" s="13">
        <v>2339.8568999999998</v>
      </c>
      <c r="AE115" s="13">
        <v>142.82069999999999</v>
      </c>
      <c r="AF115" s="13">
        <v>2197.0362</v>
      </c>
      <c r="AG115" s="13">
        <v>56</v>
      </c>
      <c r="AH115" s="13">
        <v>56</v>
      </c>
      <c r="AI115" s="13">
        <v>0</v>
      </c>
      <c r="AJ115" s="13">
        <v>2112.6341000000002</v>
      </c>
      <c r="AK115" s="13">
        <v>187.14169999999999</v>
      </c>
      <c r="AL115" s="13">
        <v>1925.4924000000001</v>
      </c>
      <c r="AM115" s="13">
        <v>58</v>
      </c>
      <c r="AN115" s="13">
        <v>58</v>
      </c>
      <c r="AO115" s="13">
        <v>0</v>
      </c>
      <c r="AP115" s="13">
        <v>1772.5047999999999</v>
      </c>
      <c r="AQ115" s="13">
        <v>167.92779999999999</v>
      </c>
      <c r="AR115" s="13">
        <v>1604.577</v>
      </c>
      <c r="AS115" s="13">
        <v>64</v>
      </c>
      <c r="AT115" s="13">
        <v>64</v>
      </c>
      <c r="AU115" s="13">
        <v>0</v>
      </c>
      <c r="AV115" s="13">
        <v>2369.2287999999999</v>
      </c>
      <c r="AW115" s="13">
        <v>122.821</v>
      </c>
      <c r="AX115" s="13">
        <v>2246.4078</v>
      </c>
      <c r="AY115" s="13">
        <v>52</v>
      </c>
      <c r="AZ115" s="13">
        <v>52</v>
      </c>
      <c r="BA115" s="13">
        <v>0</v>
      </c>
      <c r="BB115" s="13">
        <v>1871.0336000000002</v>
      </c>
      <c r="BC115" s="13">
        <v>167.71339999999998</v>
      </c>
      <c r="BD115" s="13">
        <v>1703.3202000000001</v>
      </c>
      <c r="BE115" s="13">
        <v>57</v>
      </c>
      <c r="BF115" s="13">
        <v>57</v>
      </c>
      <c r="BG115" s="13">
        <v>0</v>
      </c>
      <c r="BH115" s="13">
        <v>1592.5329999999999</v>
      </c>
      <c r="BI115" s="13">
        <v>136.07080000000002</v>
      </c>
      <c r="BJ115" s="13">
        <v>1456.4621999999999</v>
      </c>
      <c r="BK115" s="13">
        <v>10</v>
      </c>
      <c r="BL115" s="13">
        <v>10</v>
      </c>
      <c r="BM115" s="13">
        <v>0</v>
      </c>
      <c r="BN115" s="13">
        <v>1819.1989000000001</v>
      </c>
      <c r="BO115" s="13">
        <v>41.821300000000001</v>
      </c>
      <c r="BP115" s="13">
        <v>1777.3776</v>
      </c>
      <c r="BQ115" s="13">
        <v>37</v>
      </c>
      <c r="BR115" s="13">
        <v>37</v>
      </c>
      <c r="BS115" s="13">
        <v>0</v>
      </c>
      <c r="BT115" s="13">
        <v>1716.2126000000001</v>
      </c>
      <c r="BU115" s="13">
        <v>74.606899999999996</v>
      </c>
      <c r="BV115" s="13">
        <v>1641.6057000000001</v>
      </c>
      <c r="BW115" s="13">
        <v>36</v>
      </c>
      <c r="BX115" s="13">
        <v>36</v>
      </c>
      <c r="BY115" s="13">
        <v>0</v>
      </c>
      <c r="BZ115" s="13">
        <v>1913.6633000000002</v>
      </c>
      <c r="CA115" s="13">
        <v>74.571200000000005</v>
      </c>
      <c r="CB115" s="13">
        <v>1839.0921000000001</v>
      </c>
      <c r="CC115" s="13">
        <v>40</v>
      </c>
      <c r="CD115" s="13">
        <v>40</v>
      </c>
      <c r="CE115" s="13">
        <v>0</v>
      </c>
      <c r="CF115" s="13">
        <v>2240.6999000000001</v>
      </c>
      <c r="CG115" s="13">
        <v>93.035300000000007</v>
      </c>
      <c r="CH115" s="13">
        <v>2147.6646000000001</v>
      </c>
      <c r="CI115" s="13">
        <v>25</v>
      </c>
      <c r="CJ115" s="13">
        <v>25</v>
      </c>
      <c r="CK115" s="13">
        <v>0</v>
      </c>
      <c r="CL115" s="13">
        <v>2043.4493</v>
      </c>
      <c r="CM115" s="13">
        <v>80.928200000000004</v>
      </c>
      <c r="CN115" s="13">
        <v>1962.5210999999999</v>
      </c>
      <c r="CO115" s="13">
        <v>22</v>
      </c>
      <c r="CP115" s="13">
        <v>22</v>
      </c>
      <c r="CQ115" s="13">
        <v>0</v>
      </c>
      <c r="CR115" s="13">
        <v>2016.1496</v>
      </c>
      <c r="CS115" s="13">
        <v>41.285600000000002</v>
      </c>
      <c r="CT115" s="13">
        <v>1974.864</v>
      </c>
      <c r="CU115" s="13">
        <f t="shared" si="16"/>
        <v>514</v>
      </c>
      <c r="CV115" s="13">
        <f t="shared" si="16"/>
        <v>514</v>
      </c>
      <c r="CW115" s="13">
        <f t="shared" si="16"/>
        <v>0</v>
      </c>
      <c r="CX115" s="13">
        <f t="shared" si="12"/>
        <v>23807.164800000002</v>
      </c>
      <c r="CY115" s="13">
        <f t="shared" si="12"/>
        <v>1330.7439000000002</v>
      </c>
      <c r="CZ115" s="13">
        <f t="shared" si="12"/>
        <v>22476.420900000005</v>
      </c>
      <c r="DA115" s="13">
        <f t="shared" si="17"/>
        <v>87</v>
      </c>
      <c r="DB115" s="13">
        <f t="shared" si="17"/>
        <v>87</v>
      </c>
      <c r="DC115" s="13">
        <f t="shared" si="17"/>
        <v>0</v>
      </c>
      <c r="DD115" s="13">
        <f t="shared" si="13"/>
        <v>6300.2987999999996</v>
      </c>
      <c r="DE115" s="13">
        <f t="shared" si="13"/>
        <v>215.2491</v>
      </c>
      <c r="DF115" s="13">
        <f t="shared" si="13"/>
        <v>6085.0496999999996</v>
      </c>
      <c r="DG115" s="13">
        <f t="shared" si="18"/>
        <v>83</v>
      </c>
      <c r="DH115" s="13">
        <f t="shared" si="18"/>
        <v>83</v>
      </c>
      <c r="DI115" s="13">
        <f t="shared" si="18"/>
        <v>0</v>
      </c>
      <c r="DJ115" s="13">
        <f t="shared" si="14"/>
        <v>5449.0748000000003</v>
      </c>
      <c r="DK115" s="13">
        <f t="shared" si="14"/>
        <v>190.99940000000001</v>
      </c>
      <c r="DL115" s="13">
        <f t="shared" si="14"/>
        <v>5258.0753999999997</v>
      </c>
      <c r="DM115" s="13">
        <f t="shared" si="19"/>
        <v>47</v>
      </c>
      <c r="DN115" s="13">
        <f t="shared" si="19"/>
        <v>47</v>
      </c>
      <c r="DO115" s="13">
        <f t="shared" si="19"/>
        <v>0</v>
      </c>
      <c r="DP115" s="13">
        <f t="shared" si="15"/>
        <v>4059.5989</v>
      </c>
      <c r="DQ115" s="13">
        <f t="shared" si="15"/>
        <v>122.21380000000001</v>
      </c>
      <c r="DR115" s="13">
        <f t="shared" si="15"/>
        <v>3937.3851</v>
      </c>
      <c r="DS115" s="14" t="s">
        <v>71</v>
      </c>
      <c r="DT115" s="14" t="s">
        <v>125</v>
      </c>
      <c r="DU115" s="14" t="s">
        <v>73</v>
      </c>
      <c r="DV115" s="14" t="s">
        <v>82</v>
      </c>
      <c r="DW115" s="14" t="s">
        <v>74</v>
      </c>
    </row>
    <row r="116" spans="2:127" x14ac:dyDescent="0.3">
      <c r="B116" s="11" t="s">
        <v>53</v>
      </c>
      <c r="C116" s="14">
        <v>5001341158</v>
      </c>
      <c r="D116" s="11" t="s">
        <v>436</v>
      </c>
      <c r="E116" s="11" t="s">
        <v>395</v>
      </c>
      <c r="F116" s="11" t="s">
        <v>437</v>
      </c>
      <c r="G116" s="11" t="s">
        <v>438</v>
      </c>
      <c r="H116" s="11" t="s">
        <v>177</v>
      </c>
      <c r="I116" s="11">
        <v>85304</v>
      </c>
      <c r="J116" s="11" t="s">
        <v>70</v>
      </c>
      <c r="K116" s="11"/>
      <c r="L116" s="11"/>
      <c r="M116" s="11"/>
      <c r="N116" s="11"/>
      <c r="O116" s="13">
        <v>1309</v>
      </c>
      <c r="P116" s="13">
        <v>1309</v>
      </c>
      <c r="Q116" s="13">
        <v>0</v>
      </c>
      <c r="R116" s="13">
        <v>19083.1505</v>
      </c>
      <c r="S116" s="13">
        <v>2198.0632999999998</v>
      </c>
      <c r="T116" s="13">
        <v>16885.087200000002</v>
      </c>
      <c r="U116" s="13">
        <v>103</v>
      </c>
      <c r="V116" s="13">
        <v>103</v>
      </c>
      <c r="W116" s="13">
        <v>0</v>
      </c>
      <c r="X116" s="13">
        <v>1232.7602999999999</v>
      </c>
      <c r="Y116" s="13">
        <v>158.928</v>
      </c>
      <c r="Z116" s="13">
        <v>1073.8323</v>
      </c>
      <c r="AA116" s="13">
        <v>115</v>
      </c>
      <c r="AB116" s="13">
        <v>115</v>
      </c>
      <c r="AC116" s="13">
        <v>0</v>
      </c>
      <c r="AD116" s="13">
        <v>1340.0319</v>
      </c>
      <c r="AE116" s="13">
        <v>192.1422</v>
      </c>
      <c r="AF116" s="13">
        <v>1147.8896999999999</v>
      </c>
      <c r="AG116" s="13">
        <v>97</v>
      </c>
      <c r="AH116" s="13">
        <v>97</v>
      </c>
      <c r="AI116" s="13">
        <v>0</v>
      </c>
      <c r="AJ116" s="13">
        <v>1134.1880999999998</v>
      </c>
      <c r="AK116" s="13">
        <v>183.78480000000002</v>
      </c>
      <c r="AL116" s="13">
        <v>950.40329999999994</v>
      </c>
      <c r="AM116" s="13">
        <v>116</v>
      </c>
      <c r="AN116" s="13">
        <v>116</v>
      </c>
      <c r="AO116" s="13">
        <v>0</v>
      </c>
      <c r="AP116" s="13">
        <v>1071.223</v>
      </c>
      <c r="AQ116" s="13">
        <v>244.24870000000001</v>
      </c>
      <c r="AR116" s="13">
        <v>826.97429999999997</v>
      </c>
      <c r="AS116" s="13">
        <v>150</v>
      </c>
      <c r="AT116" s="13">
        <v>150</v>
      </c>
      <c r="AU116" s="13">
        <v>0</v>
      </c>
      <c r="AV116" s="13">
        <v>1570.5898</v>
      </c>
      <c r="AW116" s="13">
        <v>225.21370000000002</v>
      </c>
      <c r="AX116" s="13">
        <v>1345.3761</v>
      </c>
      <c r="AY116" s="13">
        <v>92</v>
      </c>
      <c r="AZ116" s="13">
        <v>92</v>
      </c>
      <c r="BA116" s="13">
        <v>0</v>
      </c>
      <c r="BB116" s="13">
        <v>1045.8733</v>
      </c>
      <c r="BC116" s="13">
        <v>194.2132</v>
      </c>
      <c r="BD116" s="13">
        <v>851.66010000000006</v>
      </c>
      <c r="BE116" s="13">
        <v>131</v>
      </c>
      <c r="BF116" s="13">
        <v>131</v>
      </c>
      <c r="BG116" s="13">
        <v>0</v>
      </c>
      <c r="BH116" s="13">
        <v>1481.9683</v>
      </c>
      <c r="BI116" s="13">
        <v>185.96379999999999</v>
      </c>
      <c r="BJ116" s="13">
        <v>1296.0045</v>
      </c>
      <c r="BK116" s="13">
        <v>129</v>
      </c>
      <c r="BL116" s="13">
        <v>129</v>
      </c>
      <c r="BM116" s="13">
        <v>0</v>
      </c>
      <c r="BN116" s="13">
        <v>2290.5490999999997</v>
      </c>
      <c r="BO116" s="13">
        <v>229.28480000000002</v>
      </c>
      <c r="BP116" s="13">
        <v>2061.2642999999998</v>
      </c>
      <c r="BQ116" s="13">
        <v>90</v>
      </c>
      <c r="BR116" s="13">
        <v>90</v>
      </c>
      <c r="BS116" s="13">
        <v>0</v>
      </c>
      <c r="BT116" s="13">
        <v>1617.047</v>
      </c>
      <c r="BU116" s="13">
        <v>172.92770000000002</v>
      </c>
      <c r="BV116" s="13">
        <v>1444.1193000000001</v>
      </c>
      <c r="BW116" s="13">
        <v>44</v>
      </c>
      <c r="BX116" s="13">
        <v>44</v>
      </c>
      <c r="BY116" s="13">
        <v>0</v>
      </c>
      <c r="BZ116" s="13">
        <v>1582.2330999999999</v>
      </c>
      <c r="CA116" s="13">
        <v>113.428</v>
      </c>
      <c r="CB116" s="13">
        <v>1468.8051</v>
      </c>
      <c r="CC116" s="13">
        <v>111</v>
      </c>
      <c r="CD116" s="13">
        <v>111</v>
      </c>
      <c r="CE116" s="13">
        <v>0</v>
      </c>
      <c r="CF116" s="13">
        <v>1777.2915</v>
      </c>
      <c r="CG116" s="13">
        <v>111</v>
      </c>
      <c r="CH116" s="13">
        <v>1666.2915</v>
      </c>
      <c r="CI116" s="13">
        <v>61</v>
      </c>
      <c r="CJ116" s="13">
        <v>61</v>
      </c>
      <c r="CK116" s="13">
        <v>0</v>
      </c>
      <c r="CL116" s="13">
        <v>1459.9902999999999</v>
      </c>
      <c r="CM116" s="13">
        <v>89.928399999999996</v>
      </c>
      <c r="CN116" s="13">
        <v>1370.0618999999999</v>
      </c>
      <c r="CO116" s="13">
        <v>70</v>
      </c>
      <c r="CP116" s="13">
        <v>70</v>
      </c>
      <c r="CQ116" s="13">
        <v>0</v>
      </c>
      <c r="CR116" s="13">
        <v>1479.4048</v>
      </c>
      <c r="CS116" s="13">
        <v>97</v>
      </c>
      <c r="CT116" s="13">
        <v>1382.4048</v>
      </c>
      <c r="CU116" s="13">
        <f t="shared" si="16"/>
        <v>1206</v>
      </c>
      <c r="CV116" s="13">
        <f t="shared" si="16"/>
        <v>1206</v>
      </c>
      <c r="CW116" s="13">
        <f t="shared" si="16"/>
        <v>0</v>
      </c>
      <c r="CX116" s="13">
        <f t="shared" si="12"/>
        <v>17850.390199999998</v>
      </c>
      <c r="CY116" s="13">
        <f t="shared" si="12"/>
        <v>2039.1353000000001</v>
      </c>
      <c r="CZ116" s="13">
        <f t="shared" si="12"/>
        <v>15811.2549</v>
      </c>
      <c r="DA116" s="13">
        <f t="shared" si="17"/>
        <v>242</v>
      </c>
      <c r="DB116" s="13">
        <f t="shared" si="17"/>
        <v>242</v>
      </c>
      <c r="DC116" s="13">
        <f t="shared" si="17"/>
        <v>0</v>
      </c>
      <c r="DD116" s="13">
        <f t="shared" si="13"/>
        <v>4716.6866</v>
      </c>
      <c r="DE116" s="13">
        <f t="shared" si="13"/>
        <v>297.92840000000001</v>
      </c>
      <c r="DF116" s="13">
        <f t="shared" si="13"/>
        <v>4418.7582000000002</v>
      </c>
      <c r="DG116" s="13">
        <f t="shared" si="18"/>
        <v>263</v>
      </c>
      <c r="DH116" s="13">
        <f t="shared" si="18"/>
        <v>263</v>
      </c>
      <c r="DI116" s="13">
        <f t="shared" si="18"/>
        <v>0</v>
      </c>
      <c r="DJ116" s="13">
        <f t="shared" si="14"/>
        <v>5489.8292000000001</v>
      </c>
      <c r="DK116" s="13">
        <f t="shared" si="14"/>
        <v>515.64049999999997</v>
      </c>
      <c r="DL116" s="13">
        <f t="shared" si="14"/>
        <v>4974.1887000000006</v>
      </c>
      <c r="DM116" s="13">
        <f t="shared" si="19"/>
        <v>131</v>
      </c>
      <c r="DN116" s="13">
        <f t="shared" si="19"/>
        <v>131</v>
      </c>
      <c r="DO116" s="13">
        <f t="shared" si="19"/>
        <v>0</v>
      </c>
      <c r="DP116" s="13">
        <f t="shared" si="15"/>
        <v>2939.3950999999997</v>
      </c>
      <c r="DQ116" s="13">
        <f t="shared" si="15"/>
        <v>186.92840000000001</v>
      </c>
      <c r="DR116" s="13">
        <f t="shared" si="15"/>
        <v>2752.4666999999999</v>
      </c>
      <c r="DS116" s="14" t="s">
        <v>71</v>
      </c>
      <c r="DT116" s="14" t="s">
        <v>72</v>
      </c>
      <c r="DU116" s="14" t="s">
        <v>73</v>
      </c>
      <c r="DV116" s="14" t="s">
        <v>63</v>
      </c>
      <c r="DW116" s="14" t="s">
        <v>74</v>
      </c>
    </row>
    <row r="117" spans="2:127" x14ac:dyDescent="0.3">
      <c r="B117" s="11" t="s">
        <v>83</v>
      </c>
      <c r="C117" s="14">
        <v>5001341654</v>
      </c>
      <c r="D117" s="11" t="s">
        <v>439</v>
      </c>
      <c r="E117" s="11" t="s">
        <v>395</v>
      </c>
      <c r="F117" s="11" t="s">
        <v>440</v>
      </c>
      <c r="G117" s="11" t="s">
        <v>441</v>
      </c>
      <c r="H117" s="11" t="s">
        <v>296</v>
      </c>
      <c r="I117" s="11">
        <v>62526</v>
      </c>
      <c r="J117" s="11" t="s">
        <v>70</v>
      </c>
      <c r="K117" s="11"/>
      <c r="L117" s="11"/>
      <c r="M117" s="11"/>
      <c r="N117" s="11"/>
      <c r="O117" s="13">
        <v>721</v>
      </c>
      <c r="P117" s="13">
        <v>721</v>
      </c>
      <c r="Q117" s="13">
        <v>0</v>
      </c>
      <c r="R117" s="13">
        <v>13242.476000000001</v>
      </c>
      <c r="S117" s="13">
        <v>1590.7784000000001</v>
      </c>
      <c r="T117" s="13">
        <v>11651.6976</v>
      </c>
      <c r="U117" s="13">
        <v>65</v>
      </c>
      <c r="V117" s="13">
        <v>65</v>
      </c>
      <c r="W117" s="13">
        <v>0</v>
      </c>
      <c r="X117" s="13">
        <v>887.3447000000001</v>
      </c>
      <c r="Y117" s="13">
        <v>134.42779999999999</v>
      </c>
      <c r="Z117" s="13">
        <v>752.91690000000006</v>
      </c>
      <c r="AA117" s="13">
        <v>69</v>
      </c>
      <c r="AB117" s="13">
        <v>69</v>
      </c>
      <c r="AC117" s="13">
        <v>0</v>
      </c>
      <c r="AD117" s="13">
        <v>1204.9313999999999</v>
      </c>
      <c r="AE117" s="13">
        <v>155.78489999999999</v>
      </c>
      <c r="AF117" s="13">
        <v>1049.1465000000001</v>
      </c>
      <c r="AG117" s="13">
        <v>33</v>
      </c>
      <c r="AH117" s="13">
        <v>33</v>
      </c>
      <c r="AI117" s="13">
        <v>0</v>
      </c>
      <c r="AJ117" s="13">
        <v>984.17420000000004</v>
      </c>
      <c r="AK117" s="13">
        <v>83.142499999999998</v>
      </c>
      <c r="AL117" s="13">
        <v>901.0317</v>
      </c>
      <c r="AM117" s="13">
        <v>64</v>
      </c>
      <c r="AN117" s="13">
        <v>64</v>
      </c>
      <c r="AO117" s="13">
        <v>0</v>
      </c>
      <c r="AP117" s="13">
        <v>1079.9733000000001</v>
      </c>
      <c r="AQ117" s="13">
        <v>191.28449999999998</v>
      </c>
      <c r="AR117" s="13">
        <v>888.68880000000001</v>
      </c>
      <c r="AS117" s="13">
        <v>22</v>
      </c>
      <c r="AT117" s="13">
        <v>22</v>
      </c>
      <c r="AU117" s="13">
        <v>0</v>
      </c>
      <c r="AV117" s="13">
        <v>1278.4668000000001</v>
      </c>
      <c r="AW117" s="13">
        <v>167.60579999999999</v>
      </c>
      <c r="AX117" s="13">
        <v>1110.8610000000001</v>
      </c>
      <c r="AY117" s="13">
        <v>37</v>
      </c>
      <c r="AZ117" s="13">
        <v>37</v>
      </c>
      <c r="BA117" s="13">
        <v>0</v>
      </c>
      <c r="BB117" s="13">
        <v>960.40280000000007</v>
      </c>
      <c r="BC117" s="13">
        <v>71.713999999999999</v>
      </c>
      <c r="BD117" s="13">
        <v>888.68880000000001</v>
      </c>
      <c r="BE117" s="13">
        <v>23</v>
      </c>
      <c r="BF117" s="13">
        <v>23</v>
      </c>
      <c r="BG117" s="13">
        <v>0</v>
      </c>
      <c r="BH117" s="13">
        <v>793.65940000000001</v>
      </c>
      <c r="BI117" s="13">
        <v>65.428300000000007</v>
      </c>
      <c r="BJ117" s="13">
        <v>728.23109999999997</v>
      </c>
      <c r="BK117" s="13">
        <v>33</v>
      </c>
      <c r="BL117" s="13">
        <v>33</v>
      </c>
      <c r="BM117" s="13">
        <v>0</v>
      </c>
      <c r="BN117" s="13">
        <v>1018.3100999999999</v>
      </c>
      <c r="BO117" s="13">
        <v>80.24969999999999</v>
      </c>
      <c r="BP117" s="13">
        <v>938.06039999999996</v>
      </c>
      <c r="BQ117" s="13">
        <v>76</v>
      </c>
      <c r="BR117" s="13">
        <v>76</v>
      </c>
      <c r="BS117" s="13">
        <v>0</v>
      </c>
      <c r="BT117" s="13">
        <v>968.35239999999999</v>
      </c>
      <c r="BU117" s="13">
        <v>129.0352</v>
      </c>
      <c r="BV117" s="13">
        <v>839.31719999999996</v>
      </c>
      <c r="BW117" s="13">
        <v>61</v>
      </c>
      <c r="BX117" s="13">
        <v>61</v>
      </c>
      <c r="BY117" s="13">
        <v>0</v>
      </c>
      <c r="BZ117" s="13">
        <v>841.30219999999997</v>
      </c>
      <c r="CA117" s="13">
        <v>113.0711</v>
      </c>
      <c r="CB117" s="13">
        <v>728.23109999999997</v>
      </c>
      <c r="CC117" s="13">
        <v>78</v>
      </c>
      <c r="CD117" s="13">
        <v>78</v>
      </c>
      <c r="CE117" s="13">
        <v>0</v>
      </c>
      <c r="CF117" s="13">
        <v>1427.4253000000001</v>
      </c>
      <c r="CG117" s="13">
        <v>156.10660000000001</v>
      </c>
      <c r="CH117" s="13">
        <v>1271.3187</v>
      </c>
      <c r="CI117" s="13">
        <v>61</v>
      </c>
      <c r="CJ117" s="13">
        <v>61</v>
      </c>
      <c r="CK117" s="13">
        <v>0</v>
      </c>
      <c r="CL117" s="13">
        <v>672.9375</v>
      </c>
      <c r="CM117" s="13">
        <v>92.821200000000005</v>
      </c>
      <c r="CN117" s="13">
        <v>580.11630000000002</v>
      </c>
      <c r="CO117" s="13">
        <v>99</v>
      </c>
      <c r="CP117" s="13">
        <v>99</v>
      </c>
      <c r="CQ117" s="13">
        <v>0</v>
      </c>
      <c r="CR117" s="13">
        <v>1125.1958999999999</v>
      </c>
      <c r="CS117" s="13">
        <v>150.10679999999999</v>
      </c>
      <c r="CT117" s="13">
        <v>975.08910000000003</v>
      </c>
      <c r="CU117" s="13">
        <f t="shared" si="16"/>
        <v>656</v>
      </c>
      <c r="CV117" s="13">
        <f t="shared" si="16"/>
        <v>656</v>
      </c>
      <c r="CW117" s="13">
        <f t="shared" si="16"/>
        <v>0</v>
      </c>
      <c r="CX117" s="13">
        <f t="shared" si="12"/>
        <v>12355.131300000003</v>
      </c>
      <c r="CY117" s="13">
        <f t="shared" si="12"/>
        <v>1456.3506000000002</v>
      </c>
      <c r="CZ117" s="13">
        <f t="shared" si="12"/>
        <v>10898.780699999999</v>
      </c>
      <c r="DA117" s="13">
        <f t="shared" si="17"/>
        <v>238</v>
      </c>
      <c r="DB117" s="13">
        <f t="shared" si="17"/>
        <v>238</v>
      </c>
      <c r="DC117" s="13">
        <f t="shared" si="17"/>
        <v>0</v>
      </c>
      <c r="DD117" s="13">
        <f t="shared" si="13"/>
        <v>3225.5586999999996</v>
      </c>
      <c r="DE117" s="13">
        <f t="shared" si="13"/>
        <v>399.03460000000001</v>
      </c>
      <c r="DF117" s="13">
        <f t="shared" si="13"/>
        <v>2826.5241000000001</v>
      </c>
      <c r="DG117" s="13">
        <f t="shared" si="18"/>
        <v>170</v>
      </c>
      <c r="DH117" s="13">
        <f t="shared" si="18"/>
        <v>170</v>
      </c>
      <c r="DI117" s="13">
        <f t="shared" si="18"/>
        <v>0</v>
      </c>
      <c r="DJ117" s="13">
        <f t="shared" si="14"/>
        <v>2827.9647</v>
      </c>
      <c r="DK117" s="13">
        <f t="shared" si="14"/>
        <v>322.35599999999999</v>
      </c>
      <c r="DL117" s="13">
        <f t="shared" si="14"/>
        <v>2505.6086999999998</v>
      </c>
      <c r="DM117" s="13">
        <f t="shared" si="19"/>
        <v>160</v>
      </c>
      <c r="DN117" s="13">
        <f t="shared" si="19"/>
        <v>160</v>
      </c>
      <c r="DO117" s="13">
        <f t="shared" si="19"/>
        <v>0</v>
      </c>
      <c r="DP117" s="13">
        <f t="shared" si="15"/>
        <v>1798.1333999999999</v>
      </c>
      <c r="DQ117" s="13">
        <f t="shared" si="15"/>
        <v>242.928</v>
      </c>
      <c r="DR117" s="13">
        <f t="shared" si="15"/>
        <v>1555.2054000000001</v>
      </c>
      <c r="DS117" s="14" t="s">
        <v>71</v>
      </c>
      <c r="DT117" s="14" t="s">
        <v>81</v>
      </c>
      <c r="DU117" s="14" t="s">
        <v>73</v>
      </c>
      <c r="DV117" s="14" t="s">
        <v>63</v>
      </c>
      <c r="DW117" s="14" t="s">
        <v>74</v>
      </c>
    </row>
    <row r="118" spans="2:127" x14ac:dyDescent="0.3">
      <c r="B118" s="11" t="s">
        <v>53</v>
      </c>
      <c r="C118" s="14">
        <v>5001341721</v>
      </c>
      <c r="D118" s="11" t="s">
        <v>442</v>
      </c>
      <c r="E118" s="11" t="s">
        <v>395</v>
      </c>
      <c r="F118" s="11" t="s">
        <v>443</v>
      </c>
      <c r="G118" s="11" t="s">
        <v>444</v>
      </c>
      <c r="H118" s="11" t="s">
        <v>445</v>
      </c>
      <c r="I118" s="11">
        <v>97504</v>
      </c>
      <c r="J118" s="11" t="s">
        <v>80</v>
      </c>
      <c r="K118" s="11"/>
      <c r="L118" s="11"/>
      <c r="M118" s="11"/>
      <c r="N118" s="11"/>
      <c r="O118" s="13">
        <v>942</v>
      </c>
      <c r="P118" s="13">
        <v>942</v>
      </c>
      <c r="Q118" s="13">
        <v>0</v>
      </c>
      <c r="R118" s="13">
        <v>20680.608</v>
      </c>
      <c r="S118" s="13">
        <v>1277.5691999999999</v>
      </c>
      <c r="T118" s="13">
        <v>19403.038799999998</v>
      </c>
      <c r="U118" s="13">
        <v>47</v>
      </c>
      <c r="V118" s="13">
        <v>47</v>
      </c>
      <c r="W118" s="13">
        <v>0</v>
      </c>
      <c r="X118" s="13">
        <v>1728.1411000000001</v>
      </c>
      <c r="Y118" s="13">
        <v>86.53540000000001</v>
      </c>
      <c r="Z118" s="13">
        <v>1641.6057000000001</v>
      </c>
      <c r="AA118" s="13">
        <v>70</v>
      </c>
      <c r="AB118" s="13">
        <v>70</v>
      </c>
      <c r="AC118" s="13">
        <v>0</v>
      </c>
      <c r="AD118" s="13">
        <v>1893.4703</v>
      </c>
      <c r="AE118" s="13">
        <v>103.74979999999999</v>
      </c>
      <c r="AF118" s="13">
        <v>1789.7204999999999</v>
      </c>
      <c r="AG118" s="13">
        <v>57</v>
      </c>
      <c r="AH118" s="13">
        <v>57</v>
      </c>
      <c r="AI118" s="13">
        <v>0</v>
      </c>
      <c r="AJ118" s="13">
        <v>1453.8690000000001</v>
      </c>
      <c r="AK118" s="13">
        <v>71.464200000000005</v>
      </c>
      <c r="AL118" s="13">
        <v>1382.4048</v>
      </c>
      <c r="AM118" s="13">
        <v>47</v>
      </c>
      <c r="AN118" s="13">
        <v>47</v>
      </c>
      <c r="AO118" s="13">
        <v>0</v>
      </c>
      <c r="AP118" s="13">
        <v>1490.5405000000001</v>
      </c>
      <c r="AQ118" s="13">
        <v>71.106999999999999</v>
      </c>
      <c r="AR118" s="13">
        <v>1419.4335000000001</v>
      </c>
      <c r="AS118" s="13">
        <v>78</v>
      </c>
      <c r="AT118" s="13">
        <v>78</v>
      </c>
      <c r="AU118" s="13">
        <v>0</v>
      </c>
      <c r="AV118" s="13">
        <v>1782.8627000000001</v>
      </c>
      <c r="AW118" s="13">
        <v>116.5712</v>
      </c>
      <c r="AX118" s="13">
        <v>1666.2915</v>
      </c>
      <c r="AY118" s="13">
        <v>51</v>
      </c>
      <c r="AZ118" s="13">
        <v>51</v>
      </c>
      <c r="BA118" s="13">
        <v>0</v>
      </c>
      <c r="BB118" s="13">
        <v>1222.9966999999999</v>
      </c>
      <c r="BC118" s="13">
        <v>75.106999999999999</v>
      </c>
      <c r="BD118" s="13">
        <v>1147.8896999999999</v>
      </c>
      <c r="BE118" s="13">
        <v>53</v>
      </c>
      <c r="BF118" s="13">
        <v>53</v>
      </c>
      <c r="BG118" s="13">
        <v>0</v>
      </c>
      <c r="BH118" s="13">
        <v>1595.2837</v>
      </c>
      <c r="BI118" s="13">
        <v>77.106999999999999</v>
      </c>
      <c r="BJ118" s="13">
        <v>1518.1767</v>
      </c>
      <c r="BK118" s="13">
        <v>91</v>
      </c>
      <c r="BL118" s="13">
        <v>91</v>
      </c>
      <c r="BM118" s="13">
        <v>0</v>
      </c>
      <c r="BN118" s="13">
        <v>1595.2907</v>
      </c>
      <c r="BO118" s="13">
        <v>114.1427</v>
      </c>
      <c r="BP118" s="13">
        <v>1481.1479999999999</v>
      </c>
      <c r="BQ118" s="13">
        <v>112</v>
      </c>
      <c r="BR118" s="13">
        <v>112</v>
      </c>
      <c r="BS118" s="13">
        <v>0</v>
      </c>
      <c r="BT118" s="13">
        <v>1475.6974</v>
      </c>
      <c r="BU118" s="13">
        <v>130.32130000000001</v>
      </c>
      <c r="BV118" s="13">
        <v>1345.3761</v>
      </c>
      <c r="BW118" s="13">
        <v>97</v>
      </c>
      <c r="BX118" s="13">
        <v>97</v>
      </c>
      <c r="BY118" s="13">
        <v>0</v>
      </c>
      <c r="BZ118" s="13">
        <v>1538.6119000000001</v>
      </c>
      <c r="CA118" s="13">
        <v>119.1784</v>
      </c>
      <c r="CB118" s="13">
        <v>1419.4335000000001</v>
      </c>
      <c r="CC118" s="13">
        <v>102</v>
      </c>
      <c r="CD118" s="13">
        <v>102</v>
      </c>
      <c r="CE118" s="13">
        <v>0</v>
      </c>
      <c r="CF118" s="13">
        <v>1902.5203000000001</v>
      </c>
      <c r="CG118" s="13">
        <v>125.1427</v>
      </c>
      <c r="CH118" s="13">
        <v>1777.3776</v>
      </c>
      <c r="CI118" s="13">
        <v>68</v>
      </c>
      <c r="CJ118" s="13">
        <v>68</v>
      </c>
      <c r="CK118" s="13">
        <v>0</v>
      </c>
      <c r="CL118" s="13">
        <v>1547.6049</v>
      </c>
      <c r="CM118" s="13">
        <v>91.142700000000005</v>
      </c>
      <c r="CN118" s="13">
        <v>1456.4621999999999</v>
      </c>
      <c r="CO118" s="13">
        <v>69</v>
      </c>
      <c r="CP118" s="13">
        <v>69</v>
      </c>
      <c r="CQ118" s="13">
        <v>0</v>
      </c>
      <c r="CR118" s="13">
        <v>1453.7188000000001</v>
      </c>
      <c r="CS118" s="13">
        <v>95.999799999999993</v>
      </c>
      <c r="CT118" s="13">
        <v>1357.7190000000001</v>
      </c>
      <c r="CU118" s="13">
        <f t="shared" si="16"/>
        <v>895</v>
      </c>
      <c r="CV118" s="13">
        <f t="shared" si="16"/>
        <v>895</v>
      </c>
      <c r="CW118" s="13">
        <f t="shared" si="16"/>
        <v>0</v>
      </c>
      <c r="CX118" s="13">
        <f t="shared" si="12"/>
        <v>18952.466899999996</v>
      </c>
      <c r="CY118" s="13">
        <f t="shared" si="12"/>
        <v>1191.0337999999999</v>
      </c>
      <c r="CZ118" s="13">
        <f t="shared" si="12"/>
        <v>17761.433099999998</v>
      </c>
      <c r="DA118" s="13">
        <f t="shared" si="17"/>
        <v>239</v>
      </c>
      <c r="DB118" s="13">
        <f t="shared" si="17"/>
        <v>239</v>
      </c>
      <c r="DC118" s="13">
        <f t="shared" si="17"/>
        <v>0</v>
      </c>
      <c r="DD118" s="13">
        <f t="shared" si="13"/>
        <v>4903.844000000001</v>
      </c>
      <c r="DE118" s="13">
        <f t="shared" si="13"/>
        <v>312.28520000000003</v>
      </c>
      <c r="DF118" s="13">
        <f t="shared" si="13"/>
        <v>4591.5587999999998</v>
      </c>
      <c r="DG118" s="13">
        <f t="shared" si="18"/>
        <v>300</v>
      </c>
      <c r="DH118" s="13">
        <f t="shared" si="18"/>
        <v>300</v>
      </c>
      <c r="DI118" s="13">
        <f t="shared" si="18"/>
        <v>0</v>
      </c>
      <c r="DJ118" s="13">
        <f t="shared" si="14"/>
        <v>4609.6000000000004</v>
      </c>
      <c r="DK118" s="13">
        <f t="shared" si="14"/>
        <v>363.64240000000001</v>
      </c>
      <c r="DL118" s="13">
        <f t="shared" si="14"/>
        <v>4245.9575999999997</v>
      </c>
      <c r="DM118" s="13">
        <f t="shared" si="19"/>
        <v>137</v>
      </c>
      <c r="DN118" s="13">
        <f t="shared" si="19"/>
        <v>137</v>
      </c>
      <c r="DO118" s="13">
        <f t="shared" si="19"/>
        <v>0</v>
      </c>
      <c r="DP118" s="13">
        <f t="shared" si="15"/>
        <v>3001.3236999999999</v>
      </c>
      <c r="DQ118" s="13">
        <f t="shared" si="15"/>
        <v>187.14249999999998</v>
      </c>
      <c r="DR118" s="13">
        <f t="shared" si="15"/>
        <v>2814.1812</v>
      </c>
      <c r="DS118" s="14" t="s">
        <v>60</v>
      </c>
      <c r="DT118" s="14" t="s">
        <v>81</v>
      </c>
      <c r="DU118" s="14" t="s">
        <v>73</v>
      </c>
      <c r="DV118" s="14" t="s">
        <v>82</v>
      </c>
      <c r="DW118" s="14" t="s">
        <v>74</v>
      </c>
    </row>
    <row r="119" spans="2:127" x14ac:dyDescent="0.3">
      <c r="B119" s="11" t="s">
        <v>75</v>
      </c>
      <c r="C119" s="14">
        <v>5001341792</v>
      </c>
      <c r="D119" s="11" t="s">
        <v>446</v>
      </c>
      <c r="E119" s="11" t="s">
        <v>395</v>
      </c>
      <c r="F119" s="11" t="s">
        <v>447</v>
      </c>
      <c r="G119" s="11" t="s">
        <v>132</v>
      </c>
      <c r="H119" s="11" t="s">
        <v>120</v>
      </c>
      <c r="I119" s="11">
        <v>38301</v>
      </c>
      <c r="J119" s="11" t="s">
        <v>80</v>
      </c>
      <c r="K119" s="11"/>
      <c r="L119" s="11"/>
      <c r="M119" s="11"/>
      <c r="N119" s="11"/>
      <c r="O119" s="13">
        <v>977</v>
      </c>
      <c r="P119" s="13">
        <v>977</v>
      </c>
      <c r="Q119" s="13">
        <v>0</v>
      </c>
      <c r="R119" s="13">
        <v>14619.951800000001</v>
      </c>
      <c r="S119" s="13">
        <v>1178.5337</v>
      </c>
      <c r="T119" s="13">
        <v>13441.418100000001</v>
      </c>
      <c r="U119" s="13">
        <v>92</v>
      </c>
      <c r="V119" s="13">
        <v>92</v>
      </c>
      <c r="W119" s="13">
        <v>0</v>
      </c>
      <c r="X119" s="13">
        <v>998.04579999999999</v>
      </c>
      <c r="Y119" s="13">
        <v>109.357</v>
      </c>
      <c r="Z119" s="13">
        <v>888.68880000000001</v>
      </c>
      <c r="AA119" s="13">
        <v>120</v>
      </c>
      <c r="AB119" s="13">
        <v>120</v>
      </c>
      <c r="AC119" s="13">
        <v>0</v>
      </c>
      <c r="AD119" s="13">
        <v>1316.6823999999999</v>
      </c>
      <c r="AE119" s="13">
        <v>144.1069</v>
      </c>
      <c r="AF119" s="13">
        <v>1172.5754999999999</v>
      </c>
      <c r="AG119" s="13">
        <v>105</v>
      </c>
      <c r="AH119" s="13">
        <v>105</v>
      </c>
      <c r="AI119" s="13">
        <v>0</v>
      </c>
      <c r="AJ119" s="13">
        <v>1006.0317</v>
      </c>
      <c r="AK119" s="13">
        <v>105</v>
      </c>
      <c r="AL119" s="13">
        <v>901.0317</v>
      </c>
      <c r="AM119" s="13">
        <v>95</v>
      </c>
      <c r="AN119" s="13">
        <v>95</v>
      </c>
      <c r="AO119" s="13">
        <v>0</v>
      </c>
      <c r="AP119" s="13">
        <v>1086.4818</v>
      </c>
      <c r="AQ119" s="13">
        <v>111.3927</v>
      </c>
      <c r="AR119" s="13">
        <v>975.08910000000003</v>
      </c>
      <c r="AS119" s="13">
        <v>110</v>
      </c>
      <c r="AT119" s="13">
        <v>110</v>
      </c>
      <c r="AU119" s="13">
        <v>0</v>
      </c>
      <c r="AV119" s="13">
        <v>1211.6035999999999</v>
      </c>
      <c r="AW119" s="13">
        <v>125.4284</v>
      </c>
      <c r="AX119" s="13">
        <v>1086.1751999999999</v>
      </c>
      <c r="AY119" s="13">
        <v>60</v>
      </c>
      <c r="AZ119" s="13">
        <v>60</v>
      </c>
      <c r="BA119" s="13">
        <v>0</v>
      </c>
      <c r="BB119" s="13">
        <v>968.16700000000003</v>
      </c>
      <c r="BC119" s="13">
        <v>91.821100000000001</v>
      </c>
      <c r="BD119" s="13">
        <v>876.34590000000003</v>
      </c>
      <c r="BE119" s="13">
        <v>43</v>
      </c>
      <c r="BF119" s="13">
        <v>43</v>
      </c>
      <c r="BG119" s="13">
        <v>0</v>
      </c>
      <c r="BH119" s="13">
        <v>923.39570000000003</v>
      </c>
      <c r="BI119" s="13">
        <v>59.392700000000005</v>
      </c>
      <c r="BJ119" s="13">
        <v>864.00300000000004</v>
      </c>
      <c r="BK119" s="13">
        <v>67</v>
      </c>
      <c r="BL119" s="13">
        <v>67</v>
      </c>
      <c r="BM119" s="13">
        <v>0</v>
      </c>
      <c r="BN119" s="13">
        <v>1217.9752000000001</v>
      </c>
      <c r="BO119" s="13">
        <v>82.428399999999996</v>
      </c>
      <c r="BP119" s="13">
        <v>1135.5468000000001</v>
      </c>
      <c r="BQ119" s="13">
        <v>42</v>
      </c>
      <c r="BR119" s="13">
        <v>42</v>
      </c>
      <c r="BS119" s="13">
        <v>0</v>
      </c>
      <c r="BT119" s="13">
        <v>873.02409999999998</v>
      </c>
      <c r="BU119" s="13">
        <v>58.392700000000005</v>
      </c>
      <c r="BV119" s="13">
        <v>814.63139999999999</v>
      </c>
      <c r="BW119" s="13">
        <v>41</v>
      </c>
      <c r="BX119" s="13">
        <v>41</v>
      </c>
      <c r="BY119" s="13">
        <v>0</v>
      </c>
      <c r="BZ119" s="13">
        <v>1154.9465</v>
      </c>
      <c r="CA119" s="13">
        <v>56.428399999999996</v>
      </c>
      <c r="CB119" s="13">
        <v>1098.5181</v>
      </c>
      <c r="CC119" s="13">
        <v>66</v>
      </c>
      <c r="CD119" s="13">
        <v>66</v>
      </c>
      <c r="CE119" s="13">
        <v>0</v>
      </c>
      <c r="CF119" s="13">
        <v>1242.6253000000002</v>
      </c>
      <c r="CG119" s="13">
        <v>82.392700000000005</v>
      </c>
      <c r="CH119" s="13">
        <v>1160.2326</v>
      </c>
      <c r="CI119" s="13">
        <v>78</v>
      </c>
      <c r="CJ119" s="13">
        <v>78</v>
      </c>
      <c r="CK119" s="13">
        <v>0</v>
      </c>
      <c r="CL119" s="13">
        <v>1353.3685</v>
      </c>
      <c r="CM119" s="13">
        <v>94.392700000000005</v>
      </c>
      <c r="CN119" s="13">
        <v>1258.9757999999999</v>
      </c>
      <c r="CO119" s="13">
        <v>58</v>
      </c>
      <c r="CP119" s="13">
        <v>58</v>
      </c>
      <c r="CQ119" s="13">
        <v>0</v>
      </c>
      <c r="CR119" s="13">
        <v>1267.6042</v>
      </c>
      <c r="CS119" s="13">
        <v>58</v>
      </c>
      <c r="CT119" s="13">
        <v>1209.6042</v>
      </c>
      <c r="CU119" s="13">
        <f t="shared" si="16"/>
        <v>885</v>
      </c>
      <c r="CV119" s="13">
        <f t="shared" si="16"/>
        <v>885</v>
      </c>
      <c r="CW119" s="13">
        <f t="shared" si="16"/>
        <v>0</v>
      </c>
      <c r="CX119" s="13">
        <f t="shared" si="12"/>
        <v>13621.906000000001</v>
      </c>
      <c r="CY119" s="13">
        <f t="shared" si="12"/>
        <v>1069.1767</v>
      </c>
      <c r="CZ119" s="13">
        <f t="shared" si="12"/>
        <v>12552.729299999999</v>
      </c>
      <c r="DA119" s="13">
        <f t="shared" si="17"/>
        <v>202</v>
      </c>
      <c r="DB119" s="13">
        <f t="shared" si="17"/>
        <v>202</v>
      </c>
      <c r="DC119" s="13">
        <f t="shared" si="17"/>
        <v>0</v>
      </c>
      <c r="DD119" s="13">
        <f t="shared" si="13"/>
        <v>3863.598</v>
      </c>
      <c r="DE119" s="13">
        <f t="shared" si="13"/>
        <v>234.78540000000001</v>
      </c>
      <c r="DF119" s="13">
        <f t="shared" si="13"/>
        <v>3628.8126000000002</v>
      </c>
      <c r="DG119" s="13">
        <f t="shared" si="18"/>
        <v>150</v>
      </c>
      <c r="DH119" s="13">
        <f t="shared" si="18"/>
        <v>150</v>
      </c>
      <c r="DI119" s="13">
        <f t="shared" si="18"/>
        <v>0</v>
      </c>
      <c r="DJ119" s="13">
        <f t="shared" si="14"/>
        <v>3245.9458</v>
      </c>
      <c r="DK119" s="13">
        <f t="shared" si="14"/>
        <v>197.24950000000001</v>
      </c>
      <c r="DL119" s="13">
        <f t="shared" si="14"/>
        <v>3048.6963000000001</v>
      </c>
      <c r="DM119" s="13">
        <f t="shared" si="19"/>
        <v>136</v>
      </c>
      <c r="DN119" s="13">
        <f t="shared" si="19"/>
        <v>136</v>
      </c>
      <c r="DO119" s="13">
        <f t="shared" si="19"/>
        <v>0</v>
      </c>
      <c r="DP119" s="13">
        <f t="shared" si="15"/>
        <v>2620.9727000000003</v>
      </c>
      <c r="DQ119" s="13">
        <f t="shared" si="15"/>
        <v>152.39269999999999</v>
      </c>
      <c r="DR119" s="13">
        <f t="shared" si="15"/>
        <v>2468.58</v>
      </c>
      <c r="DS119" s="14" t="s">
        <v>60</v>
      </c>
      <c r="DT119" s="14" t="s">
        <v>81</v>
      </c>
      <c r="DU119" s="14" t="s">
        <v>73</v>
      </c>
      <c r="DV119" s="14" t="s">
        <v>82</v>
      </c>
      <c r="DW119" s="14" t="s">
        <v>74</v>
      </c>
    </row>
    <row r="120" spans="2:127" x14ac:dyDescent="0.3">
      <c r="B120" s="11" t="s">
        <v>75</v>
      </c>
      <c r="C120" s="14">
        <v>5001341808</v>
      </c>
      <c r="D120" s="11" t="s">
        <v>448</v>
      </c>
      <c r="E120" s="11" t="s">
        <v>395</v>
      </c>
      <c r="F120" s="11" t="s">
        <v>449</v>
      </c>
      <c r="G120" s="11" t="s">
        <v>450</v>
      </c>
      <c r="H120" s="11" t="s">
        <v>216</v>
      </c>
      <c r="I120" s="11">
        <v>45601</v>
      </c>
      <c r="J120" s="11" t="s">
        <v>80</v>
      </c>
      <c r="K120" s="11"/>
      <c r="L120" s="11"/>
      <c r="M120" s="11"/>
      <c r="N120" s="11"/>
      <c r="O120" s="13">
        <v>476</v>
      </c>
      <c r="P120" s="13">
        <v>476</v>
      </c>
      <c r="Q120" s="13">
        <v>0</v>
      </c>
      <c r="R120" s="13">
        <v>7128.8230999999996</v>
      </c>
      <c r="S120" s="13">
        <v>476</v>
      </c>
      <c r="T120" s="13">
        <v>6652.8230999999996</v>
      </c>
      <c r="U120" s="13">
        <v>54</v>
      </c>
      <c r="V120" s="13">
        <v>54</v>
      </c>
      <c r="W120" s="13">
        <v>0</v>
      </c>
      <c r="X120" s="13">
        <v>621.77340000000004</v>
      </c>
      <c r="Y120" s="13">
        <v>54</v>
      </c>
      <c r="Z120" s="13">
        <v>567.77340000000004</v>
      </c>
      <c r="AA120" s="13">
        <v>30</v>
      </c>
      <c r="AB120" s="13">
        <v>30</v>
      </c>
      <c r="AC120" s="13">
        <v>0</v>
      </c>
      <c r="AD120" s="13">
        <v>499.03019999999998</v>
      </c>
      <c r="AE120" s="13">
        <v>30</v>
      </c>
      <c r="AF120" s="13">
        <v>469.03019999999998</v>
      </c>
      <c r="AG120" s="13">
        <v>40</v>
      </c>
      <c r="AH120" s="13">
        <v>40</v>
      </c>
      <c r="AI120" s="13">
        <v>0</v>
      </c>
      <c r="AJ120" s="13">
        <v>533.71600000000001</v>
      </c>
      <c r="AK120" s="13">
        <v>40</v>
      </c>
      <c r="AL120" s="13">
        <v>493.71600000000001</v>
      </c>
      <c r="AM120" s="13">
        <v>44</v>
      </c>
      <c r="AN120" s="13">
        <v>44</v>
      </c>
      <c r="AO120" s="13">
        <v>0</v>
      </c>
      <c r="AP120" s="13">
        <v>611.77340000000004</v>
      </c>
      <c r="AQ120" s="13">
        <v>44</v>
      </c>
      <c r="AR120" s="13">
        <v>567.77340000000004</v>
      </c>
      <c r="AS120" s="13">
        <v>28</v>
      </c>
      <c r="AT120" s="13">
        <v>28</v>
      </c>
      <c r="AU120" s="13">
        <v>0</v>
      </c>
      <c r="AV120" s="13">
        <v>793.25980000000004</v>
      </c>
      <c r="AW120" s="13">
        <v>28</v>
      </c>
      <c r="AX120" s="13">
        <v>765.25980000000004</v>
      </c>
      <c r="AY120" s="13">
        <v>32</v>
      </c>
      <c r="AZ120" s="13">
        <v>32</v>
      </c>
      <c r="BA120" s="13">
        <v>0</v>
      </c>
      <c r="BB120" s="13">
        <v>587.43050000000005</v>
      </c>
      <c r="BC120" s="13">
        <v>32</v>
      </c>
      <c r="BD120" s="13">
        <v>555.43050000000005</v>
      </c>
      <c r="BE120" s="13">
        <v>38</v>
      </c>
      <c r="BF120" s="13">
        <v>38</v>
      </c>
      <c r="BG120" s="13">
        <v>0</v>
      </c>
      <c r="BH120" s="13">
        <v>593.43050000000005</v>
      </c>
      <c r="BI120" s="13">
        <v>38</v>
      </c>
      <c r="BJ120" s="13">
        <v>555.43050000000005</v>
      </c>
      <c r="BK120" s="13">
        <v>30</v>
      </c>
      <c r="BL120" s="13">
        <v>30</v>
      </c>
      <c r="BM120" s="13">
        <v>0</v>
      </c>
      <c r="BN120" s="13">
        <v>634.8021</v>
      </c>
      <c r="BO120" s="13">
        <v>30</v>
      </c>
      <c r="BP120" s="13">
        <v>604.8021</v>
      </c>
      <c r="BQ120" s="13">
        <v>35</v>
      </c>
      <c r="BR120" s="13">
        <v>35</v>
      </c>
      <c r="BS120" s="13">
        <v>0</v>
      </c>
      <c r="BT120" s="13">
        <v>491.68729999999999</v>
      </c>
      <c r="BU120" s="13">
        <v>35</v>
      </c>
      <c r="BV120" s="13">
        <v>456.68729999999999</v>
      </c>
      <c r="BW120" s="13">
        <v>34</v>
      </c>
      <c r="BX120" s="13">
        <v>34</v>
      </c>
      <c r="BY120" s="13">
        <v>0</v>
      </c>
      <c r="BZ120" s="13">
        <v>466.00150000000002</v>
      </c>
      <c r="CA120" s="13">
        <v>34</v>
      </c>
      <c r="CB120" s="13">
        <v>432.00150000000002</v>
      </c>
      <c r="CC120" s="13">
        <v>48</v>
      </c>
      <c r="CD120" s="13">
        <v>48</v>
      </c>
      <c r="CE120" s="13">
        <v>0</v>
      </c>
      <c r="CF120" s="13">
        <v>504.68729999999999</v>
      </c>
      <c r="CG120" s="13">
        <v>48</v>
      </c>
      <c r="CH120" s="13">
        <v>456.68729999999999</v>
      </c>
      <c r="CI120" s="13">
        <v>30</v>
      </c>
      <c r="CJ120" s="13">
        <v>30</v>
      </c>
      <c r="CK120" s="13">
        <v>0</v>
      </c>
      <c r="CL120" s="13">
        <v>400.28699999999998</v>
      </c>
      <c r="CM120" s="13">
        <v>30</v>
      </c>
      <c r="CN120" s="13">
        <v>370.28699999999998</v>
      </c>
      <c r="CO120" s="13">
        <v>33</v>
      </c>
      <c r="CP120" s="13">
        <v>33</v>
      </c>
      <c r="CQ120" s="13">
        <v>0</v>
      </c>
      <c r="CR120" s="13">
        <v>390.94409999999999</v>
      </c>
      <c r="CS120" s="13">
        <v>33</v>
      </c>
      <c r="CT120" s="13">
        <v>357.94409999999999</v>
      </c>
      <c r="CU120" s="13">
        <f t="shared" si="16"/>
        <v>422</v>
      </c>
      <c r="CV120" s="13">
        <f t="shared" si="16"/>
        <v>422</v>
      </c>
      <c r="CW120" s="13">
        <f t="shared" si="16"/>
        <v>0</v>
      </c>
      <c r="CX120" s="13">
        <f t="shared" si="12"/>
        <v>6507.0496999999996</v>
      </c>
      <c r="CY120" s="13">
        <f t="shared" si="12"/>
        <v>422</v>
      </c>
      <c r="CZ120" s="13">
        <f t="shared" si="12"/>
        <v>6085.0496999999996</v>
      </c>
      <c r="DA120" s="13">
        <f t="shared" si="17"/>
        <v>111</v>
      </c>
      <c r="DB120" s="13">
        <f t="shared" si="17"/>
        <v>111</v>
      </c>
      <c r="DC120" s="13">
        <f t="shared" si="17"/>
        <v>0</v>
      </c>
      <c r="DD120" s="13">
        <f t="shared" si="13"/>
        <v>1295.9184</v>
      </c>
      <c r="DE120" s="13">
        <f t="shared" si="13"/>
        <v>111</v>
      </c>
      <c r="DF120" s="13">
        <f t="shared" si="13"/>
        <v>1184.9184</v>
      </c>
      <c r="DG120" s="13">
        <f t="shared" si="18"/>
        <v>99</v>
      </c>
      <c r="DH120" s="13">
        <f t="shared" si="18"/>
        <v>99</v>
      </c>
      <c r="DI120" s="13">
        <f t="shared" si="18"/>
        <v>0</v>
      </c>
      <c r="DJ120" s="13">
        <f t="shared" si="14"/>
        <v>1592.4909</v>
      </c>
      <c r="DK120" s="13">
        <f t="shared" si="14"/>
        <v>99</v>
      </c>
      <c r="DL120" s="13">
        <f t="shared" si="14"/>
        <v>1493.4909</v>
      </c>
      <c r="DM120" s="13">
        <f t="shared" si="19"/>
        <v>63</v>
      </c>
      <c r="DN120" s="13">
        <f t="shared" si="19"/>
        <v>63</v>
      </c>
      <c r="DO120" s="13">
        <f t="shared" si="19"/>
        <v>0</v>
      </c>
      <c r="DP120" s="13">
        <f t="shared" si="15"/>
        <v>791.23109999999997</v>
      </c>
      <c r="DQ120" s="13">
        <f t="shared" si="15"/>
        <v>63</v>
      </c>
      <c r="DR120" s="13">
        <f t="shared" si="15"/>
        <v>728.23109999999997</v>
      </c>
      <c r="DS120" s="14" t="s">
        <v>81</v>
      </c>
      <c r="DT120" s="14" t="s">
        <v>81</v>
      </c>
      <c r="DU120" s="14" t="s">
        <v>73</v>
      </c>
      <c r="DV120" s="14" t="s">
        <v>97</v>
      </c>
      <c r="DW120" s="14" t="s">
        <v>292</v>
      </c>
    </row>
    <row r="121" spans="2:127" x14ac:dyDescent="0.3">
      <c r="B121" s="11" t="s">
        <v>83</v>
      </c>
      <c r="C121" s="14">
        <v>5001341938</v>
      </c>
      <c r="D121" s="11" t="s">
        <v>451</v>
      </c>
      <c r="E121" s="11" t="s">
        <v>395</v>
      </c>
      <c r="F121" s="11" t="s">
        <v>452</v>
      </c>
      <c r="G121" s="11" t="s">
        <v>349</v>
      </c>
      <c r="H121" s="11" t="s">
        <v>87</v>
      </c>
      <c r="I121" s="11">
        <v>63132</v>
      </c>
      <c r="J121" s="11" t="s">
        <v>80</v>
      </c>
      <c r="K121" s="11"/>
      <c r="L121" s="11"/>
      <c r="M121" s="11"/>
      <c r="N121" s="11"/>
      <c r="O121" s="13">
        <v>1797</v>
      </c>
      <c r="P121" s="13">
        <v>1797</v>
      </c>
      <c r="Q121" s="13">
        <v>0</v>
      </c>
      <c r="R121" s="13">
        <v>62763.004800000002</v>
      </c>
      <c r="S121" s="13">
        <v>3011.0259000000001</v>
      </c>
      <c r="T121" s="13">
        <v>59751.978900000002</v>
      </c>
      <c r="U121" s="13">
        <v>177</v>
      </c>
      <c r="V121" s="13">
        <v>177</v>
      </c>
      <c r="W121" s="13">
        <v>0</v>
      </c>
      <c r="X121" s="13">
        <v>4562.9714000000004</v>
      </c>
      <c r="Y121" s="13">
        <v>267.6422</v>
      </c>
      <c r="Z121" s="13">
        <v>4295.3292000000001</v>
      </c>
      <c r="AA121" s="13">
        <v>241</v>
      </c>
      <c r="AB121" s="13">
        <v>241</v>
      </c>
      <c r="AC121" s="13">
        <v>0</v>
      </c>
      <c r="AD121" s="13">
        <v>5569.2743</v>
      </c>
      <c r="AE121" s="13">
        <v>360.57049999999998</v>
      </c>
      <c r="AF121" s="13">
        <v>5208.7038000000002</v>
      </c>
      <c r="AG121" s="13">
        <v>188</v>
      </c>
      <c r="AH121" s="13">
        <v>188</v>
      </c>
      <c r="AI121" s="13">
        <v>0</v>
      </c>
      <c r="AJ121" s="13">
        <v>4560.8568999999998</v>
      </c>
      <c r="AK121" s="13">
        <v>290.21350000000001</v>
      </c>
      <c r="AL121" s="13">
        <v>4270.6433999999999</v>
      </c>
      <c r="AM121" s="13">
        <v>188</v>
      </c>
      <c r="AN121" s="13">
        <v>188</v>
      </c>
      <c r="AO121" s="13">
        <v>0</v>
      </c>
      <c r="AP121" s="13">
        <v>4450.9278999999997</v>
      </c>
      <c r="AQ121" s="13">
        <v>303.71350000000001</v>
      </c>
      <c r="AR121" s="13">
        <v>4147.2143999999998</v>
      </c>
      <c r="AS121" s="13">
        <v>174</v>
      </c>
      <c r="AT121" s="13">
        <v>174</v>
      </c>
      <c r="AU121" s="13">
        <v>0</v>
      </c>
      <c r="AV121" s="13">
        <v>5331.7883999999995</v>
      </c>
      <c r="AW121" s="13">
        <v>258.85649999999998</v>
      </c>
      <c r="AX121" s="13">
        <v>5072.9318999999996</v>
      </c>
      <c r="AY121" s="13">
        <v>120</v>
      </c>
      <c r="AZ121" s="13">
        <v>120</v>
      </c>
      <c r="BA121" s="13">
        <v>0</v>
      </c>
      <c r="BB121" s="13">
        <v>4235.0064000000002</v>
      </c>
      <c r="BC121" s="13">
        <v>186.5352</v>
      </c>
      <c r="BD121" s="13">
        <v>4048.4712</v>
      </c>
      <c r="BE121" s="13">
        <v>126</v>
      </c>
      <c r="BF121" s="13">
        <v>126</v>
      </c>
      <c r="BG121" s="13">
        <v>0</v>
      </c>
      <c r="BH121" s="13">
        <v>4229.2421999999997</v>
      </c>
      <c r="BI121" s="13">
        <v>168.4281</v>
      </c>
      <c r="BJ121" s="13">
        <v>4060.8141000000001</v>
      </c>
      <c r="BK121" s="13">
        <v>112</v>
      </c>
      <c r="BL121" s="13">
        <v>112</v>
      </c>
      <c r="BM121" s="13">
        <v>0</v>
      </c>
      <c r="BN121" s="13">
        <v>5622.3324000000002</v>
      </c>
      <c r="BO121" s="13">
        <v>216.1422</v>
      </c>
      <c r="BP121" s="13">
        <v>5406.1902</v>
      </c>
      <c r="BQ121" s="13">
        <v>78</v>
      </c>
      <c r="BR121" s="13">
        <v>78</v>
      </c>
      <c r="BS121" s="13">
        <v>0</v>
      </c>
      <c r="BT121" s="13">
        <v>4587.7858999999999</v>
      </c>
      <c r="BU121" s="13">
        <v>193.71350000000001</v>
      </c>
      <c r="BV121" s="13">
        <v>4394.0724</v>
      </c>
      <c r="BW121" s="13">
        <v>118</v>
      </c>
      <c r="BX121" s="13">
        <v>118</v>
      </c>
      <c r="BY121" s="13">
        <v>0</v>
      </c>
      <c r="BZ121" s="13">
        <v>4646.3003000000008</v>
      </c>
      <c r="CA121" s="13">
        <v>202.8563</v>
      </c>
      <c r="CB121" s="13">
        <v>4443.4440000000004</v>
      </c>
      <c r="CC121" s="13">
        <v>125</v>
      </c>
      <c r="CD121" s="13">
        <v>125</v>
      </c>
      <c r="CE121" s="13">
        <v>0</v>
      </c>
      <c r="CF121" s="13">
        <v>5900.8967000000002</v>
      </c>
      <c r="CG121" s="13">
        <v>272.53430000000003</v>
      </c>
      <c r="CH121" s="13">
        <v>5628.3624</v>
      </c>
      <c r="CI121" s="13">
        <v>74</v>
      </c>
      <c r="CJ121" s="13">
        <v>74</v>
      </c>
      <c r="CK121" s="13">
        <v>0</v>
      </c>
      <c r="CL121" s="13">
        <v>4634.8931000000002</v>
      </c>
      <c r="CM121" s="13">
        <v>179.1062</v>
      </c>
      <c r="CN121" s="13">
        <v>4455.7869000000001</v>
      </c>
      <c r="CO121" s="13">
        <v>76</v>
      </c>
      <c r="CP121" s="13">
        <v>76</v>
      </c>
      <c r="CQ121" s="13">
        <v>0</v>
      </c>
      <c r="CR121" s="13">
        <v>4430.7289000000001</v>
      </c>
      <c r="CS121" s="13">
        <v>110.7139</v>
      </c>
      <c r="CT121" s="13">
        <v>4320.0150000000003</v>
      </c>
      <c r="CU121" s="13">
        <f t="shared" si="16"/>
        <v>1620</v>
      </c>
      <c r="CV121" s="13">
        <f t="shared" si="16"/>
        <v>1620</v>
      </c>
      <c r="CW121" s="13">
        <f t="shared" si="16"/>
        <v>0</v>
      </c>
      <c r="CX121" s="13">
        <f t="shared" si="12"/>
        <v>58200.0334</v>
      </c>
      <c r="CY121" s="13">
        <f t="shared" si="12"/>
        <v>2743.3837000000008</v>
      </c>
      <c r="CZ121" s="13">
        <f t="shared" si="12"/>
        <v>55456.649700000002</v>
      </c>
      <c r="DA121" s="13">
        <f t="shared" si="17"/>
        <v>275</v>
      </c>
      <c r="DB121" s="13">
        <f t="shared" si="17"/>
        <v>275</v>
      </c>
      <c r="DC121" s="13">
        <f t="shared" si="17"/>
        <v>0</v>
      </c>
      <c r="DD121" s="13">
        <f t="shared" si="13"/>
        <v>14966.518700000001</v>
      </c>
      <c r="DE121" s="13">
        <f t="shared" si="13"/>
        <v>562.35440000000006</v>
      </c>
      <c r="DF121" s="13">
        <f t="shared" si="13"/>
        <v>14404.1643</v>
      </c>
      <c r="DG121" s="13">
        <f t="shared" si="18"/>
        <v>308</v>
      </c>
      <c r="DH121" s="13">
        <f t="shared" si="18"/>
        <v>308</v>
      </c>
      <c r="DI121" s="13">
        <f t="shared" si="18"/>
        <v>0</v>
      </c>
      <c r="DJ121" s="13">
        <f t="shared" si="14"/>
        <v>14856.418600000001</v>
      </c>
      <c r="DK121" s="13">
        <f t="shared" si="14"/>
        <v>612.71199999999999</v>
      </c>
      <c r="DL121" s="13">
        <f t="shared" si="14"/>
        <v>14243.706600000001</v>
      </c>
      <c r="DM121" s="13">
        <f t="shared" si="19"/>
        <v>150</v>
      </c>
      <c r="DN121" s="13">
        <f t="shared" si="19"/>
        <v>150</v>
      </c>
      <c r="DO121" s="13">
        <f t="shared" si="19"/>
        <v>0</v>
      </c>
      <c r="DP121" s="13">
        <f t="shared" si="15"/>
        <v>9065.6219999999994</v>
      </c>
      <c r="DQ121" s="13">
        <f t="shared" si="15"/>
        <v>289.82010000000002</v>
      </c>
      <c r="DR121" s="13">
        <f t="shared" si="15"/>
        <v>8775.8019000000004</v>
      </c>
      <c r="DS121" s="14" t="s">
        <v>71</v>
      </c>
      <c r="DT121" s="14" t="s">
        <v>81</v>
      </c>
      <c r="DU121" s="14" t="s">
        <v>62</v>
      </c>
      <c r="DV121" s="14" t="s">
        <v>82</v>
      </c>
      <c r="DW121" s="14" t="s">
        <v>74</v>
      </c>
    </row>
    <row r="122" spans="2:127" x14ac:dyDescent="0.3">
      <c r="B122" s="11" t="s">
        <v>65</v>
      </c>
      <c r="C122" s="14">
        <v>5001341955</v>
      </c>
      <c r="D122" s="11" t="s">
        <v>453</v>
      </c>
      <c r="E122" s="11" t="s">
        <v>395</v>
      </c>
      <c r="F122" s="11" t="s">
        <v>454</v>
      </c>
      <c r="G122" s="11" t="s">
        <v>455</v>
      </c>
      <c r="H122" s="11" t="s">
        <v>216</v>
      </c>
      <c r="I122" s="11">
        <v>45429</v>
      </c>
      <c r="J122" s="11" t="s">
        <v>80</v>
      </c>
      <c r="K122" s="11"/>
      <c r="L122" s="11"/>
      <c r="M122" s="11"/>
      <c r="N122" s="11"/>
      <c r="O122" s="13">
        <v>754</v>
      </c>
      <c r="P122" s="13">
        <v>754</v>
      </c>
      <c r="Q122" s="13">
        <v>0</v>
      </c>
      <c r="R122" s="13">
        <v>28211.546999999999</v>
      </c>
      <c r="S122" s="13">
        <v>1328.7107999999998</v>
      </c>
      <c r="T122" s="13">
        <v>26882.836200000002</v>
      </c>
      <c r="U122" s="13">
        <v>0</v>
      </c>
      <c r="V122" s="13">
        <v>0</v>
      </c>
      <c r="W122" s="13">
        <v>0</v>
      </c>
      <c r="X122" s="13">
        <v>1663.5907</v>
      </c>
      <c r="Y122" s="13">
        <v>71.3566</v>
      </c>
      <c r="Z122" s="13">
        <v>1592.2340999999999</v>
      </c>
      <c r="AA122" s="13">
        <v>57</v>
      </c>
      <c r="AB122" s="13">
        <v>57</v>
      </c>
      <c r="AC122" s="13">
        <v>0</v>
      </c>
      <c r="AD122" s="13">
        <v>1696.8698999999999</v>
      </c>
      <c r="AE122" s="13">
        <v>67.607100000000003</v>
      </c>
      <c r="AF122" s="13">
        <v>1629.2628</v>
      </c>
      <c r="AG122" s="13">
        <v>54</v>
      </c>
      <c r="AH122" s="13">
        <v>54</v>
      </c>
      <c r="AI122" s="13">
        <v>0</v>
      </c>
      <c r="AJ122" s="13">
        <v>1645.848</v>
      </c>
      <c r="AK122" s="13">
        <v>90.642600000000002</v>
      </c>
      <c r="AL122" s="13">
        <v>1555.2054000000001</v>
      </c>
      <c r="AM122" s="13">
        <v>63</v>
      </c>
      <c r="AN122" s="13">
        <v>63</v>
      </c>
      <c r="AO122" s="13">
        <v>0</v>
      </c>
      <c r="AP122" s="13">
        <v>2292.2428</v>
      </c>
      <c r="AQ122" s="13">
        <v>119.89240000000001</v>
      </c>
      <c r="AR122" s="13">
        <v>2172.3503999999998</v>
      </c>
      <c r="AS122" s="13">
        <v>104</v>
      </c>
      <c r="AT122" s="13">
        <v>104</v>
      </c>
      <c r="AU122" s="13">
        <v>0</v>
      </c>
      <c r="AV122" s="13">
        <v>2402.6718999999998</v>
      </c>
      <c r="AW122" s="13">
        <v>168.607</v>
      </c>
      <c r="AX122" s="13">
        <v>2234.0648999999999</v>
      </c>
      <c r="AY122" s="13">
        <v>81</v>
      </c>
      <c r="AZ122" s="13">
        <v>81</v>
      </c>
      <c r="BA122" s="13">
        <v>0</v>
      </c>
      <c r="BB122" s="13">
        <v>2237.5358999999999</v>
      </c>
      <c r="BC122" s="13">
        <v>102.21420000000001</v>
      </c>
      <c r="BD122" s="13">
        <v>2135.3217</v>
      </c>
      <c r="BE122" s="13">
        <v>71</v>
      </c>
      <c r="BF122" s="13">
        <v>71</v>
      </c>
      <c r="BG122" s="13">
        <v>0</v>
      </c>
      <c r="BH122" s="13">
        <v>2150.1995000000002</v>
      </c>
      <c r="BI122" s="13">
        <v>125.9639</v>
      </c>
      <c r="BJ122" s="13">
        <v>2024.2356</v>
      </c>
      <c r="BK122" s="13">
        <v>54</v>
      </c>
      <c r="BL122" s="13">
        <v>54</v>
      </c>
      <c r="BM122" s="13">
        <v>0</v>
      </c>
      <c r="BN122" s="13">
        <v>2910.9948999999997</v>
      </c>
      <c r="BO122" s="13">
        <v>121.4995</v>
      </c>
      <c r="BP122" s="13">
        <v>2789.4953999999998</v>
      </c>
      <c r="BQ122" s="13">
        <v>94</v>
      </c>
      <c r="BR122" s="13">
        <v>94</v>
      </c>
      <c r="BS122" s="13">
        <v>0</v>
      </c>
      <c r="BT122" s="13">
        <v>2201.1644000000001</v>
      </c>
      <c r="BU122" s="13">
        <v>115.21430000000001</v>
      </c>
      <c r="BV122" s="13">
        <v>2085.9501</v>
      </c>
      <c r="BW122" s="13">
        <v>30</v>
      </c>
      <c r="BX122" s="13">
        <v>30</v>
      </c>
      <c r="BY122" s="13">
        <v>0</v>
      </c>
      <c r="BZ122" s="13">
        <v>1994.8351</v>
      </c>
      <c r="CA122" s="13">
        <v>56.9998</v>
      </c>
      <c r="CB122" s="13">
        <v>1937.8353</v>
      </c>
      <c r="CC122" s="13">
        <v>50</v>
      </c>
      <c r="CD122" s="13">
        <v>50</v>
      </c>
      <c r="CE122" s="13">
        <v>0</v>
      </c>
      <c r="CF122" s="13">
        <v>2429.6715999999997</v>
      </c>
      <c r="CG122" s="13">
        <v>133.8922</v>
      </c>
      <c r="CH122" s="13">
        <v>2295.7793999999999</v>
      </c>
      <c r="CI122" s="13">
        <v>43</v>
      </c>
      <c r="CJ122" s="13">
        <v>43</v>
      </c>
      <c r="CK122" s="13">
        <v>0</v>
      </c>
      <c r="CL122" s="13">
        <v>2117.7642999999998</v>
      </c>
      <c r="CM122" s="13">
        <v>56.5</v>
      </c>
      <c r="CN122" s="13">
        <v>2061.2642999999998</v>
      </c>
      <c r="CO122" s="13">
        <v>53</v>
      </c>
      <c r="CP122" s="13">
        <v>53</v>
      </c>
      <c r="CQ122" s="13">
        <v>0</v>
      </c>
      <c r="CR122" s="13">
        <v>2468.1579999999999</v>
      </c>
      <c r="CS122" s="13">
        <v>98.321200000000005</v>
      </c>
      <c r="CT122" s="13">
        <v>2369.8368</v>
      </c>
      <c r="CU122" s="13">
        <f t="shared" si="16"/>
        <v>754</v>
      </c>
      <c r="CV122" s="13">
        <f t="shared" si="16"/>
        <v>754</v>
      </c>
      <c r="CW122" s="13">
        <f t="shared" si="16"/>
        <v>0</v>
      </c>
      <c r="CX122" s="13">
        <f t="shared" si="12"/>
        <v>26547.956299999998</v>
      </c>
      <c r="CY122" s="13">
        <f t="shared" si="12"/>
        <v>1257.3542</v>
      </c>
      <c r="CZ122" s="13">
        <f t="shared" si="12"/>
        <v>25290.602099999996</v>
      </c>
      <c r="DA122" s="13">
        <f t="shared" si="17"/>
        <v>146</v>
      </c>
      <c r="DB122" s="13">
        <f t="shared" si="17"/>
        <v>146</v>
      </c>
      <c r="DC122" s="13">
        <f t="shared" si="17"/>
        <v>0</v>
      </c>
      <c r="DD122" s="13">
        <f t="shared" si="13"/>
        <v>7015.5938999999998</v>
      </c>
      <c r="DE122" s="13">
        <f t="shared" si="13"/>
        <v>288.71339999999998</v>
      </c>
      <c r="DF122" s="13">
        <f t="shared" si="13"/>
        <v>6726.8805000000002</v>
      </c>
      <c r="DG122" s="13">
        <f t="shared" si="18"/>
        <v>178</v>
      </c>
      <c r="DH122" s="13">
        <f t="shared" si="18"/>
        <v>178</v>
      </c>
      <c r="DI122" s="13">
        <f t="shared" si="18"/>
        <v>0</v>
      </c>
      <c r="DJ122" s="13">
        <f t="shared" si="14"/>
        <v>7106.9943999999996</v>
      </c>
      <c r="DK122" s="13">
        <f t="shared" si="14"/>
        <v>293.71359999999999</v>
      </c>
      <c r="DL122" s="13">
        <f t="shared" si="14"/>
        <v>6813.2807999999995</v>
      </c>
      <c r="DM122" s="13">
        <f t="shared" si="19"/>
        <v>96</v>
      </c>
      <c r="DN122" s="13">
        <f t="shared" si="19"/>
        <v>96</v>
      </c>
      <c r="DO122" s="13">
        <f t="shared" si="19"/>
        <v>0</v>
      </c>
      <c r="DP122" s="13">
        <f t="shared" si="15"/>
        <v>4585.9223000000002</v>
      </c>
      <c r="DQ122" s="13">
        <f t="shared" si="15"/>
        <v>154.8212</v>
      </c>
      <c r="DR122" s="13">
        <f t="shared" si="15"/>
        <v>4431.1010999999999</v>
      </c>
      <c r="DS122" s="14" t="s">
        <v>60</v>
      </c>
      <c r="DT122" s="14" t="s">
        <v>81</v>
      </c>
      <c r="DU122" s="14" t="s">
        <v>73</v>
      </c>
      <c r="DV122" s="14" t="s">
        <v>82</v>
      </c>
      <c r="DW122" s="14" t="s">
        <v>64</v>
      </c>
    </row>
    <row r="123" spans="2:127" x14ac:dyDescent="0.3">
      <c r="B123" s="11" t="s">
        <v>65</v>
      </c>
      <c r="C123" s="14">
        <v>5001341964</v>
      </c>
      <c r="D123" s="11" t="s">
        <v>456</v>
      </c>
      <c r="E123" s="11" t="s">
        <v>395</v>
      </c>
      <c r="F123" s="11" t="s">
        <v>457</v>
      </c>
      <c r="G123" s="11" t="s">
        <v>389</v>
      </c>
      <c r="H123" s="11" t="s">
        <v>458</v>
      </c>
      <c r="I123" s="11">
        <v>2903</v>
      </c>
      <c r="J123" s="11" t="s">
        <v>80</v>
      </c>
      <c r="K123" s="11"/>
      <c r="L123" s="11"/>
      <c r="M123" s="11"/>
      <c r="N123" s="11"/>
      <c r="O123" s="13">
        <v>1245</v>
      </c>
      <c r="P123" s="13">
        <v>1245</v>
      </c>
      <c r="Q123" s="13">
        <v>0</v>
      </c>
      <c r="R123" s="13">
        <v>30691.684499999999</v>
      </c>
      <c r="S123" s="13">
        <v>1513.0689</v>
      </c>
      <c r="T123" s="13">
        <v>29178.615600000001</v>
      </c>
      <c r="U123" s="13">
        <v>89</v>
      </c>
      <c r="V123" s="13">
        <v>89</v>
      </c>
      <c r="W123" s="13">
        <v>0</v>
      </c>
      <c r="X123" s="13">
        <v>2137.9214000000002</v>
      </c>
      <c r="Y123" s="13">
        <v>89</v>
      </c>
      <c r="Z123" s="13">
        <v>2048.9214000000002</v>
      </c>
      <c r="AA123" s="13">
        <v>142</v>
      </c>
      <c r="AB123" s="13">
        <v>142</v>
      </c>
      <c r="AC123" s="13">
        <v>0</v>
      </c>
      <c r="AD123" s="13">
        <v>2622.9229</v>
      </c>
      <c r="AE123" s="13">
        <v>142</v>
      </c>
      <c r="AF123" s="13">
        <v>2480.9229</v>
      </c>
      <c r="AG123" s="13">
        <v>142</v>
      </c>
      <c r="AH123" s="13">
        <v>142</v>
      </c>
      <c r="AI123" s="13">
        <v>0</v>
      </c>
      <c r="AJ123" s="13">
        <v>2314.3503999999998</v>
      </c>
      <c r="AK123" s="13">
        <v>142</v>
      </c>
      <c r="AL123" s="13">
        <v>2172.3503999999998</v>
      </c>
      <c r="AM123" s="13">
        <v>85</v>
      </c>
      <c r="AN123" s="13">
        <v>85</v>
      </c>
      <c r="AO123" s="13">
        <v>0</v>
      </c>
      <c r="AP123" s="13">
        <v>1973.4637</v>
      </c>
      <c r="AQ123" s="13">
        <v>85</v>
      </c>
      <c r="AR123" s="13">
        <v>1888.4637</v>
      </c>
      <c r="AS123" s="13">
        <v>102</v>
      </c>
      <c r="AT123" s="13">
        <v>102</v>
      </c>
      <c r="AU123" s="13">
        <v>0</v>
      </c>
      <c r="AV123" s="13">
        <v>2385.4364999999998</v>
      </c>
      <c r="AW123" s="13">
        <v>102</v>
      </c>
      <c r="AX123" s="13">
        <v>2283.4364999999998</v>
      </c>
      <c r="AY123" s="13">
        <v>66</v>
      </c>
      <c r="AZ123" s="13">
        <v>66</v>
      </c>
      <c r="BA123" s="13">
        <v>0</v>
      </c>
      <c r="BB123" s="13">
        <v>2151.9501</v>
      </c>
      <c r="BC123" s="13">
        <v>66</v>
      </c>
      <c r="BD123" s="13">
        <v>2085.9501</v>
      </c>
      <c r="BE123" s="13">
        <v>52</v>
      </c>
      <c r="BF123" s="13">
        <v>52</v>
      </c>
      <c r="BG123" s="13">
        <v>0</v>
      </c>
      <c r="BH123" s="13">
        <v>2397.7291</v>
      </c>
      <c r="BI123" s="13">
        <v>89.606799999999993</v>
      </c>
      <c r="BJ123" s="13">
        <v>2308.1223</v>
      </c>
      <c r="BK123" s="13">
        <v>33</v>
      </c>
      <c r="BL123" s="13">
        <v>33</v>
      </c>
      <c r="BM123" s="13">
        <v>0</v>
      </c>
      <c r="BN123" s="13">
        <v>2563.4872</v>
      </c>
      <c r="BO123" s="13">
        <v>45.535600000000002</v>
      </c>
      <c r="BP123" s="13">
        <v>2517.9515999999999</v>
      </c>
      <c r="BQ123" s="13">
        <v>52</v>
      </c>
      <c r="BR123" s="13">
        <v>52</v>
      </c>
      <c r="BS123" s="13">
        <v>0</v>
      </c>
      <c r="BT123" s="13">
        <v>2249.4215999999997</v>
      </c>
      <c r="BU123" s="13">
        <v>77.071200000000005</v>
      </c>
      <c r="BV123" s="13">
        <v>2172.3503999999998</v>
      </c>
      <c r="BW123" s="13">
        <v>99</v>
      </c>
      <c r="BX123" s="13">
        <v>99</v>
      </c>
      <c r="BY123" s="13">
        <v>0</v>
      </c>
      <c r="BZ123" s="13">
        <v>2382.4364999999998</v>
      </c>
      <c r="CA123" s="13">
        <v>99</v>
      </c>
      <c r="CB123" s="13">
        <v>2283.4364999999998</v>
      </c>
      <c r="CC123" s="13">
        <v>144</v>
      </c>
      <c r="CD123" s="13">
        <v>144</v>
      </c>
      <c r="CE123" s="13">
        <v>0</v>
      </c>
      <c r="CF123" s="13">
        <v>2741.2157999999999</v>
      </c>
      <c r="CG123" s="13">
        <v>173.89260000000002</v>
      </c>
      <c r="CH123" s="13">
        <v>2567.3231999999998</v>
      </c>
      <c r="CI123" s="13">
        <v>133</v>
      </c>
      <c r="CJ123" s="13">
        <v>133</v>
      </c>
      <c r="CK123" s="13">
        <v>0</v>
      </c>
      <c r="CL123" s="13">
        <v>2460.2143000000001</v>
      </c>
      <c r="CM123" s="13">
        <v>201.46359999999999</v>
      </c>
      <c r="CN123" s="13">
        <v>2258.7507000000001</v>
      </c>
      <c r="CO123" s="13">
        <v>106</v>
      </c>
      <c r="CP123" s="13">
        <v>106</v>
      </c>
      <c r="CQ123" s="13">
        <v>0</v>
      </c>
      <c r="CR123" s="13">
        <v>2311.1350000000002</v>
      </c>
      <c r="CS123" s="13">
        <v>200.4991</v>
      </c>
      <c r="CT123" s="13">
        <v>2110.6359000000002</v>
      </c>
      <c r="CU123" s="13">
        <f t="shared" si="16"/>
        <v>1156</v>
      </c>
      <c r="CV123" s="13">
        <f t="shared" si="16"/>
        <v>1156</v>
      </c>
      <c r="CW123" s="13">
        <f t="shared" si="16"/>
        <v>0</v>
      </c>
      <c r="CX123" s="13">
        <f t="shared" si="12"/>
        <v>28553.763100000004</v>
      </c>
      <c r="CY123" s="13">
        <f t="shared" si="12"/>
        <v>1424.0689</v>
      </c>
      <c r="CZ123" s="13">
        <f t="shared" si="12"/>
        <v>27129.694200000002</v>
      </c>
      <c r="DA123" s="13">
        <f t="shared" si="17"/>
        <v>383</v>
      </c>
      <c r="DB123" s="13">
        <f t="shared" si="17"/>
        <v>383</v>
      </c>
      <c r="DC123" s="13">
        <f t="shared" si="17"/>
        <v>0</v>
      </c>
      <c r="DD123" s="13">
        <f t="shared" si="13"/>
        <v>7512.5650999999998</v>
      </c>
      <c r="DE123" s="13">
        <f t="shared" si="13"/>
        <v>575.85529999999994</v>
      </c>
      <c r="DF123" s="13">
        <f t="shared" si="13"/>
        <v>6936.7097999999996</v>
      </c>
      <c r="DG123" s="13">
        <f t="shared" si="18"/>
        <v>184</v>
      </c>
      <c r="DH123" s="13">
        <f t="shared" si="18"/>
        <v>184</v>
      </c>
      <c r="DI123" s="13">
        <f t="shared" si="18"/>
        <v>0</v>
      </c>
      <c r="DJ123" s="13">
        <f t="shared" si="14"/>
        <v>7195.345299999999</v>
      </c>
      <c r="DK123" s="13">
        <f t="shared" si="14"/>
        <v>221.60680000000002</v>
      </c>
      <c r="DL123" s="13">
        <f t="shared" si="14"/>
        <v>6973.7384999999995</v>
      </c>
      <c r="DM123" s="13">
        <f t="shared" si="19"/>
        <v>239</v>
      </c>
      <c r="DN123" s="13">
        <f t="shared" si="19"/>
        <v>239</v>
      </c>
      <c r="DO123" s="13">
        <f t="shared" si="19"/>
        <v>0</v>
      </c>
      <c r="DP123" s="13">
        <f t="shared" si="15"/>
        <v>4771.3492999999999</v>
      </c>
      <c r="DQ123" s="13">
        <f t="shared" si="15"/>
        <v>401.96269999999998</v>
      </c>
      <c r="DR123" s="13">
        <f t="shared" si="15"/>
        <v>4369.3865999999998</v>
      </c>
      <c r="DS123" s="14" t="s">
        <v>60</v>
      </c>
      <c r="DT123" s="14" t="s">
        <v>92</v>
      </c>
      <c r="DU123" s="14" t="s">
        <v>73</v>
      </c>
      <c r="DV123" s="14" t="s">
        <v>82</v>
      </c>
      <c r="DW123" s="14" t="s">
        <v>74</v>
      </c>
    </row>
    <row r="124" spans="2:127" x14ac:dyDescent="0.3">
      <c r="B124" s="11" t="s">
        <v>65</v>
      </c>
      <c r="C124" s="14">
        <v>5001342029</v>
      </c>
      <c r="D124" s="11" t="s">
        <v>459</v>
      </c>
      <c r="E124" s="11" t="s">
        <v>395</v>
      </c>
      <c r="F124" s="11" t="s">
        <v>460</v>
      </c>
      <c r="G124" s="11" t="s">
        <v>461</v>
      </c>
      <c r="H124" s="11" t="s">
        <v>462</v>
      </c>
      <c r="I124" s="11">
        <v>4412</v>
      </c>
      <c r="J124" s="11" t="s">
        <v>80</v>
      </c>
      <c r="K124" s="11"/>
      <c r="L124" s="11"/>
      <c r="M124" s="11"/>
      <c r="N124" s="11"/>
      <c r="O124" s="13">
        <v>883</v>
      </c>
      <c r="P124" s="13">
        <v>883</v>
      </c>
      <c r="Q124" s="13">
        <v>0</v>
      </c>
      <c r="R124" s="13">
        <v>18681.461800000001</v>
      </c>
      <c r="S124" s="13">
        <v>883</v>
      </c>
      <c r="T124" s="13">
        <v>17798.461800000001</v>
      </c>
      <c r="U124" s="13">
        <v>89</v>
      </c>
      <c r="V124" s="13">
        <v>89</v>
      </c>
      <c r="W124" s="13">
        <v>0</v>
      </c>
      <c r="X124" s="13">
        <v>1323.29</v>
      </c>
      <c r="Y124" s="13">
        <v>89</v>
      </c>
      <c r="Z124" s="13">
        <v>1234.29</v>
      </c>
      <c r="AA124" s="13">
        <v>58</v>
      </c>
      <c r="AB124" s="13">
        <v>58</v>
      </c>
      <c r="AC124" s="13">
        <v>0</v>
      </c>
      <c r="AD124" s="13">
        <v>1724.2915</v>
      </c>
      <c r="AE124" s="13">
        <v>58</v>
      </c>
      <c r="AF124" s="13">
        <v>1666.2915</v>
      </c>
      <c r="AG124" s="13">
        <v>58</v>
      </c>
      <c r="AH124" s="13">
        <v>58</v>
      </c>
      <c r="AI124" s="13">
        <v>0</v>
      </c>
      <c r="AJ124" s="13">
        <v>1378.6903</v>
      </c>
      <c r="AK124" s="13">
        <v>58</v>
      </c>
      <c r="AL124" s="13">
        <v>1320.6903</v>
      </c>
      <c r="AM124" s="13">
        <v>79</v>
      </c>
      <c r="AN124" s="13">
        <v>79</v>
      </c>
      <c r="AO124" s="13">
        <v>0</v>
      </c>
      <c r="AP124" s="13">
        <v>1276.2612999999999</v>
      </c>
      <c r="AQ124" s="13">
        <v>79</v>
      </c>
      <c r="AR124" s="13">
        <v>1197.2612999999999</v>
      </c>
      <c r="AS124" s="13">
        <v>116</v>
      </c>
      <c r="AT124" s="13">
        <v>116</v>
      </c>
      <c r="AU124" s="13">
        <v>0</v>
      </c>
      <c r="AV124" s="13">
        <v>1609.4909</v>
      </c>
      <c r="AW124" s="13">
        <v>116</v>
      </c>
      <c r="AX124" s="13">
        <v>1493.4909</v>
      </c>
      <c r="AY124" s="13">
        <v>39</v>
      </c>
      <c r="AZ124" s="13">
        <v>39</v>
      </c>
      <c r="BA124" s="13">
        <v>0</v>
      </c>
      <c r="BB124" s="13">
        <v>1014.0891</v>
      </c>
      <c r="BC124" s="13">
        <v>39</v>
      </c>
      <c r="BD124" s="13">
        <v>975.08910000000003</v>
      </c>
      <c r="BE124" s="13">
        <v>79</v>
      </c>
      <c r="BF124" s="13">
        <v>79</v>
      </c>
      <c r="BG124" s="13">
        <v>0</v>
      </c>
      <c r="BH124" s="13">
        <v>1276.2612999999999</v>
      </c>
      <c r="BI124" s="13">
        <v>79</v>
      </c>
      <c r="BJ124" s="13">
        <v>1197.2612999999999</v>
      </c>
      <c r="BK124" s="13">
        <v>54</v>
      </c>
      <c r="BL124" s="13">
        <v>54</v>
      </c>
      <c r="BM124" s="13">
        <v>0</v>
      </c>
      <c r="BN124" s="13">
        <v>1498.1193000000001</v>
      </c>
      <c r="BO124" s="13">
        <v>54</v>
      </c>
      <c r="BP124" s="13">
        <v>1444.1193000000001</v>
      </c>
      <c r="BQ124" s="13">
        <v>46</v>
      </c>
      <c r="BR124" s="13">
        <v>46</v>
      </c>
      <c r="BS124" s="13">
        <v>0</v>
      </c>
      <c r="BT124" s="13">
        <v>1243.2612999999999</v>
      </c>
      <c r="BU124" s="13">
        <v>46</v>
      </c>
      <c r="BV124" s="13">
        <v>1197.2612999999999</v>
      </c>
      <c r="BW124" s="13">
        <v>46</v>
      </c>
      <c r="BX124" s="13">
        <v>46</v>
      </c>
      <c r="BY124" s="13">
        <v>0</v>
      </c>
      <c r="BZ124" s="13">
        <v>1403.7190000000001</v>
      </c>
      <c r="CA124" s="13">
        <v>46</v>
      </c>
      <c r="CB124" s="13">
        <v>1357.7190000000001</v>
      </c>
      <c r="CC124" s="13">
        <v>57</v>
      </c>
      <c r="CD124" s="13">
        <v>57</v>
      </c>
      <c r="CE124" s="13">
        <v>0</v>
      </c>
      <c r="CF124" s="13">
        <v>1785.0060000000001</v>
      </c>
      <c r="CG124" s="13">
        <v>57</v>
      </c>
      <c r="CH124" s="13">
        <v>1728.0060000000001</v>
      </c>
      <c r="CI124" s="13">
        <v>81</v>
      </c>
      <c r="CJ124" s="13">
        <v>81</v>
      </c>
      <c r="CK124" s="13">
        <v>0</v>
      </c>
      <c r="CL124" s="13">
        <v>1463.4048</v>
      </c>
      <c r="CM124" s="13">
        <v>81</v>
      </c>
      <c r="CN124" s="13">
        <v>1382.4048</v>
      </c>
      <c r="CO124" s="13">
        <v>81</v>
      </c>
      <c r="CP124" s="13">
        <v>81</v>
      </c>
      <c r="CQ124" s="13">
        <v>0</v>
      </c>
      <c r="CR124" s="13">
        <v>1685.577</v>
      </c>
      <c r="CS124" s="13">
        <v>81</v>
      </c>
      <c r="CT124" s="13">
        <v>1604.577</v>
      </c>
      <c r="CU124" s="13">
        <f t="shared" si="16"/>
        <v>794</v>
      </c>
      <c r="CV124" s="13">
        <f t="shared" si="16"/>
        <v>794</v>
      </c>
      <c r="CW124" s="13">
        <f t="shared" si="16"/>
        <v>0</v>
      </c>
      <c r="CX124" s="13">
        <f t="shared" si="12"/>
        <v>17358.1718</v>
      </c>
      <c r="CY124" s="13">
        <f t="shared" si="12"/>
        <v>794</v>
      </c>
      <c r="CZ124" s="13">
        <f t="shared" si="12"/>
        <v>16564.1718</v>
      </c>
      <c r="DA124" s="13">
        <f t="shared" si="17"/>
        <v>219</v>
      </c>
      <c r="DB124" s="13">
        <f t="shared" si="17"/>
        <v>219</v>
      </c>
      <c r="DC124" s="13">
        <f t="shared" si="17"/>
        <v>0</v>
      </c>
      <c r="DD124" s="13">
        <f t="shared" si="13"/>
        <v>4933.9877999999999</v>
      </c>
      <c r="DE124" s="13">
        <f t="shared" si="13"/>
        <v>219</v>
      </c>
      <c r="DF124" s="13">
        <f t="shared" si="13"/>
        <v>4714.9877999999999</v>
      </c>
      <c r="DG124" s="13">
        <f t="shared" si="18"/>
        <v>146</v>
      </c>
      <c r="DH124" s="13">
        <f t="shared" si="18"/>
        <v>146</v>
      </c>
      <c r="DI124" s="13">
        <f t="shared" si="18"/>
        <v>0</v>
      </c>
      <c r="DJ124" s="13">
        <f t="shared" si="14"/>
        <v>4145.0995999999996</v>
      </c>
      <c r="DK124" s="13">
        <f t="shared" si="14"/>
        <v>146</v>
      </c>
      <c r="DL124" s="13">
        <f t="shared" si="14"/>
        <v>3999.0996</v>
      </c>
      <c r="DM124" s="13">
        <f t="shared" si="19"/>
        <v>162</v>
      </c>
      <c r="DN124" s="13">
        <f t="shared" si="19"/>
        <v>162</v>
      </c>
      <c r="DO124" s="13">
        <f t="shared" si="19"/>
        <v>0</v>
      </c>
      <c r="DP124" s="13">
        <f t="shared" si="15"/>
        <v>3148.9818</v>
      </c>
      <c r="DQ124" s="13">
        <f t="shared" si="15"/>
        <v>162</v>
      </c>
      <c r="DR124" s="13">
        <f t="shared" si="15"/>
        <v>2986.9818</v>
      </c>
      <c r="DS124" s="14" t="s">
        <v>60</v>
      </c>
      <c r="DT124" s="14" t="s">
        <v>81</v>
      </c>
      <c r="DU124" s="14" t="s">
        <v>73</v>
      </c>
      <c r="DV124" s="14" t="s">
        <v>82</v>
      </c>
      <c r="DW124" s="14" t="s">
        <v>64</v>
      </c>
    </row>
    <row r="125" spans="2:127" x14ac:dyDescent="0.3">
      <c r="B125" s="11" t="s">
        <v>83</v>
      </c>
      <c r="C125" s="14">
        <v>5001342036</v>
      </c>
      <c r="D125" s="11" t="s">
        <v>463</v>
      </c>
      <c r="E125" s="11" t="s">
        <v>395</v>
      </c>
      <c r="F125" s="11" t="s">
        <v>464</v>
      </c>
      <c r="G125" s="11" t="s">
        <v>465</v>
      </c>
      <c r="H125" s="11" t="s">
        <v>296</v>
      </c>
      <c r="I125" s="11">
        <v>60201</v>
      </c>
      <c r="J125" s="11" t="s">
        <v>80</v>
      </c>
      <c r="K125" s="11"/>
      <c r="L125" s="11"/>
      <c r="M125" s="11"/>
      <c r="N125" s="11"/>
      <c r="O125" s="13">
        <v>1298</v>
      </c>
      <c r="P125" s="13">
        <v>1298</v>
      </c>
      <c r="Q125" s="13">
        <v>0</v>
      </c>
      <c r="R125" s="13">
        <v>46877.818700000003</v>
      </c>
      <c r="S125" s="13">
        <v>1752.1763000000001</v>
      </c>
      <c r="T125" s="13">
        <v>45125.642399999997</v>
      </c>
      <c r="U125" s="13">
        <v>49</v>
      </c>
      <c r="V125" s="13">
        <v>49</v>
      </c>
      <c r="W125" s="13">
        <v>0</v>
      </c>
      <c r="X125" s="13">
        <v>2852.3807999999999</v>
      </c>
      <c r="Y125" s="13">
        <v>87.571200000000005</v>
      </c>
      <c r="Z125" s="13">
        <v>2764.8096</v>
      </c>
      <c r="AA125" s="13">
        <v>108</v>
      </c>
      <c r="AB125" s="13">
        <v>108</v>
      </c>
      <c r="AC125" s="13">
        <v>0</v>
      </c>
      <c r="AD125" s="13">
        <v>3642.5048000000002</v>
      </c>
      <c r="AE125" s="13">
        <v>149.4641</v>
      </c>
      <c r="AF125" s="13">
        <v>3493.0407</v>
      </c>
      <c r="AG125" s="13">
        <v>92</v>
      </c>
      <c r="AH125" s="13">
        <v>92</v>
      </c>
      <c r="AI125" s="13">
        <v>0</v>
      </c>
      <c r="AJ125" s="13">
        <v>3159.2103999999999</v>
      </c>
      <c r="AK125" s="13">
        <v>122.857</v>
      </c>
      <c r="AL125" s="13">
        <v>3036.3534</v>
      </c>
      <c r="AM125" s="13">
        <v>88</v>
      </c>
      <c r="AN125" s="13">
        <v>88</v>
      </c>
      <c r="AO125" s="13">
        <v>0</v>
      </c>
      <c r="AP125" s="13">
        <v>2970.6457</v>
      </c>
      <c r="AQ125" s="13">
        <v>94.75</v>
      </c>
      <c r="AR125" s="13">
        <v>2875.8957</v>
      </c>
      <c r="AS125" s="13">
        <v>61</v>
      </c>
      <c r="AT125" s="13">
        <v>61</v>
      </c>
      <c r="AU125" s="13">
        <v>0</v>
      </c>
      <c r="AV125" s="13">
        <v>4207.8284000000003</v>
      </c>
      <c r="AW125" s="13">
        <v>97.642699999999991</v>
      </c>
      <c r="AX125" s="13">
        <v>4110.1857</v>
      </c>
      <c r="AY125" s="13">
        <v>79</v>
      </c>
      <c r="AZ125" s="13">
        <v>79</v>
      </c>
      <c r="BA125" s="13">
        <v>0</v>
      </c>
      <c r="BB125" s="13">
        <v>3699.5194999999999</v>
      </c>
      <c r="BC125" s="13">
        <v>95.392700000000005</v>
      </c>
      <c r="BD125" s="13">
        <v>3604.1268</v>
      </c>
      <c r="BE125" s="13">
        <v>81</v>
      </c>
      <c r="BF125" s="13">
        <v>81</v>
      </c>
      <c r="BG125" s="13">
        <v>0</v>
      </c>
      <c r="BH125" s="13">
        <v>3445.5967000000001</v>
      </c>
      <c r="BI125" s="13">
        <v>187.0711</v>
      </c>
      <c r="BJ125" s="13">
        <v>3258.5255999999999</v>
      </c>
      <c r="BK125" s="13">
        <v>181</v>
      </c>
      <c r="BL125" s="13">
        <v>181</v>
      </c>
      <c r="BM125" s="13">
        <v>0</v>
      </c>
      <c r="BN125" s="13">
        <v>3989.9413999999997</v>
      </c>
      <c r="BO125" s="13">
        <v>225.3569</v>
      </c>
      <c r="BP125" s="13">
        <v>3764.5844999999999</v>
      </c>
      <c r="BQ125" s="13">
        <v>98</v>
      </c>
      <c r="BR125" s="13">
        <v>98</v>
      </c>
      <c r="BS125" s="13">
        <v>0</v>
      </c>
      <c r="BT125" s="13">
        <v>3486.8973000000001</v>
      </c>
      <c r="BU125" s="13">
        <v>117.2856</v>
      </c>
      <c r="BV125" s="13">
        <v>3369.6116999999999</v>
      </c>
      <c r="BW125" s="13">
        <v>92</v>
      </c>
      <c r="BX125" s="13">
        <v>92</v>
      </c>
      <c r="BY125" s="13">
        <v>0</v>
      </c>
      <c r="BZ125" s="13">
        <v>3484.7543999999998</v>
      </c>
      <c r="CA125" s="13">
        <v>115.1427</v>
      </c>
      <c r="CB125" s="13">
        <v>3369.6116999999999</v>
      </c>
      <c r="CC125" s="13">
        <v>153</v>
      </c>
      <c r="CD125" s="13">
        <v>153</v>
      </c>
      <c r="CE125" s="13">
        <v>0</v>
      </c>
      <c r="CF125" s="13">
        <v>4647.3581000000004</v>
      </c>
      <c r="CG125" s="13">
        <v>191.5712</v>
      </c>
      <c r="CH125" s="13">
        <v>4455.7869000000001</v>
      </c>
      <c r="CI125" s="13">
        <v>105</v>
      </c>
      <c r="CJ125" s="13">
        <v>105</v>
      </c>
      <c r="CK125" s="13">
        <v>0</v>
      </c>
      <c r="CL125" s="13">
        <v>3458.0255999999999</v>
      </c>
      <c r="CM125" s="13">
        <v>137.78550000000001</v>
      </c>
      <c r="CN125" s="13">
        <v>3320.2401</v>
      </c>
      <c r="CO125" s="13">
        <v>111</v>
      </c>
      <c r="CP125" s="13">
        <v>111</v>
      </c>
      <c r="CQ125" s="13">
        <v>0</v>
      </c>
      <c r="CR125" s="13">
        <v>3833.1556</v>
      </c>
      <c r="CS125" s="13">
        <v>130.28559999999999</v>
      </c>
      <c r="CT125" s="13">
        <v>3702.87</v>
      </c>
      <c r="CU125" s="13">
        <f t="shared" si="16"/>
        <v>1249</v>
      </c>
      <c r="CV125" s="13">
        <f t="shared" si="16"/>
        <v>1249</v>
      </c>
      <c r="CW125" s="13">
        <f t="shared" si="16"/>
        <v>0</v>
      </c>
      <c r="CX125" s="13">
        <f t="shared" si="12"/>
        <v>44025.437899999997</v>
      </c>
      <c r="CY125" s="13">
        <f t="shared" si="12"/>
        <v>1664.6051</v>
      </c>
      <c r="CZ125" s="13">
        <f t="shared" si="12"/>
        <v>42360.832800000011</v>
      </c>
      <c r="DA125" s="13">
        <f t="shared" si="17"/>
        <v>369</v>
      </c>
      <c r="DB125" s="13">
        <f t="shared" si="17"/>
        <v>369</v>
      </c>
      <c r="DC125" s="13">
        <f t="shared" si="17"/>
        <v>0</v>
      </c>
      <c r="DD125" s="13">
        <f t="shared" si="13"/>
        <v>11938.5393</v>
      </c>
      <c r="DE125" s="13">
        <f t="shared" si="13"/>
        <v>459.64230000000003</v>
      </c>
      <c r="DF125" s="13">
        <f t="shared" si="13"/>
        <v>11478.897000000001</v>
      </c>
      <c r="DG125" s="13">
        <f t="shared" si="18"/>
        <v>371</v>
      </c>
      <c r="DH125" s="13">
        <f t="shared" si="18"/>
        <v>371</v>
      </c>
      <c r="DI125" s="13">
        <f t="shared" si="18"/>
        <v>0</v>
      </c>
      <c r="DJ125" s="13">
        <f t="shared" si="14"/>
        <v>10961.5931</v>
      </c>
      <c r="DK125" s="13">
        <f t="shared" si="14"/>
        <v>457.78519999999997</v>
      </c>
      <c r="DL125" s="13">
        <f t="shared" si="14"/>
        <v>10503.8079</v>
      </c>
      <c r="DM125" s="13">
        <f t="shared" si="19"/>
        <v>216</v>
      </c>
      <c r="DN125" s="13">
        <f t="shared" si="19"/>
        <v>216</v>
      </c>
      <c r="DO125" s="13">
        <f t="shared" si="19"/>
        <v>0</v>
      </c>
      <c r="DP125" s="13">
        <f t="shared" si="15"/>
        <v>7291.1812</v>
      </c>
      <c r="DQ125" s="13">
        <f t="shared" si="15"/>
        <v>268.0711</v>
      </c>
      <c r="DR125" s="13">
        <f t="shared" si="15"/>
        <v>7023.1100999999999</v>
      </c>
      <c r="DS125" s="14" t="s">
        <v>71</v>
      </c>
      <c r="DT125" s="14" t="s">
        <v>125</v>
      </c>
      <c r="DU125" s="14" t="s">
        <v>73</v>
      </c>
      <c r="DV125" s="14" t="s">
        <v>97</v>
      </c>
      <c r="DW125" s="14" t="s">
        <v>74</v>
      </c>
    </row>
    <row r="126" spans="2:127" x14ac:dyDescent="0.3">
      <c r="B126" s="11" t="s">
        <v>65</v>
      </c>
      <c r="C126" s="14">
        <v>5001342038</v>
      </c>
      <c r="D126" s="11" t="s">
        <v>466</v>
      </c>
      <c r="E126" s="11" t="s">
        <v>395</v>
      </c>
      <c r="F126" s="11" t="s">
        <v>467</v>
      </c>
      <c r="G126" s="11" t="s">
        <v>468</v>
      </c>
      <c r="H126" s="11" t="s">
        <v>469</v>
      </c>
      <c r="I126" s="11">
        <v>5401</v>
      </c>
      <c r="J126" s="11" t="s">
        <v>80</v>
      </c>
      <c r="K126" s="11"/>
      <c r="L126" s="11"/>
      <c r="M126" s="11"/>
      <c r="N126" s="11"/>
      <c r="O126" s="13">
        <v>813</v>
      </c>
      <c r="P126" s="13">
        <v>813</v>
      </c>
      <c r="Q126" s="13">
        <v>0</v>
      </c>
      <c r="R126" s="13">
        <v>29127.611700000001</v>
      </c>
      <c r="S126" s="13">
        <v>874.71360000000004</v>
      </c>
      <c r="T126" s="13">
        <v>28252.898099999999</v>
      </c>
      <c r="U126" s="13">
        <v>83</v>
      </c>
      <c r="V126" s="13">
        <v>83</v>
      </c>
      <c r="W126" s="13">
        <v>0</v>
      </c>
      <c r="X126" s="13">
        <v>1669.0622000000001</v>
      </c>
      <c r="Y126" s="13">
        <v>113.85679999999999</v>
      </c>
      <c r="Z126" s="13">
        <v>1555.2054000000001</v>
      </c>
      <c r="AA126" s="13">
        <v>113</v>
      </c>
      <c r="AB126" s="13">
        <v>113</v>
      </c>
      <c r="AC126" s="13">
        <v>0</v>
      </c>
      <c r="AD126" s="13">
        <v>2970.3809000000001</v>
      </c>
      <c r="AE126" s="13">
        <v>143.85679999999999</v>
      </c>
      <c r="AF126" s="13">
        <v>2826.5241000000001</v>
      </c>
      <c r="AG126" s="13">
        <v>61</v>
      </c>
      <c r="AH126" s="13">
        <v>61</v>
      </c>
      <c r="AI126" s="13">
        <v>0</v>
      </c>
      <c r="AJ126" s="13">
        <v>1505.1193000000001</v>
      </c>
      <c r="AK126" s="13">
        <v>61</v>
      </c>
      <c r="AL126" s="13">
        <v>1444.1193000000001</v>
      </c>
      <c r="AM126" s="13">
        <v>50</v>
      </c>
      <c r="AN126" s="13">
        <v>50</v>
      </c>
      <c r="AO126" s="13">
        <v>0</v>
      </c>
      <c r="AP126" s="13">
        <v>2358.1223</v>
      </c>
      <c r="AQ126" s="13">
        <v>50</v>
      </c>
      <c r="AR126" s="13">
        <v>2308.1223</v>
      </c>
      <c r="AS126" s="13">
        <v>76</v>
      </c>
      <c r="AT126" s="13">
        <v>76</v>
      </c>
      <c r="AU126" s="13">
        <v>0</v>
      </c>
      <c r="AV126" s="13">
        <v>2359.4364999999998</v>
      </c>
      <c r="AW126" s="13">
        <v>76</v>
      </c>
      <c r="AX126" s="13">
        <v>2283.4364999999998</v>
      </c>
      <c r="AY126" s="13">
        <v>20</v>
      </c>
      <c r="AZ126" s="13">
        <v>20</v>
      </c>
      <c r="BA126" s="13">
        <v>0</v>
      </c>
      <c r="BB126" s="13">
        <v>2142.9787999999999</v>
      </c>
      <c r="BC126" s="13">
        <v>20</v>
      </c>
      <c r="BD126" s="13">
        <v>2122.9787999999999</v>
      </c>
      <c r="BE126" s="13">
        <v>61</v>
      </c>
      <c r="BF126" s="13">
        <v>61</v>
      </c>
      <c r="BG126" s="13">
        <v>0</v>
      </c>
      <c r="BH126" s="13">
        <v>3714.4983999999999</v>
      </c>
      <c r="BI126" s="13">
        <v>61</v>
      </c>
      <c r="BJ126" s="13">
        <v>3653.4983999999999</v>
      </c>
      <c r="BK126" s="13">
        <v>35</v>
      </c>
      <c r="BL126" s="13">
        <v>35</v>
      </c>
      <c r="BM126" s="13">
        <v>0</v>
      </c>
      <c r="BN126" s="13">
        <v>2182.6646000000001</v>
      </c>
      <c r="BO126" s="13">
        <v>35</v>
      </c>
      <c r="BP126" s="13">
        <v>2147.6646000000001</v>
      </c>
      <c r="BQ126" s="13">
        <v>52</v>
      </c>
      <c r="BR126" s="13">
        <v>52</v>
      </c>
      <c r="BS126" s="13">
        <v>0</v>
      </c>
      <c r="BT126" s="13">
        <v>1755.3202000000001</v>
      </c>
      <c r="BU126" s="13">
        <v>52</v>
      </c>
      <c r="BV126" s="13">
        <v>1703.3202000000001</v>
      </c>
      <c r="BW126" s="13">
        <v>74</v>
      </c>
      <c r="BX126" s="13">
        <v>74</v>
      </c>
      <c r="BY126" s="13">
        <v>0</v>
      </c>
      <c r="BZ126" s="13">
        <v>2382.1223</v>
      </c>
      <c r="CA126" s="13">
        <v>74</v>
      </c>
      <c r="CB126" s="13">
        <v>2308.1223</v>
      </c>
      <c r="CC126" s="13">
        <v>78</v>
      </c>
      <c r="CD126" s="13">
        <v>78</v>
      </c>
      <c r="CE126" s="13">
        <v>0</v>
      </c>
      <c r="CF126" s="13">
        <v>1818.3489</v>
      </c>
      <c r="CG126" s="13">
        <v>78</v>
      </c>
      <c r="CH126" s="13">
        <v>1740.3489</v>
      </c>
      <c r="CI126" s="13">
        <v>50</v>
      </c>
      <c r="CJ126" s="13">
        <v>50</v>
      </c>
      <c r="CK126" s="13">
        <v>0</v>
      </c>
      <c r="CL126" s="13">
        <v>1703.9485999999999</v>
      </c>
      <c r="CM126" s="13">
        <v>50</v>
      </c>
      <c r="CN126" s="13">
        <v>1653.9485999999999</v>
      </c>
      <c r="CO126" s="13">
        <v>60</v>
      </c>
      <c r="CP126" s="13">
        <v>60</v>
      </c>
      <c r="CQ126" s="13">
        <v>0</v>
      </c>
      <c r="CR126" s="13">
        <v>2565.6087000000002</v>
      </c>
      <c r="CS126" s="13">
        <v>60</v>
      </c>
      <c r="CT126" s="13">
        <v>2505.6087000000002</v>
      </c>
      <c r="CU126" s="13">
        <f t="shared" si="16"/>
        <v>730</v>
      </c>
      <c r="CV126" s="13">
        <f t="shared" si="16"/>
        <v>730</v>
      </c>
      <c r="CW126" s="13">
        <f t="shared" si="16"/>
        <v>0</v>
      </c>
      <c r="CX126" s="13">
        <f t="shared" si="12"/>
        <v>27458.549500000001</v>
      </c>
      <c r="CY126" s="13">
        <f t="shared" si="12"/>
        <v>760.85680000000002</v>
      </c>
      <c r="CZ126" s="13">
        <f t="shared" si="12"/>
        <v>26697.6927</v>
      </c>
      <c r="DA126" s="13">
        <f t="shared" si="17"/>
        <v>188</v>
      </c>
      <c r="DB126" s="13">
        <f t="shared" si="17"/>
        <v>188</v>
      </c>
      <c r="DC126" s="13">
        <f t="shared" si="17"/>
        <v>0</v>
      </c>
      <c r="DD126" s="13">
        <f t="shared" si="13"/>
        <v>6087.9061999999994</v>
      </c>
      <c r="DE126" s="13">
        <f t="shared" si="13"/>
        <v>188</v>
      </c>
      <c r="DF126" s="13">
        <f t="shared" si="13"/>
        <v>5899.9061999999994</v>
      </c>
      <c r="DG126" s="13">
        <f t="shared" si="18"/>
        <v>161</v>
      </c>
      <c r="DH126" s="13">
        <f t="shared" si="18"/>
        <v>161</v>
      </c>
      <c r="DI126" s="13">
        <f t="shared" si="18"/>
        <v>0</v>
      </c>
      <c r="DJ126" s="13">
        <f t="shared" si="14"/>
        <v>6320.1071000000002</v>
      </c>
      <c r="DK126" s="13">
        <f t="shared" si="14"/>
        <v>161</v>
      </c>
      <c r="DL126" s="13">
        <f t="shared" si="14"/>
        <v>6159.1071000000002</v>
      </c>
      <c r="DM126" s="13">
        <f t="shared" si="19"/>
        <v>110</v>
      </c>
      <c r="DN126" s="13">
        <f t="shared" si="19"/>
        <v>110</v>
      </c>
      <c r="DO126" s="13">
        <f t="shared" si="19"/>
        <v>0</v>
      </c>
      <c r="DP126" s="13">
        <f t="shared" si="15"/>
        <v>4269.5573000000004</v>
      </c>
      <c r="DQ126" s="13">
        <f t="shared" si="15"/>
        <v>110</v>
      </c>
      <c r="DR126" s="13">
        <f t="shared" si="15"/>
        <v>4159.5573000000004</v>
      </c>
      <c r="DS126" s="14" t="s">
        <v>60</v>
      </c>
      <c r="DT126" s="14" t="s">
        <v>81</v>
      </c>
      <c r="DU126" s="14" t="s">
        <v>73</v>
      </c>
      <c r="DV126" s="14" t="s">
        <v>82</v>
      </c>
      <c r="DW126" s="14" t="s">
        <v>74</v>
      </c>
    </row>
    <row r="127" spans="2:127" x14ac:dyDescent="0.3">
      <c r="B127" s="11" t="s">
        <v>53</v>
      </c>
      <c r="C127" s="14">
        <v>5001342075</v>
      </c>
      <c r="D127" s="11" t="s">
        <v>470</v>
      </c>
      <c r="E127" s="11" t="s">
        <v>395</v>
      </c>
      <c r="F127" s="11" t="s">
        <v>471</v>
      </c>
      <c r="G127" s="11" t="s">
        <v>472</v>
      </c>
      <c r="H127" s="11" t="s">
        <v>58</v>
      </c>
      <c r="I127" s="11">
        <v>95661</v>
      </c>
      <c r="J127" s="11" t="s">
        <v>80</v>
      </c>
      <c r="K127" s="11"/>
      <c r="L127" s="11"/>
      <c r="M127" s="11"/>
      <c r="N127" s="11"/>
      <c r="O127" s="13">
        <v>330</v>
      </c>
      <c r="P127" s="13">
        <v>314</v>
      </c>
      <c r="Q127" s="13">
        <v>16</v>
      </c>
      <c r="R127" s="13">
        <v>18366.626199999999</v>
      </c>
      <c r="S127" s="13">
        <v>1663.0254</v>
      </c>
      <c r="T127" s="13">
        <v>16703.6008</v>
      </c>
      <c r="U127" s="13">
        <v>26</v>
      </c>
      <c r="V127" s="13">
        <v>26</v>
      </c>
      <c r="W127" s="13">
        <v>0</v>
      </c>
      <c r="X127" s="13">
        <v>1579.4688999999998</v>
      </c>
      <c r="Y127" s="13">
        <v>98.320899999999995</v>
      </c>
      <c r="Z127" s="13">
        <v>1481.1479999999999</v>
      </c>
      <c r="AA127" s="13">
        <v>55</v>
      </c>
      <c r="AB127" s="13">
        <v>55</v>
      </c>
      <c r="AC127" s="13">
        <v>0</v>
      </c>
      <c r="AD127" s="13">
        <v>1876.5412000000001</v>
      </c>
      <c r="AE127" s="13">
        <v>148.5352</v>
      </c>
      <c r="AF127" s="13">
        <v>1728.0060000000001</v>
      </c>
      <c r="AG127" s="13">
        <v>49</v>
      </c>
      <c r="AH127" s="13">
        <v>49</v>
      </c>
      <c r="AI127" s="13">
        <v>0</v>
      </c>
      <c r="AJ127" s="13">
        <v>1502.9541999999999</v>
      </c>
      <c r="AK127" s="13">
        <v>132.89230000000001</v>
      </c>
      <c r="AL127" s="13">
        <v>1370.0618999999999</v>
      </c>
      <c r="AM127" s="13">
        <v>30</v>
      </c>
      <c r="AN127" s="13">
        <v>30</v>
      </c>
      <c r="AO127" s="13">
        <v>0</v>
      </c>
      <c r="AP127" s="13">
        <v>1137.9675</v>
      </c>
      <c r="AQ127" s="13">
        <v>88.820999999999998</v>
      </c>
      <c r="AR127" s="13">
        <v>1049.1465000000001</v>
      </c>
      <c r="AS127" s="13">
        <v>34</v>
      </c>
      <c r="AT127" s="13">
        <v>34</v>
      </c>
      <c r="AU127" s="13">
        <v>0</v>
      </c>
      <c r="AV127" s="13">
        <v>1551.0183</v>
      </c>
      <c r="AW127" s="13">
        <v>143.92770000000002</v>
      </c>
      <c r="AX127" s="13">
        <v>1407.0906</v>
      </c>
      <c r="AY127" s="13">
        <v>16</v>
      </c>
      <c r="AZ127" s="13">
        <v>16</v>
      </c>
      <c r="BA127" s="13">
        <v>0</v>
      </c>
      <c r="BB127" s="13">
        <v>1176.4246999999998</v>
      </c>
      <c r="BC127" s="13">
        <v>90.249499999999998</v>
      </c>
      <c r="BD127" s="13">
        <v>1086.1751999999999</v>
      </c>
      <c r="BE127" s="13">
        <v>8</v>
      </c>
      <c r="BF127" s="13">
        <v>8</v>
      </c>
      <c r="BG127" s="13">
        <v>0</v>
      </c>
      <c r="BH127" s="13">
        <v>1146.8239000000001</v>
      </c>
      <c r="BI127" s="13">
        <v>159.39189999999999</v>
      </c>
      <c r="BJ127" s="13">
        <v>987.43200000000002</v>
      </c>
      <c r="BK127" s="13">
        <v>24</v>
      </c>
      <c r="BL127" s="13">
        <v>24</v>
      </c>
      <c r="BM127" s="13">
        <v>0</v>
      </c>
      <c r="BN127" s="13">
        <v>1299.7525000000001</v>
      </c>
      <c r="BO127" s="13">
        <v>188.89150000000001</v>
      </c>
      <c r="BP127" s="13">
        <v>1110.8610000000001</v>
      </c>
      <c r="BQ127" s="13">
        <v>16</v>
      </c>
      <c r="BR127" s="13">
        <v>16</v>
      </c>
      <c r="BS127" s="13">
        <v>0</v>
      </c>
      <c r="BT127" s="13">
        <v>1073.8243</v>
      </c>
      <c r="BU127" s="13">
        <v>86.392300000000006</v>
      </c>
      <c r="BV127" s="13">
        <v>987.43200000000002</v>
      </c>
      <c r="BW127" s="13">
        <v>8</v>
      </c>
      <c r="BX127" s="13">
        <v>8</v>
      </c>
      <c r="BY127" s="13">
        <v>0</v>
      </c>
      <c r="BZ127" s="13">
        <v>1250.5807</v>
      </c>
      <c r="CA127" s="13">
        <v>176.7484</v>
      </c>
      <c r="CB127" s="13">
        <v>1073.8323</v>
      </c>
      <c r="CC127" s="13">
        <v>24</v>
      </c>
      <c r="CD127" s="13">
        <v>24</v>
      </c>
      <c r="CE127" s="13">
        <v>0</v>
      </c>
      <c r="CF127" s="13">
        <v>1624.1395</v>
      </c>
      <c r="CG127" s="13">
        <v>167.6773</v>
      </c>
      <c r="CH127" s="13">
        <v>1456.4621999999999</v>
      </c>
      <c r="CI127" s="13">
        <v>8</v>
      </c>
      <c r="CJ127" s="13">
        <v>8</v>
      </c>
      <c r="CK127" s="13">
        <v>0</v>
      </c>
      <c r="CL127" s="13">
        <v>1587.8905</v>
      </c>
      <c r="CM127" s="13">
        <v>69.713799999999992</v>
      </c>
      <c r="CN127" s="13">
        <v>1518.1767</v>
      </c>
      <c r="CO127" s="13">
        <v>32</v>
      </c>
      <c r="CP127" s="13">
        <v>16</v>
      </c>
      <c r="CQ127" s="13">
        <v>16</v>
      </c>
      <c r="CR127" s="13">
        <v>1559.24</v>
      </c>
      <c r="CS127" s="13">
        <v>111.4636</v>
      </c>
      <c r="CT127" s="13">
        <v>1447.7764</v>
      </c>
      <c r="CU127" s="13">
        <f t="shared" si="16"/>
        <v>304</v>
      </c>
      <c r="CV127" s="13">
        <f t="shared" si="16"/>
        <v>288</v>
      </c>
      <c r="CW127" s="13">
        <f t="shared" si="16"/>
        <v>16</v>
      </c>
      <c r="CX127" s="13">
        <f t="shared" si="12"/>
        <v>16787.157299999999</v>
      </c>
      <c r="CY127" s="13">
        <f t="shared" si="12"/>
        <v>1564.7045000000001</v>
      </c>
      <c r="CZ127" s="13">
        <f t="shared" si="12"/>
        <v>15222.452800000001</v>
      </c>
      <c r="DA127" s="13">
        <f t="shared" si="17"/>
        <v>64</v>
      </c>
      <c r="DB127" s="13">
        <f t="shared" si="17"/>
        <v>48</v>
      </c>
      <c r="DC127" s="13">
        <f t="shared" si="17"/>
        <v>16</v>
      </c>
      <c r="DD127" s="13">
        <f t="shared" si="13"/>
        <v>4771.2699999999995</v>
      </c>
      <c r="DE127" s="13">
        <f t="shared" si="13"/>
        <v>348.85469999999998</v>
      </c>
      <c r="DF127" s="13">
        <f t="shared" si="13"/>
        <v>4422.4152999999997</v>
      </c>
      <c r="DG127" s="13">
        <f t="shared" si="18"/>
        <v>48</v>
      </c>
      <c r="DH127" s="13">
        <f t="shared" si="18"/>
        <v>48</v>
      </c>
      <c r="DI127" s="13">
        <f t="shared" si="18"/>
        <v>0</v>
      </c>
      <c r="DJ127" s="13">
        <f t="shared" si="14"/>
        <v>3624.1574999999998</v>
      </c>
      <c r="DK127" s="13">
        <f t="shared" si="14"/>
        <v>452.03220000000005</v>
      </c>
      <c r="DL127" s="13">
        <f t="shared" si="14"/>
        <v>3172.1253000000002</v>
      </c>
      <c r="DM127" s="13">
        <f t="shared" si="19"/>
        <v>40</v>
      </c>
      <c r="DN127" s="13">
        <f t="shared" si="19"/>
        <v>24</v>
      </c>
      <c r="DO127" s="13">
        <f t="shared" si="19"/>
        <v>16</v>
      </c>
      <c r="DP127" s="13">
        <f t="shared" si="15"/>
        <v>3147.1305000000002</v>
      </c>
      <c r="DQ127" s="13">
        <f t="shared" si="15"/>
        <v>181.17739999999998</v>
      </c>
      <c r="DR127" s="13">
        <f t="shared" si="15"/>
        <v>2965.9530999999997</v>
      </c>
      <c r="DS127" s="14" t="s">
        <v>60</v>
      </c>
      <c r="DT127" s="14" t="s">
        <v>81</v>
      </c>
      <c r="DU127" s="14" t="s">
        <v>73</v>
      </c>
      <c r="DV127" s="14" t="s">
        <v>82</v>
      </c>
      <c r="DW127" s="14" t="s">
        <v>64</v>
      </c>
    </row>
    <row r="128" spans="2:127" x14ac:dyDescent="0.3">
      <c r="B128" s="11" t="s">
        <v>75</v>
      </c>
      <c r="C128" s="14">
        <v>5001342076</v>
      </c>
      <c r="D128" s="11" t="s">
        <v>473</v>
      </c>
      <c r="E128" s="11" t="s">
        <v>395</v>
      </c>
      <c r="F128" s="11" t="s">
        <v>474</v>
      </c>
      <c r="G128" s="11" t="s">
        <v>475</v>
      </c>
      <c r="H128" s="11" t="s">
        <v>104</v>
      </c>
      <c r="I128" s="11">
        <v>32714</v>
      </c>
      <c r="J128" s="11" t="s">
        <v>80</v>
      </c>
      <c r="K128" s="11"/>
      <c r="L128" s="11"/>
      <c r="M128" s="11"/>
      <c r="N128" s="11"/>
      <c r="O128" s="13">
        <v>970</v>
      </c>
      <c r="P128" s="13">
        <v>970</v>
      </c>
      <c r="Q128" s="13">
        <v>0</v>
      </c>
      <c r="R128" s="13">
        <v>58937.448700000001</v>
      </c>
      <c r="S128" s="13">
        <v>2481.0241000000001</v>
      </c>
      <c r="T128" s="13">
        <v>56456.424599999998</v>
      </c>
      <c r="U128" s="13">
        <v>59</v>
      </c>
      <c r="V128" s="13">
        <v>59</v>
      </c>
      <c r="W128" s="13">
        <v>0</v>
      </c>
      <c r="X128" s="13">
        <v>3784.4331999999999</v>
      </c>
      <c r="Y128" s="13">
        <v>167.96350000000001</v>
      </c>
      <c r="Z128" s="13">
        <v>3616.4697000000001</v>
      </c>
      <c r="AA128" s="13">
        <v>115</v>
      </c>
      <c r="AB128" s="13">
        <v>115</v>
      </c>
      <c r="AC128" s="13">
        <v>0</v>
      </c>
      <c r="AD128" s="13">
        <v>5424.7604000000001</v>
      </c>
      <c r="AE128" s="13">
        <v>203.71370000000002</v>
      </c>
      <c r="AF128" s="13">
        <v>5221.0466999999999</v>
      </c>
      <c r="AG128" s="13">
        <v>56</v>
      </c>
      <c r="AH128" s="13">
        <v>56</v>
      </c>
      <c r="AI128" s="13">
        <v>0</v>
      </c>
      <c r="AJ128" s="13">
        <v>3624.2538</v>
      </c>
      <c r="AK128" s="13">
        <v>192.92760000000001</v>
      </c>
      <c r="AL128" s="13">
        <v>3431.3262</v>
      </c>
      <c r="AM128" s="13">
        <v>73</v>
      </c>
      <c r="AN128" s="13">
        <v>73</v>
      </c>
      <c r="AO128" s="13">
        <v>0</v>
      </c>
      <c r="AP128" s="13">
        <v>3940.9551999999999</v>
      </c>
      <c r="AQ128" s="13">
        <v>188.71359999999999</v>
      </c>
      <c r="AR128" s="13">
        <v>3752.2415999999998</v>
      </c>
      <c r="AS128" s="13">
        <v>121</v>
      </c>
      <c r="AT128" s="13">
        <v>121</v>
      </c>
      <c r="AU128" s="13">
        <v>0</v>
      </c>
      <c r="AV128" s="13">
        <v>4970.0217000000002</v>
      </c>
      <c r="AW128" s="13">
        <v>316.7484</v>
      </c>
      <c r="AX128" s="13">
        <v>4653.2732999999998</v>
      </c>
      <c r="AY128" s="13">
        <v>84</v>
      </c>
      <c r="AZ128" s="13">
        <v>84</v>
      </c>
      <c r="BA128" s="13">
        <v>0</v>
      </c>
      <c r="BB128" s="13">
        <v>4614.6151</v>
      </c>
      <c r="BC128" s="13">
        <v>134.14240000000001</v>
      </c>
      <c r="BD128" s="13">
        <v>4480.4727000000003</v>
      </c>
      <c r="BE128" s="13">
        <v>96</v>
      </c>
      <c r="BF128" s="13">
        <v>96</v>
      </c>
      <c r="BG128" s="13">
        <v>0</v>
      </c>
      <c r="BH128" s="13">
        <v>4273.1054000000004</v>
      </c>
      <c r="BI128" s="13">
        <v>249.32</v>
      </c>
      <c r="BJ128" s="13">
        <v>4023.7854000000002</v>
      </c>
      <c r="BK128" s="13">
        <v>90</v>
      </c>
      <c r="BL128" s="13">
        <v>90</v>
      </c>
      <c r="BM128" s="13">
        <v>0</v>
      </c>
      <c r="BN128" s="13">
        <v>5221.5594000000001</v>
      </c>
      <c r="BO128" s="13">
        <v>197.9991</v>
      </c>
      <c r="BP128" s="13">
        <v>5023.5603000000001</v>
      </c>
      <c r="BQ128" s="13">
        <v>50</v>
      </c>
      <c r="BR128" s="13">
        <v>50</v>
      </c>
      <c r="BS128" s="13">
        <v>0</v>
      </c>
      <c r="BT128" s="13">
        <v>3320.4823000000001</v>
      </c>
      <c r="BU128" s="13">
        <v>86.642499999999998</v>
      </c>
      <c r="BV128" s="13">
        <v>3233.8398000000002</v>
      </c>
      <c r="BW128" s="13">
        <v>41</v>
      </c>
      <c r="BX128" s="13">
        <v>41</v>
      </c>
      <c r="BY128" s="13">
        <v>0</v>
      </c>
      <c r="BZ128" s="13">
        <v>4031.8051</v>
      </c>
      <c r="CA128" s="13">
        <v>180.8203</v>
      </c>
      <c r="CB128" s="13">
        <v>3850.9848000000002</v>
      </c>
      <c r="CC128" s="13">
        <v>37</v>
      </c>
      <c r="CD128" s="13">
        <v>37</v>
      </c>
      <c r="CE128" s="13">
        <v>0</v>
      </c>
      <c r="CF128" s="13">
        <v>6069.7831999999999</v>
      </c>
      <c r="CG128" s="13">
        <v>219.24860000000001</v>
      </c>
      <c r="CH128" s="13">
        <v>5850.5346</v>
      </c>
      <c r="CI128" s="13">
        <v>76</v>
      </c>
      <c r="CJ128" s="13">
        <v>76</v>
      </c>
      <c r="CK128" s="13">
        <v>0</v>
      </c>
      <c r="CL128" s="13">
        <v>4705.5510999999997</v>
      </c>
      <c r="CM128" s="13">
        <v>138.6781</v>
      </c>
      <c r="CN128" s="13">
        <v>4566.8729999999996</v>
      </c>
      <c r="CO128" s="13">
        <v>72</v>
      </c>
      <c r="CP128" s="13">
        <v>72</v>
      </c>
      <c r="CQ128" s="13">
        <v>0</v>
      </c>
      <c r="CR128" s="13">
        <v>4956.1228000000001</v>
      </c>
      <c r="CS128" s="13">
        <v>204.1063</v>
      </c>
      <c r="CT128" s="13">
        <v>4752.0164999999997</v>
      </c>
      <c r="CU128" s="13">
        <f t="shared" si="16"/>
        <v>911</v>
      </c>
      <c r="CV128" s="13">
        <f t="shared" si="16"/>
        <v>911</v>
      </c>
      <c r="CW128" s="13">
        <f t="shared" si="16"/>
        <v>0</v>
      </c>
      <c r="CX128" s="13">
        <f t="shared" si="12"/>
        <v>55153.015499999994</v>
      </c>
      <c r="CY128" s="13">
        <f t="shared" si="12"/>
        <v>2313.0605999999998</v>
      </c>
      <c r="CZ128" s="13">
        <f t="shared" si="12"/>
        <v>52839.954899999997</v>
      </c>
      <c r="DA128" s="13">
        <f t="shared" si="17"/>
        <v>185</v>
      </c>
      <c r="DB128" s="13">
        <f t="shared" si="17"/>
        <v>185</v>
      </c>
      <c r="DC128" s="13">
        <f t="shared" si="17"/>
        <v>0</v>
      </c>
      <c r="DD128" s="13">
        <f t="shared" si="13"/>
        <v>15731.4571</v>
      </c>
      <c r="DE128" s="13">
        <f t="shared" si="13"/>
        <v>562.03300000000002</v>
      </c>
      <c r="DF128" s="13">
        <f t="shared" si="13"/>
        <v>15169.424099999998</v>
      </c>
      <c r="DG128" s="13">
        <f t="shared" si="18"/>
        <v>181</v>
      </c>
      <c r="DH128" s="13">
        <f t="shared" si="18"/>
        <v>181</v>
      </c>
      <c r="DI128" s="13">
        <f t="shared" si="18"/>
        <v>0</v>
      </c>
      <c r="DJ128" s="13">
        <f t="shared" si="14"/>
        <v>12573.846799999999</v>
      </c>
      <c r="DK128" s="13">
        <f t="shared" si="14"/>
        <v>465.46190000000001</v>
      </c>
      <c r="DL128" s="13">
        <f t="shared" si="14"/>
        <v>12108.384900000001</v>
      </c>
      <c r="DM128" s="13">
        <f t="shared" si="19"/>
        <v>148</v>
      </c>
      <c r="DN128" s="13">
        <f t="shared" si="19"/>
        <v>148</v>
      </c>
      <c r="DO128" s="13">
        <f t="shared" si="19"/>
        <v>0</v>
      </c>
      <c r="DP128" s="13">
        <f t="shared" si="15"/>
        <v>9661.6738999999998</v>
      </c>
      <c r="DQ128" s="13">
        <f t="shared" si="15"/>
        <v>342.78440000000001</v>
      </c>
      <c r="DR128" s="13">
        <f t="shared" si="15"/>
        <v>9318.8894999999993</v>
      </c>
      <c r="DS128" s="14" t="s">
        <v>60</v>
      </c>
      <c r="DT128" s="14" t="s">
        <v>81</v>
      </c>
      <c r="DU128" s="14" t="s">
        <v>113</v>
      </c>
      <c r="DV128" s="14" t="s">
        <v>82</v>
      </c>
      <c r="DW128" s="14" t="s">
        <v>74</v>
      </c>
    </row>
    <row r="129" spans="2:127" x14ac:dyDescent="0.3">
      <c r="B129" s="11" t="s">
        <v>65</v>
      </c>
      <c r="C129" s="14">
        <v>5001342087</v>
      </c>
      <c r="D129" s="11" t="s">
        <v>476</v>
      </c>
      <c r="E129" s="11" t="s">
        <v>395</v>
      </c>
      <c r="F129" s="11" t="s">
        <v>477</v>
      </c>
      <c r="G129" s="11" t="s">
        <v>478</v>
      </c>
      <c r="H129" s="11" t="s">
        <v>216</v>
      </c>
      <c r="I129" s="11">
        <v>44710</v>
      </c>
      <c r="J129" s="11" t="s">
        <v>80</v>
      </c>
      <c r="K129" s="11"/>
      <c r="L129" s="11"/>
      <c r="M129" s="11"/>
      <c r="N129" s="11"/>
      <c r="O129" s="13">
        <v>385</v>
      </c>
      <c r="P129" s="13">
        <v>385</v>
      </c>
      <c r="Q129" s="13">
        <v>0</v>
      </c>
      <c r="R129" s="13">
        <v>7616.7759999999998</v>
      </c>
      <c r="S129" s="13">
        <v>926.92420000000004</v>
      </c>
      <c r="T129" s="13">
        <v>6689.8518000000004</v>
      </c>
      <c r="U129" s="13">
        <v>20</v>
      </c>
      <c r="V129" s="13">
        <v>20</v>
      </c>
      <c r="W129" s="13">
        <v>0</v>
      </c>
      <c r="X129" s="13">
        <v>337.63650000000001</v>
      </c>
      <c r="Y129" s="13">
        <v>53.7498</v>
      </c>
      <c r="Z129" s="13">
        <v>283.88670000000002</v>
      </c>
      <c r="AA129" s="13">
        <v>40</v>
      </c>
      <c r="AB129" s="13">
        <v>40</v>
      </c>
      <c r="AC129" s="13">
        <v>0</v>
      </c>
      <c r="AD129" s="13">
        <v>576.72230000000002</v>
      </c>
      <c r="AE129" s="13">
        <v>120.035</v>
      </c>
      <c r="AF129" s="13">
        <v>456.68729999999999</v>
      </c>
      <c r="AG129" s="13">
        <v>25</v>
      </c>
      <c r="AH129" s="13">
        <v>25</v>
      </c>
      <c r="AI129" s="13">
        <v>0</v>
      </c>
      <c r="AJ129" s="13">
        <v>475.70819999999998</v>
      </c>
      <c r="AK129" s="13">
        <v>68.392499999999998</v>
      </c>
      <c r="AL129" s="13">
        <v>407.31569999999999</v>
      </c>
      <c r="AM129" s="13">
        <v>30</v>
      </c>
      <c r="AN129" s="13">
        <v>30</v>
      </c>
      <c r="AO129" s="13">
        <v>0</v>
      </c>
      <c r="AP129" s="13">
        <v>410.50790000000001</v>
      </c>
      <c r="AQ129" s="13">
        <v>77.249600000000001</v>
      </c>
      <c r="AR129" s="13">
        <v>333.25830000000002</v>
      </c>
      <c r="AS129" s="13">
        <v>30</v>
      </c>
      <c r="AT129" s="13">
        <v>30</v>
      </c>
      <c r="AU129" s="13">
        <v>0</v>
      </c>
      <c r="AV129" s="13">
        <v>632.68010000000004</v>
      </c>
      <c r="AW129" s="13">
        <v>77.249600000000001</v>
      </c>
      <c r="AX129" s="13">
        <v>555.43050000000005</v>
      </c>
      <c r="AY129" s="13">
        <v>25</v>
      </c>
      <c r="AZ129" s="13">
        <v>25</v>
      </c>
      <c r="BA129" s="13">
        <v>0</v>
      </c>
      <c r="BB129" s="13">
        <v>623.05139999999994</v>
      </c>
      <c r="BC129" s="13">
        <v>79.963799999999992</v>
      </c>
      <c r="BD129" s="13">
        <v>543.08759999999995</v>
      </c>
      <c r="BE129" s="13">
        <v>30</v>
      </c>
      <c r="BF129" s="13">
        <v>30</v>
      </c>
      <c r="BG129" s="13">
        <v>0</v>
      </c>
      <c r="BH129" s="13">
        <v>542.23</v>
      </c>
      <c r="BI129" s="13">
        <v>60.856899999999996</v>
      </c>
      <c r="BJ129" s="13">
        <v>481.37310000000002</v>
      </c>
      <c r="BK129" s="13">
        <v>40</v>
      </c>
      <c r="BL129" s="13">
        <v>40</v>
      </c>
      <c r="BM129" s="13">
        <v>0</v>
      </c>
      <c r="BN129" s="13">
        <v>814.51639999999998</v>
      </c>
      <c r="BO129" s="13">
        <v>86.285300000000007</v>
      </c>
      <c r="BP129" s="13">
        <v>728.23109999999997</v>
      </c>
      <c r="BQ129" s="13">
        <v>25</v>
      </c>
      <c r="BR129" s="13">
        <v>25</v>
      </c>
      <c r="BS129" s="13">
        <v>0</v>
      </c>
      <c r="BT129" s="13">
        <v>648.50880000000006</v>
      </c>
      <c r="BU129" s="13">
        <v>68.392499999999998</v>
      </c>
      <c r="BV129" s="13">
        <v>580.11630000000002</v>
      </c>
      <c r="BW129" s="13">
        <v>30</v>
      </c>
      <c r="BX129" s="13">
        <v>30</v>
      </c>
      <c r="BY129" s="13">
        <v>0</v>
      </c>
      <c r="BZ129" s="13">
        <v>670.48040000000003</v>
      </c>
      <c r="CA129" s="13">
        <v>65.678300000000007</v>
      </c>
      <c r="CB129" s="13">
        <v>604.8021</v>
      </c>
      <c r="CC129" s="13">
        <v>35</v>
      </c>
      <c r="CD129" s="13">
        <v>35</v>
      </c>
      <c r="CE129" s="13">
        <v>0</v>
      </c>
      <c r="CF129" s="13">
        <v>618.20190000000002</v>
      </c>
      <c r="CG129" s="13">
        <v>50.4285</v>
      </c>
      <c r="CH129" s="13">
        <v>567.77340000000004</v>
      </c>
      <c r="CI129" s="13">
        <v>25</v>
      </c>
      <c r="CJ129" s="13">
        <v>25</v>
      </c>
      <c r="CK129" s="13">
        <v>0</v>
      </c>
      <c r="CL129" s="13">
        <v>748.02359999999999</v>
      </c>
      <c r="CM129" s="13">
        <v>56.821200000000005</v>
      </c>
      <c r="CN129" s="13">
        <v>691.20240000000001</v>
      </c>
      <c r="CO129" s="13">
        <v>30</v>
      </c>
      <c r="CP129" s="13">
        <v>30</v>
      </c>
      <c r="CQ129" s="13">
        <v>0</v>
      </c>
      <c r="CR129" s="13">
        <v>518.50850000000003</v>
      </c>
      <c r="CS129" s="13">
        <v>61.821200000000005</v>
      </c>
      <c r="CT129" s="13">
        <v>456.68729999999999</v>
      </c>
      <c r="CU129" s="13">
        <f t="shared" si="16"/>
        <v>365</v>
      </c>
      <c r="CV129" s="13">
        <f t="shared" si="16"/>
        <v>365</v>
      </c>
      <c r="CW129" s="13">
        <f t="shared" si="16"/>
        <v>0</v>
      </c>
      <c r="CX129" s="13">
        <f t="shared" si="12"/>
        <v>7279.1395000000011</v>
      </c>
      <c r="CY129" s="13">
        <f t="shared" si="12"/>
        <v>873.17439999999999</v>
      </c>
      <c r="CZ129" s="13">
        <f t="shared" si="12"/>
        <v>6405.9651000000003</v>
      </c>
      <c r="DA129" s="13">
        <f t="shared" si="17"/>
        <v>90</v>
      </c>
      <c r="DB129" s="13">
        <f t="shared" si="17"/>
        <v>90</v>
      </c>
      <c r="DC129" s="13">
        <f t="shared" si="17"/>
        <v>0</v>
      </c>
      <c r="DD129" s="13">
        <f t="shared" si="13"/>
        <v>1884.7339999999999</v>
      </c>
      <c r="DE129" s="13">
        <f t="shared" si="13"/>
        <v>169.07089999999999</v>
      </c>
      <c r="DF129" s="13">
        <f t="shared" si="13"/>
        <v>1715.6631000000002</v>
      </c>
      <c r="DG129" s="13">
        <f t="shared" si="18"/>
        <v>95</v>
      </c>
      <c r="DH129" s="13">
        <f t="shared" si="18"/>
        <v>95</v>
      </c>
      <c r="DI129" s="13">
        <f t="shared" si="18"/>
        <v>0</v>
      </c>
      <c r="DJ129" s="13">
        <f t="shared" si="14"/>
        <v>2133.5056</v>
      </c>
      <c r="DK129" s="13">
        <f t="shared" si="14"/>
        <v>220.3561</v>
      </c>
      <c r="DL129" s="13">
        <f t="shared" si="14"/>
        <v>1913.1495</v>
      </c>
      <c r="DM129" s="13">
        <f t="shared" si="19"/>
        <v>55</v>
      </c>
      <c r="DN129" s="13">
        <f t="shared" si="19"/>
        <v>55</v>
      </c>
      <c r="DO129" s="13">
        <f t="shared" si="19"/>
        <v>0</v>
      </c>
      <c r="DP129" s="13">
        <f t="shared" si="15"/>
        <v>1266.5320999999999</v>
      </c>
      <c r="DQ129" s="13">
        <f t="shared" si="15"/>
        <v>118.64240000000001</v>
      </c>
      <c r="DR129" s="13">
        <f t="shared" si="15"/>
        <v>1147.8896999999999</v>
      </c>
      <c r="DS129" s="14" t="s">
        <v>60</v>
      </c>
      <c r="DT129" s="14" t="s">
        <v>81</v>
      </c>
      <c r="DU129" s="14" t="s">
        <v>73</v>
      </c>
      <c r="DV129" s="14" t="s">
        <v>97</v>
      </c>
      <c r="DW129" s="14" t="s">
        <v>74</v>
      </c>
    </row>
    <row r="130" spans="2:127" x14ac:dyDescent="0.3">
      <c r="B130" s="11" t="s">
        <v>75</v>
      </c>
      <c r="C130" s="14">
        <v>5002039373</v>
      </c>
      <c r="D130" s="11" t="s">
        <v>479</v>
      </c>
      <c r="E130" s="11" t="s">
        <v>395</v>
      </c>
      <c r="F130" s="11" t="s">
        <v>480</v>
      </c>
      <c r="G130" s="11" t="s">
        <v>481</v>
      </c>
      <c r="H130" s="11" t="s">
        <v>220</v>
      </c>
      <c r="I130" s="11">
        <v>28603</v>
      </c>
      <c r="J130" s="11" t="s">
        <v>368</v>
      </c>
      <c r="K130" s="11"/>
      <c r="L130" s="11"/>
      <c r="M130" s="11"/>
      <c r="N130" s="11"/>
      <c r="O130" s="13">
        <v>455</v>
      </c>
      <c r="P130" s="13">
        <v>455</v>
      </c>
      <c r="Q130" s="13">
        <v>0</v>
      </c>
      <c r="R130" s="13">
        <v>7428.7385000000004</v>
      </c>
      <c r="S130" s="13">
        <v>455</v>
      </c>
      <c r="T130" s="13">
        <v>6973.7385000000004</v>
      </c>
      <c r="U130" s="13">
        <v>45</v>
      </c>
      <c r="V130" s="13">
        <v>45</v>
      </c>
      <c r="W130" s="13">
        <v>0</v>
      </c>
      <c r="X130" s="13">
        <v>600.43050000000005</v>
      </c>
      <c r="Y130" s="13">
        <v>45</v>
      </c>
      <c r="Z130" s="13">
        <v>555.43050000000005</v>
      </c>
      <c r="AA130" s="13">
        <v>42</v>
      </c>
      <c r="AB130" s="13">
        <v>42</v>
      </c>
      <c r="AC130" s="13">
        <v>0</v>
      </c>
      <c r="AD130" s="13">
        <v>708.51660000000004</v>
      </c>
      <c r="AE130" s="13">
        <v>42</v>
      </c>
      <c r="AF130" s="13">
        <v>666.51660000000004</v>
      </c>
      <c r="AG130" s="13">
        <v>40</v>
      </c>
      <c r="AH130" s="13">
        <v>40</v>
      </c>
      <c r="AI130" s="13">
        <v>0</v>
      </c>
      <c r="AJ130" s="13">
        <v>472.00150000000002</v>
      </c>
      <c r="AK130" s="13">
        <v>40</v>
      </c>
      <c r="AL130" s="13">
        <v>432.00150000000002</v>
      </c>
      <c r="AM130" s="13">
        <v>32</v>
      </c>
      <c r="AN130" s="13">
        <v>32</v>
      </c>
      <c r="AO130" s="13">
        <v>0</v>
      </c>
      <c r="AP130" s="13">
        <v>488.68729999999999</v>
      </c>
      <c r="AQ130" s="13">
        <v>32</v>
      </c>
      <c r="AR130" s="13">
        <v>456.68729999999999</v>
      </c>
      <c r="AS130" s="13">
        <v>30</v>
      </c>
      <c r="AT130" s="13">
        <v>30</v>
      </c>
      <c r="AU130" s="13">
        <v>0</v>
      </c>
      <c r="AV130" s="13">
        <v>659.48789999999997</v>
      </c>
      <c r="AW130" s="13">
        <v>30</v>
      </c>
      <c r="AX130" s="13">
        <v>629.48789999999997</v>
      </c>
      <c r="AY130" s="13">
        <v>52</v>
      </c>
      <c r="AZ130" s="13">
        <v>52</v>
      </c>
      <c r="BA130" s="13">
        <v>0</v>
      </c>
      <c r="BB130" s="13">
        <v>706.17370000000005</v>
      </c>
      <c r="BC130" s="13">
        <v>52</v>
      </c>
      <c r="BD130" s="13">
        <v>654.17370000000005</v>
      </c>
      <c r="BE130" s="13">
        <v>38</v>
      </c>
      <c r="BF130" s="13">
        <v>38</v>
      </c>
      <c r="BG130" s="13">
        <v>0</v>
      </c>
      <c r="BH130" s="13">
        <v>346.57249999999999</v>
      </c>
      <c r="BI130" s="13">
        <v>38</v>
      </c>
      <c r="BJ130" s="13">
        <v>308.57249999999999</v>
      </c>
      <c r="BK130" s="13">
        <v>53</v>
      </c>
      <c r="BL130" s="13">
        <v>53</v>
      </c>
      <c r="BM130" s="13">
        <v>0</v>
      </c>
      <c r="BN130" s="13">
        <v>707.17370000000005</v>
      </c>
      <c r="BO130" s="13">
        <v>53</v>
      </c>
      <c r="BP130" s="13">
        <v>654.17370000000005</v>
      </c>
      <c r="BQ130" s="13">
        <v>27</v>
      </c>
      <c r="BR130" s="13">
        <v>27</v>
      </c>
      <c r="BS130" s="13">
        <v>0</v>
      </c>
      <c r="BT130" s="13">
        <v>533.05889999999999</v>
      </c>
      <c r="BU130" s="13">
        <v>27</v>
      </c>
      <c r="BV130" s="13">
        <v>506.05889999999999</v>
      </c>
      <c r="BW130" s="13">
        <v>24</v>
      </c>
      <c r="BX130" s="13">
        <v>24</v>
      </c>
      <c r="BY130" s="13">
        <v>0</v>
      </c>
      <c r="BZ130" s="13">
        <v>530.05889999999999</v>
      </c>
      <c r="CA130" s="13">
        <v>24</v>
      </c>
      <c r="CB130" s="13">
        <v>506.05889999999999</v>
      </c>
      <c r="CC130" s="13">
        <v>29</v>
      </c>
      <c r="CD130" s="13">
        <v>29</v>
      </c>
      <c r="CE130" s="13">
        <v>0</v>
      </c>
      <c r="CF130" s="13">
        <v>559.74469999999997</v>
      </c>
      <c r="CG130" s="13">
        <v>29</v>
      </c>
      <c r="CH130" s="13">
        <v>530.74469999999997</v>
      </c>
      <c r="CI130" s="13">
        <v>21</v>
      </c>
      <c r="CJ130" s="13">
        <v>21</v>
      </c>
      <c r="CK130" s="13">
        <v>0</v>
      </c>
      <c r="CL130" s="13">
        <v>551.74469999999997</v>
      </c>
      <c r="CM130" s="13">
        <v>21</v>
      </c>
      <c r="CN130" s="13">
        <v>530.74469999999997</v>
      </c>
      <c r="CO130" s="13">
        <v>22</v>
      </c>
      <c r="CP130" s="13">
        <v>22</v>
      </c>
      <c r="CQ130" s="13">
        <v>0</v>
      </c>
      <c r="CR130" s="13">
        <v>565.08759999999995</v>
      </c>
      <c r="CS130" s="13">
        <v>22</v>
      </c>
      <c r="CT130" s="13">
        <v>543.08759999999995</v>
      </c>
      <c r="CU130" s="13">
        <f t="shared" si="16"/>
        <v>410</v>
      </c>
      <c r="CV130" s="13">
        <f t="shared" si="16"/>
        <v>410</v>
      </c>
      <c r="CW130" s="13">
        <f t="shared" si="16"/>
        <v>0</v>
      </c>
      <c r="CX130" s="13">
        <f t="shared" si="12"/>
        <v>6828.3080000000009</v>
      </c>
      <c r="CY130" s="13">
        <f t="shared" si="12"/>
        <v>410</v>
      </c>
      <c r="CZ130" s="13">
        <f t="shared" si="12"/>
        <v>6418.3080000000009</v>
      </c>
      <c r="DA130" s="13">
        <f t="shared" si="17"/>
        <v>72</v>
      </c>
      <c r="DB130" s="13">
        <f t="shared" si="17"/>
        <v>72</v>
      </c>
      <c r="DC130" s="13">
        <f t="shared" si="17"/>
        <v>0</v>
      </c>
      <c r="DD130" s="13">
        <f t="shared" si="13"/>
        <v>1676.5769999999998</v>
      </c>
      <c r="DE130" s="13">
        <f t="shared" si="13"/>
        <v>72</v>
      </c>
      <c r="DF130" s="13">
        <f t="shared" si="13"/>
        <v>1604.5769999999998</v>
      </c>
      <c r="DG130" s="13">
        <f t="shared" si="18"/>
        <v>104</v>
      </c>
      <c r="DH130" s="13">
        <f t="shared" si="18"/>
        <v>104</v>
      </c>
      <c r="DI130" s="13">
        <f t="shared" si="18"/>
        <v>0</v>
      </c>
      <c r="DJ130" s="13">
        <f t="shared" si="14"/>
        <v>1770.2915</v>
      </c>
      <c r="DK130" s="13">
        <f t="shared" si="14"/>
        <v>104</v>
      </c>
      <c r="DL130" s="13">
        <f t="shared" si="14"/>
        <v>1666.2915</v>
      </c>
      <c r="DM130" s="13">
        <f t="shared" si="19"/>
        <v>43</v>
      </c>
      <c r="DN130" s="13">
        <f t="shared" si="19"/>
        <v>43</v>
      </c>
      <c r="DO130" s="13">
        <f t="shared" si="19"/>
        <v>0</v>
      </c>
      <c r="DP130" s="13">
        <f t="shared" si="15"/>
        <v>1116.8323</v>
      </c>
      <c r="DQ130" s="13">
        <f t="shared" si="15"/>
        <v>43</v>
      </c>
      <c r="DR130" s="13">
        <f t="shared" si="15"/>
        <v>1073.8323</v>
      </c>
      <c r="DS130" s="14" t="s">
        <v>60</v>
      </c>
      <c r="DT130" s="14" t="s">
        <v>81</v>
      </c>
      <c r="DU130" s="14" t="s">
        <v>73</v>
      </c>
      <c r="DV130" s="14" t="s">
        <v>63</v>
      </c>
      <c r="DW130" s="14" t="s">
        <v>74</v>
      </c>
    </row>
    <row r="131" spans="2:127" x14ac:dyDescent="0.3">
      <c r="B131" s="11" t="s">
        <v>83</v>
      </c>
      <c r="C131" s="14">
        <v>5002060228</v>
      </c>
      <c r="D131" s="11" t="s">
        <v>482</v>
      </c>
      <c r="E131" s="11" t="s">
        <v>395</v>
      </c>
      <c r="F131" s="11" t="s">
        <v>483</v>
      </c>
      <c r="G131" s="11" t="s">
        <v>484</v>
      </c>
      <c r="H131" s="11" t="s">
        <v>379</v>
      </c>
      <c r="I131" s="11">
        <v>73071</v>
      </c>
      <c r="J131" s="11" t="s">
        <v>109</v>
      </c>
      <c r="K131" s="11"/>
      <c r="L131" s="11"/>
      <c r="M131" s="11"/>
      <c r="N131" s="11"/>
      <c r="O131" s="13">
        <v>692</v>
      </c>
      <c r="P131" s="13">
        <v>692</v>
      </c>
      <c r="Q131" s="13">
        <v>0</v>
      </c>
      <c r="R131" s="13">
        <v>692</v>
      </c>
      <c r="S131" s="13">
        <v>692</v>
      </c>
      <c r="T131" s="13">
        <v>0</v>
      </c>
      <c r="U131" s="13">
        <v>58</v>
      </c>
      <c r="V131" s="13">
        <v>58</v>
      </c>
      <c r="W131" s="13">
        <v>0</v>
      </c>
      <c r="X131" s="13">
        <v>58</v>
      </c>
      <c r="Y131" s="13">
        <v>58</v>
      </c>
      <c r="Z131" s="13">
        <v>0</v>
      </c>
      <c r="AA131" s="13">
        <v>87</v>
      </c>
      <c r="AB131" s="13">
        <v>87</v>
      </c>
      <c r="AC131" s="13">
        <v>0</v>
      </c>
      <c r="AD131" s="13">
        <v>87</v>
      </c>
      <c r="AE131" s="13">
        <v>87</v>
      </c>
      <c r="AF131" s="13">
        <v>0</v>
      </c>
      <c r="AG131" s="13">
        <v>72</v>
      </c>
      <c r="AH131" s="13">
        <v>72</v>
      </c>
      <c r="AI131" s="13">
        <v>0</v>
      </c>
      <c r="AJ131" s="13">
        <v>72</v>
      </c>
      <c r="AK131" s="13">
        <v>72</v>
      </c>
      <c r="AL131" s="13">
        <v>0</v>
      </c>
      <c r="AM131" s="13">
        <v>58</v>
      </c>
      <c r="AN131" s="13">
        <v>58</v>
      </c>
      <c r="AO131" s="13">
        <v>0</v>
      </c>
      <c r="AP131" s="13">
        <v>58</v>
      </c>
      <c r="AQ131" s="13">
        <v>58</v>
      </c>
      <c r="AR131" s="13">
        <v>0</v>
      </c>
      <c r="AS131" s="13">
        <v>72</v>
      </c>
      <c r="AT131" s="13">
        <v>72</v>
      </c>
      <c r="AU131" s="13">
        <v>0</v>
      </c>
      <c r="AV131" s="13">
        <v>72</v>
      </c>
      <c r="AW131" s="13">
        <v>72</v>
      </c>
      <c r="AX131" s="13">
        <v>0</v>
      </c>
      <c r="AY131" s="13">
        <v>44</v>
      </c>
      <c r="AZ131" s="13">
        <v>44</v>
      </c>
      <c r="BA131" s="13">
        <v>0</v>
      </c>
      <c r="BB131" s="13">
        <v>44</v>
      </c>
      <c r="BC131" s="13">
        <v>44</v>
      </c>
      <c r="BD131" s="13">
        <v>0</v>
      </c>
      <c r="BE131" s="13">
        <v>29</v>
      </c>
      <c r="BF131" s="13">
        <v>29</v>
      </c>
      <c r="BG131" s="13">
        <v>0</v>
      </c>
      <c r="BH131" s="13">
        <v>29</v>
      </c>
      <c r="BI131" s="13">
        <v>29</v>
      </c>
      <c r="BJ131" s="13">
        <v>0</v>
      </c>
      <c r="BK131" s="13">
        <v>80</v>
      </c>
      <c r="BL131" s="13">
        <v>80</v>
      </c>
      <c r="BM131" s="13">
        <v>0</v>
      </c>
      <c r="BN131" s="13">
        <v>80</v>
      </c>
      <c r="BO131" s="13">
        <v>80</v>
      </c>
      <c r="BP131" s="13">
        <v>0</v>
      </c>
      <c r="BQ131" s="13">
        <v>45</v>
      </c>
      <c r="BR131" s="13">
        <v>45</v>
      </c>
      <c r="BS131" s="13">
        <v>0</v>
      </c>
      <c r="BT131" s="13">
        <v>45</v>
      </c>
      <c r="BU131" s="13">
        <v>45</v>
      </c>
      <c r="BV131" s="13">
        <v>0</v>
      </c>
      <c r="BW131" s="13">
        <v>29</v>
      </c>
      <c r="BX131" s="13">
        <v>29</v>
      </c>
      <c r="BY131" s="13">
        <v>0</v>
      </c>
      <c r="BZ131" s="13">
        <v>29</v>
      </c>
      <c r="CA131" s="13">
        <v>29</v>
      </c>
      <c r="CB131" s="13">
        <v>0</v>
      </c>
      <c r="CC131" s="13">
        <v>37</v>
      </c>
      <c r="CD131" s="13">
        <v>37</v>
      </c>
      <c r="CE131" s="13">
        <v>0</v>
      </c>
      <c r="CF131" s="13">
        <v>37</v>
      </c>
      <c r="CG131" s="13">
        <v>37</v>
      </c>
      <c r="CH131" s="13">
        <v>0</v>
      </c>
      <c r="CI131" s="13">
        <v>37</v>
      </c>
      <c r="CJ131" s="13">
        <v>37</v>
      </c>
      <c r="CK131" s="13">
        <v>0</v>
      </c>
      <c r="CL131" s="13">
        <v>37</v>
      </c>
      <c r="CM131" s="13">
        <v>37</v>
      </c>
      <c r="CN131" s="13">
        <v>0</v>
      </c>
      <c r="CO131" s="13">
        <v>44</v>
      </c>
      <c r="CP131" s="13">
        <v>44</v>
      </c>
      <c r="CQ131" s="13">
        <v>0</v>
      </c>
      <c r="CR131" s="13">
        <v>44</v>
      </c>
      <c r="CS131" s="13">
        <v>44</v>
      </c>
      <c r="CT131" s="13">
        <v>0</v>
      </c>
      <c r="CU131" s="13">
        <f t="shared" si="16"/>
        <v>634</v>
      </c>
      <c r="CV131" s="13">
        <f t="shared" si="16"/>
        <v>634</v>
      </c>
      <c r="CW131" s="13">
        <f t="shared" si="16"/>
        <v>0</v>
      </c>
      <c r="CX131" s="13">
        <f t="shared" si="12"/>
        <v>634</v>
      </c>
      <c r="CY131" s="13">
        <f t="shared" si="12"/>
        <v>634</v>
      </c>
      <c r="CZ131" s="13">
        <f t="shared" si="12"/>
        <v>0</v>
      </c>
      <c r="DA131" s="13">
        <f t="shared" si="17"/>
        <v>118</v>
      </c>
      <c r="DB131" s="13">
        <f t="shared" si="17"/>
        <v>118</v>
      </c>
      <c r="DC131" s="13">
        <f t="shared" si="17"/>
        <v>0</v>
      </c>
      <c r="DD131" s="13">
        <f t="shared" si="13"/>
        <v>118</v>
      </c>
      <c r="DE131" s="13">
        <f t="shared" si="13"/>
        <v>118</v>
      </c>
      <c r="DF131" s="13">
        <f t="shared" si="13"/>
        <v>0</v>
      </c>
      <c r="DG131" s="13">
        <f t="shared" si="18"/>
        <v>154</v>
      </c>
      <c r="DH131" s="13">
        <f t="shared" si="18"/>
        <v>154</v>
      </c>
      <c r="DI131" s="13">
        <f t="shared" si="18"/>
        <v>0</v>
      </c>
      <c r="DJ131" s="13">
        <f t="shared" si="14"/>
        <v>154</v>
      </c>
      <c r="DK131" s="13">
        <f t="shared" si="14"/>
        <v>154</v>
      </c>
      <c r="DL131" s="13">
        <f t="shared" si="14"/>
        <v>0</v>
      </c>
      <c r="DM131" s="13">
        <f t="shared" si="19"/>
        <v>81</v>
      </c>
      <c r="DN131" s="13">
        <f t="shared" si="19"/>
        <v>81</v>
      </c>
      <c r="DO131" s="13">
        <f t="shared" si="19"/>
        <v>0</v>
      </c>
      <c r="DP131" s="13">
        <f t="shared" si="15"/>
        <v>81</v>
      </c>
      <c r="DQ131" s="13">
        <f t="shared" si="15"/>
        <v>81</v>
      </c>
      <c r="DR131" s="13">
        <f t="shared" si="15"/>
        <v>0</v>
      </c>
      <c r="DS131" s="14" t="s">
        <v>60</v>
      </c>
      <c r="DT131" s="14" t="s">
        <v>81</v>
      </c>
      <c r="DU131" s="14" t="s">
        <v>73</v>
      </c>
      <c r="DV131" s="14" t="s">
        <v>372</v>
      </c>
      <c r="DW131" s="14" t="s">
        <v>74</v>
      </c>
    </row>
    <row r="132" spans="2:127" x14ac:dyDescent="0.3">
      <c r="B132" s="11" t="s">
        <v>65</v>
      </c>
      <c r="C132" s="14">
        <v>5004871712</v>
      </c>
      <c r="D132" s="11" t="s">
        <v>485</v>
      </c>
      <c r="E132" s="11" t="s">
        <v>395</v>
      </c>
      <c r="F132" s="11" t="s">
        <v>486</v>
      </c>
      <c r="G132" s="11" t="s">
        <v>487</v>
      </c>
      <c r="H132" s="11" t="s">
        <v>169</v>
      </c>
      <c r="I132" s="11">
        <v>22601</v>
      </c>
      <c r="J132" s="11" t="s">
        <v>70</v>
      </c>
      <c r="K132" s="11"/>
      <c r="L132" s="11"/>
      <c r="M132" s="11"/>
      <c r="N132" s="11"/>
      <c r="O132" s="13">
        <v>77</v>
      </c>
      <c r="P132" s="13">
        <v>77</v>
      </c>
      <c r="Q132" s="13">
        <v>0</v>
      </c>
      <c r="R132" s="13">
        <v>11781.344999999999</v>
      </c>
      <c r="S132" s="13">
        <v>290.10509999999999</v>
      </c>
      <c r="T132" s="13">
        <v>11491.2399</v>
      </c>
      <c r="U132" s="13">
        <v>26</v>
      </c>
      <c r="V132" s="13">
        <v>26</v>
      </c>
      <c r="W132" s="13">
        <v>0</v>
      </c>
      <c r="X132" s="13">
        <v>1079.1963000000001</v>
      </c>
      <c r="Y132" s="13">
        <v>42.392700000000005</v>
      </c>
      <c r="Z132" s="13">
        <v>1036.8036</v>
      </c>
      <c r="AA132" s="13">
        <v>26</v>
      </c>
      <c r="AB132" s="13">
        <v>26</v>
      </c>
      <c r="AC132" s="13">
        <v>0</v>
      </c>
      <c r="AD132" s="13">
        <v>1017.4818</v>
      </c>
      <c r="AE132" s="13">
        <v>42.392700000000005</v>
      </c>
      <c r="AF132" s="13">
        <v>975.08910000000003</v>
      </c>
      <c r="AG132" s="13">
        <v>0</v>
      </c>
      <c r="AH132" s="13">
        <v>0</v>
      </c>
      <c r="AI132" s="13">
        <v>0</v>
      </c>
      <c r="AJ132" s="13">
        <v>769.30960000000005</v>
      </c>
      <c r="AK132" s="13">
        <v>16.392700000000001</v>
      </c>
      <c r="AL132" s="13">
        <v>752.91690000000006</v>
      </c>
      <c r="AM132" s="13">
        <v>21</v>
      </c>
      <c r="AN132" s="13">
        <v>21</v>
      </c>
      <c r="AO132" s="13">
        <v>0</v>
      </c>
      <c r="AP132" s="13">
        <v>753.28089999999997</v>
      </c>
      <c r="AQ132" s="13">
        <v>37.392700000000005</v>
      </c>
      <c r="AR132" s="13">
        <v>715.88819999999998</v>
      </c>
      <c r="AS132" s="13">
        <v>0</v>
      </c>
      <c r="AT132" s="13">
        <v>0</v>
      </c>
      <c r="AU132" s="13">
        <v>0</v>
      </c>
      <c r="AV132" s="13">
        <v>917.42439999999999</v>
      </c>
      <c r="AW132" s="13">
        <v>16.392700000000001</v>
      </c>
      <c r="AX132" s="13">
        <v>901.0317</v>
      </c>
      <c r="AY132" s="13">
        <v>-1</v>
      </c>
      <c r="AZ132" s="13">
        <v>-1</v>
      </c>
      <c r="BA132" s="13">
        <v>0</v>
      </c>
      <c r="BB132" s="13">
        <v>879.39570000000003</v>
      </c>
      <c r="BC132" s="13">
        <v>15.392700000000001</v>
      </c>
      <c r="BD132" s="13">
        <v>864.00300000000004</v>
      </c>
      <c r="BE132" s="13">
        <v>5</v>
      </c>
      <c r="BF132" s="13">
        <v>5</v>
      </c>
      <c r="BG132" s="13">
        <v>0</v>
      </c>
      <c r="BH132" s="13">
        <v>885.39570000000003</v>
      </c>
      <c r="BI132" s="13">
        <v>21.392700000000001</v>
      </c>
      <c r="BJ132" s="13">
        <v>864.00300000000004</v>
      </c>
      <c r="BK132" s="13">
        <v>0</v>
      </c>
      <c r="BL132" s="13">
        <v>0</v>
      </c>
      <c r="BM132" s="13">
        <v>0</v>
      </c>
      <c r="BN132" s="13">
        <v>1102.5679</v>
      </c>
      <c r="BO132" s="13">
        <v>16.392700000000001</v>
      </c>
      <c r="BP132" s="13">
        <v>1086.1751999999999</v>
      </c>
      <c r="BQ132" s="13">
        <v>0</v>
      </c>
      <c r="BR132" s="13">
        <v>0</v>
      </c>
      <c r="BS132" s="13">
        <v>0</v>
      </c>
      <c r="BT132" s="13">
        <v>917.42439999999999</v>
      </c>
      <c r="BU132" s="13">
        <v>16.392700000000001</v>
      </c>
      <c r="BV132" s="13">
        <v>901.0317</v>
      </c>
      <c r="BW132" s="13">
        <v>0</v>
      </c>
      <c r="BX132" s="13">
        <v>0</v>
      </c>
      <c r="BY132" s="13">
        <v>0</v>
      </c>
      <c r="BZ132" s="13">
        <v>793.99540000000002</v>
      </c>
      <c r="CA132" s="13">
        <v>16.392700000000001</v>
      </c>
      <c r="CB132" s="13">
        <v>777.60270000000003</v>
      </c>
      <c r="CC132" s="13">
        <v>0</v>
      </c>
      <c r="CD132" s="13">
        <v>0</v>
      </c>
      <c r="CE132" s="13">
        <v>0</v>
      </c>
      <c r="CF132" s="13">
        <v>1028.5105000000001</v>
      </c>
      <c r="CG132" s="13">
        <v>16.392700000000001</v>
      </c>
      <c r="CH132" s="13">
        <v>1012.1178</v>
      </c>
      <c r="CI132" s="13">
        <v>0</v>
      </c>
      <c r="CJ132" s="13">
        <v>0</v>
      </c>
      <c r="CK132" s="13">
        <v>0</v>
      </c>
      <c r="CL132" s="13">
        <v>781.65250000000003</v>
      </c>
      <c r="CM132" s="13">
        <v>16.392700000000001</v>
      </c>
      <c r="CN132" s="13">
        <v>765.25980000000004</v>
      </c>
      <c r="CO132" s="13">
        <v>0</v>
      </c>
      <c r="CP132" s="13">
        <v>0</v>
      </c>
      <c r="CQ132" s="13">
        <v>0</v>
      </c>
      <c r="CR132" s="13">
        <v>855.70989999999995</v>
      </c>
      <c r="CS132" s="13">
        <v>16.392700000000001</v>
      </c>
      <c r="CT132" s="13">
        <v>839.31719999999996</v>
      </c>
      <c r="CU132" s="13">
        <f t="shared" si="16"/>
        <v>51</v>
      </c>
      <c r="CV132" s="13">
        <f t="shared" si="16"/>
        <v>51</v>
      </c>
      <c r="CW132" s="13">
        <f t="shared" si="16"/>
        <v>0</v>
      </c>
      <c r="CX132" s="13">
        <f t="shared" si="12"/>
        <v>10702.1487</v>
      </c>
      <c r="CY132" s="13">
        <f t="shared" si="12"/>
        <v>247.71239999999997</v>
      </c>
      <c r="CZ132" s="13">
        <f t="shared" si="12"/>
        <v>10454.436299999999</v>
      </c>
      <c r="DA132" s="13">
        <f t="shared" si="17"/>
        <v>0</v>
      </c>
      <c r="DB132" s="13">
        <f t="shared" si="17"/>
        <v>0</v>
      </c>
      <c r="DC132" s="13">
        <f t="shared" si="17"/>
        <v>0</v>
      </c>
      <c r="DD132" s="13">
        <f t="shared" si="13"/>
        <v>2665.8728999999998</v>
      </c>
      <c r="DE132" s="13">
        <f t="shared" si="13"/>
        <v>49.178100000000001</v>
      </c>
      <c r="DF132" s="13">
        <f t="shared" si="13"/>
        <v>2616.6948000000002</v>
      </c>
      <c r="DG132" s="13">
        <f t="shared" si="18"/>
        <v>0</v>
      </c>
      <c r="DH132" s="13">
        <f t="shared" si="18"/>
        <v>0</v>
      </c>
      <c r="DI132" s="13">
        <f t="shared" si="18"/>
        <v>0</v>
      </c>
      <c r="DJ132" s="13">
        <f t="shared" si="14"/>
        <v>2813.9876999999997</v>
      </c>
      <c r="DK132" s="13">
        <f t="shared" si="14"/>
        <v>49.178100000000001</v>
      </c>
      <c r="DL132" s="13">
        <f t="shared" si="14"/>
        <v>2764.8096</v>
      </c>
      <c r="DM132" s="13">
        <f t="shared" si="19"/>
        <v>0</v>
      </c>
      <c r="DN132" s="13">
        <f t="shared" si="19"/>
        <v>0</v>
      </c>
      <c r="DO132" s="13">
        <f t="shared" si="19"/>
        <v>0</v>
      </c>
      <c r="DP132" s="13">
        <f t="shared" si="15"/>
        <v>1637.3624</v>
      </c>
      <c r="DQ132" s="13">
        <f t="shared" si="15"/>
        <v>32.785400000000003</v>
      </c>
      <c r="DR132" s="13">
        <f t="shared" si="15"/>
        <v>1604.577</v>
      </c>
      <c r="DS132" s="14" t="s">
        <v>60</v>
      </c>
      <c r="DT132" s="14" t="s">
        <v>81</v>
      </c>
      <c r="DU132" s="14" t="s">
        <v>73</v>
      </c>
      <c r="DV132" s="14" t="s">
        <v>63</v>
      </c>
      <c r="DW132" s="14" t="s">
        <v>74</v>
      </c>
    </row>
    <row r="133" spans="2:127" x14ac:dyDescent="0.3">
      <c r="B133" s="11" t="s">
        <v>83</v>
      </c>
      <c r="C133" s="14">
        <v>5005882731</v>
      </c>
      <c r="D133" s="11" t="s">
        <v>488</v>
      </c>
      <c r="E133" s="11" t="s">
        <v>395</v>
      </c>
      <c r="F133" s="11" t="s">
        <v>489</v>
      </c>
      <c r="G133" s="11" t="s">
        <v>490</v>
      </c>
      <c r="H133" s="11" t="s">
        <v>137</v>
      </c>
      <c r="I133" s="11">
        <v>78412</v>
      </c>
      <c r="J133" s="11" t="s">
        <v>109</v>
      </c>
      <c r="K133" s="11"/>
      <c r="L133" s="11"/>
      <c r="M133" s="11"/>
      <c r="N133" s="11"/>
      <c r="O133" s="13">
        <v>263</v>
      </c>
      <c r="P133" s="13">
        <v>263</v>
      </c>
      <c r="Q133" s="13">
        <v>0</v>
      </c>
      <c r="R133" s="13">
        <v>6812.6391000000003</v>
      </c>
      <c r="S133" s="13">
        <v>653.53199999999993</v>
      </c>
      <c r="T133" s="13">
        <v>6159.1071000000002</v>
      </c>
      <c r="U133" s="13">
        <v>26</v>
      </c>
      <c r="V133" s="13">
        <v>26</v>
      </c>
      <c r="W133" s="13">
        <v>0</v>
      </c>
      <c r="X133" s="13">
        <v>415.95800000000003</v>
      </c>
      <c r="Y133" s="13">
        <v>70.356799999999993</v>
      </c>
      <c r="Z133" s="13">
        <v>345.60120000000001</v>
      </c>
      <c r="AA133" s="13">
        <v>39</v>
      </c>
      <c r="AB133" s="13">
        <v>39</v>
      </c>
      <c r="AC133" s="13">
        <v>0</v>
      </c>
      <c r="AD133" s="13">
        <v>599.44370000000004</v>
      </c>
      <c r="AE133" s="13">
        <v>118.0706</v>
      </c>
      <c r="AF133" s="13">
        <v>481.37310000000002</v>
      </c>
      <c r="AG133" s="13">
        <v>13</v>
      </c>
      <c r="AH133" s="13">
        <v>13</v>
      </c>
      <c r="AI133" s="13">
        <v>0</v>
      </c>
      <c r="AJ133" s="13">
        <v>402.9579</v>
      </c>
      <c r="AK133" s="13">
        <v>57.356699999999996</v>
      </c>
      <c r="AL133" s="13">
        <v>345.60120000000001</v>
      </c>
      <c r="AM133" s="13">
        <v>11</v>
      </c>
      <c r="AN133" s="13">
        <v>11</v>
      </c>
      <c r="AO133" s="13">
        <v>0</v>
      </c>
      <c r="AP133" s="13">
        <v>277.52890000000002</v>
      </c>
      <c r="AQ133" s="13">
        <v>55.356699999999996</v>
      </c>
      <c r="AR133" s="13">
        <v>222.1722</v>
      </c>
      <c r="AS133" s="13">
        <v>12</v>
      </c>
      <c r="AT133" s="13">
        <v>12</v>
      </c>
      <c r="AU133" s="13">
        <v>0</v>
      </c>
      <c r="AV133" s="13">
        <v>500.7011</v>
      </c>
      <c r="AW133" s="13">
        <v>56.356699999999996</v>
      </c>
      <c r="AX133" s="13">
        <v>444.34440000000001</v>
      </c>
      <c r="AY133" s="13">
        <v>12</v>
      </c>
      <c r="AZ133" s="13">
        <v>12</v>
      </c>
      <c r="BA133" s="13">
        <v>0</v>
      </c>
      <c r="BB133" s="13">
        <v>536.95820000000003</v>
      </c>
      <c r="BC133" s="13">
        <v>67.927999999999997</v>
      </c>
      <c r="BD133" s="13">
        <v>469.03019999999998</v>
      </c>
      <c r="BE133" s="13">
        <v>12</v>
      </c>
      <c r="BF133" s="13">
        <v>12</v>
      </c>
      <c r="BG133" s="13">
        <v>0</v>
      </c>
      <c r="BH133" s="13">
        <v>428.18690000000004</v>
      </c>
      <c r="BI133" s="13">
        <v>33.214100000000002</v>
      </c>
      <c r="BJ133" s="13">
        <v>394.97280000000001</v>
      </c>
      <c r="BK133" s="13">
        <v>18</v>
      </c>
      <c r="BL133" s="13">
        <v>18</v>
      </c>
      <c r="BM133" s="13">
        <v>0</v>
      </c>
      <c r="BN133" s="13">
        <v>671.40219999999999</v>
      </c>
      <c r="BO133" s="13">
        <v>29.571400000000001</v>
      </c>
      <c r="BP133" s="13">
        <v>641.83079999999995</v>
      </c>
      <c r="BQ133" s="13">
        <v>12</v>
      </c>
      <c r="BR133" s="13">
        <v>12</v>
      </c>
      <c r="BS133" s="13">
        <v>0</v>
      </c>
      <c r="BT133" s="13">
        <v>615.06629999999996</v>
      </c>
      <c r="BU133" s="13">
        <v>22.607100000000003</v>
      </c>
      <c r="BV133" s="13">
        <v>592.45920000000001</v>
      </c>
      <c r="BW133" s="13">
        <v>12</v>
      </c>
      <c r="BX133" s="13">
        <v>12</v>
      </c>
      <c r="BY133" s="13">
        <v>0</v>
      </c>
      <c r="BZ133" s="13">
        <v>566.6588999999999</v>
      </c>
      <c r="CA133" s="13">
        <v>23.571300000000001</v>
      </c>
      <c r="CB133" s="13">
        <v>543.08759999999995</v>
      </c>
      <c r="CC133" s="13">
        <v>72</v>
      </c>
      <c r="CD133" s="13">
        <v>72</v>
      </c>
      <c r="CE133" s="13">
        <v>0</v>
      </c>
      <c r="CF133" s="13">
        <v>625.88729999999998</v>
      </c>
      <c r="CG133" s="13">
        <v>95.142600000000002</v>
      </c>
      <c r="CH133" s="13">
        <v>530.74469999999997</v>
      </c>
      <c r="CI133" s="13">
        <v>18</v>
      </c>
      <c r="CJ133" s="13">
        <v>18</v>
      </c>
      <c r="CK133" s="13">
        <v>0</v>
      </c>
      <c r="CL133" s="13">
        <v>573.43050000000005</v>
      </c>
      <c r="CM133" s="13">
        <v>18</v>
      </c>
      <c r="CN133" s="13">
        <v>555.43050000000005</v>
      </c>
      <c r="CO133" s="13">
        <v>6</v>
      </c>
      <c r="CP133" s="13">
        <v>6</v>
      </c>
      <c r="CQ133" s="13">
        <v>0</v>
      </c>
      <c r="CR133" s="13">
        <v>598.45920000000001</v>
      </c>
      <c r="CS133" s="13">
        <v>6</v>
      </c>
      <c r="CT133" s="13">
        <v>592.45920000000001</v>
      </c>
      <c r="CU133" s="13">
        <f t="shared" si="16"/>
        <v>237</v>
      </c>
      <c r="CV133" s="13">
        <f t="shared" si="16"/>
        <v>237</v>
      </c>
      <c r="CW133" s="13">
        <f t="shared" si="16"/>
        <v>0</v>
      </c>
      <c r="CX133" s="13">
        <f t="shared" si="12"/>
        <v>6396.6811000000007</v>
      </c>
      <c r="CY133" s="13">
        <f t="shared" si="12"/>
        <v>583.1751999999999</v>
      </c>
      <c r="CZ133" s="13">
        <f t="shared" si="12"/>
        <v>5813.505900000001</v>
      </c>
      <c r="DA133" s="13">
        <f t="shared" si="17"/>
        <v>96</v>
      </c>
      <c r="DB133" s="13">
        <f t="shared" si="17"/>
        <v>96</v>
      </c>
      <c r="DC133" s="13">
        <f t="shared" si="17"/>
        <v>0</v>
      </c>
      <c r="DD133" s="13">
        <f t="shared" si="13"/>
        <v>1797.777</v>
      </c>
      <c r="DE133" s="13">
        <f t="shared" si="13"/>
        <v>119.1426</v>
      </c>
      <c r="DF133" s="13">
        <f t="shared" si="13"/>
        <v>1678.6344000000001</v>
      </c>
      <c r="DG133" s="13">
        <f t="shared" si="18"/>
        <v>42</v>
      </c>
      <c r="DH133" s="13">
        <f t="shared" si="18"/>
        <v>42</v>
      </c>
      <c r="DI133" s="13">
        <f t="shared" si="18"/>
        <v>0</v>
      </c>
      <c r="DJ133" s="13">
        <f t="shared" si="14"/>
        <v>1853.1273999999999</v>
      </c>
      <c r="DK133" s="13">
        <f t="shared" si="14"/>
        <v>75.749799999999993</v>
      </c>
      <c r="DL133" s="13">
        <f t="shared" si="14"/>
        <v>1777.3775999999998</v>
      </c>
      <c r="DM133" s="13">
        <f t="shared" si="19"/>
        <v>24</v>
      </c>
      <c r="DN133" s="13">
        <f t="shared" si="19"/>
        <v>24</v>
      </c>
      <c r="DO133" s="13">
        <f t="shared" si="19"/>
        <v>0</v>
      </c>
      <c r="DP133" s="13">
        <f t="shared" si="15"/>
        <v>1171.8897000000002</v>
      </c>
      <c r="DQ133" s="13">
        <f t="shared" si="15"/>
        <v>24</v>
      </c>
      <c r="DR133" s="13">
        <f t="shared" si="15"/>
        <v>1147.8897000000002</v>
      </c>
      <c r="DS133" s="14" t="s">
        <v>60</v>
      </c>
      <c r="DT133" s="14" t="s">
        <v>81</v>
      </c>
      <c r="DU133" s="14" t="s">
        <v>73</v>
      </c>
      <c r="DV133" s="14" t="s">
        <v>63</v>
      </c>
      <c r="DW133" s="14" t="s">
        <v>74</v>
      </c>
    </row>
    <row r="134" spans="2:127" x14ac:dyDescent="0.3">
      <c r="B134" s="11" t="s">
        <v>53</v>
      </c>
      <c r="C134" s="14">
        <v>5005882916</v>
      </c>
      <c r="D134" s="11" t="s">
        <v>491</v>
      </c>
      <c r="E134" s="11" t="s">
        <v>395</v>
      </c>
      <c r="F134" s="11" t="s">
        <v>492</v>
      </c>
      <c r="G134" s="11" t="s">
        <v>493</v>
      </c>
      <c r="H134" s="11" t="s">
        <v>58</v>
      </c>
      <c r="I134" s="11">
        <v>92270</v>
      </c>
      <c r="J134" s="11" t="s">
        <v>109</v>
      </c>
      <c r="K134" s="11"/>
      <c r="L134" s="11"/>
      <c r="M134" s="11"/>
      <c r="N134" s="11"/>
      <c r="O134" s="13">
        <v>408</v>
      </c>
      <c r="P134" s="13">
        <v>408</v>
      </c>
      <c r="Q134" s="13">
        <v>0</v>
      </c>
      <c r="R134" s="13">
        <v>9833.3462</v>
      </c>
      <c r="S134" s="13">
        <v>477.428</v>
      </c>
      <c r="T134" s="13">
        <v>9355.9182000000001</v>
      </c>
      <c r="U134" s="13">
        <v>48</v>
      </c>
      <c r="V134" s="13">
        <v>48</v>
      </c>
      <c r="W134" s="13">
        <v>0</v>
      </c>
      <c r="X134" s="13">
        <v>649.1377</v>
      </c>
      <c r="Y134" s="13">
        <v>56.6785</v>
      </c>
      <c r="Z134" s="13">
        <v>592.45920000000001</v>
      </c>
      <c r="AA134" s="13">
        <v>32</v>
      </c>
      <c r="AB134" s="13">
        <v>32</v>
      </c>
      <c r="AC134" s="13">
        <v>0</v>
      </c>
      <c r="AD134" s="13">
        <v>682.50929999999994</v>
      </c>
      <c r="AE134" s="13">
        <v>40.6785</v>
      </c>
      <c r="AF134" s="13">
        <v>641.83079999999995</v>
      </c>
      <c r="AG134" s="13">
        <v>32</v>
      </c>
      <c r="AH134" s="13">
        <v>32</v>
      </c>
      <c r="AI134" s="13">
        <v>0</v>
      </c>
      <c r="AJ134" s="13">
        <v>633.1377</v>
      </c>
      <c r="AK134" s="13">
        <v>40.6785</v>
      </c>
      <c r="AL134" s="13">
        <v>592.45920000000001</v>
      </c>
      <c r="AM134" s="13">
        <v>24</v>
      </c>
      <c r="AN134" s="13">
        <v>24</v>
      </c>
      <c r="AO134" s="13">
        <v>0</v>
      </c>
      <c r="AP134" s="13">
        <v>686.85220000000004</v>
      </c>
      <c r="AQ134" s="13">
        <v>32.6785</v>
      </c>
      <c r="AR134" s="13">
        <v>654.17370000000005</v>
      </c>
      <c r="AS134" s="13">
        <v>40</v>
      </c>
      <c r="AT134" s="13">
        <v>40</v>
      </c>
      <c r="AU134" s="13">
        <v>0</v>
      </c>
      <c r="AV134" s="13">
        <v>813.93830000000003</v>
      </c>
      <c r="AW134" s="13">
        <v>48.6785</v>
      </c>
      <c r="AX134" s="13">
        <v>765.25980000000004</v>
      </c>
      <c r="AY134" s="13">
        <v>32</v>
      </c>
      <c r="AZ134" s="13">
        <v>32</v>
      </c>
      <c r="BA134" s="13">
        <v>0</v>
      </c>
      <c r="BB134" s="13">
        <v>954.05309999999997</v>
      </c>
      <c r="BC134" s="13">
        <v>40.6785</v>
      </c>
      <c r="BD134" s="13">
        <v>913.37459999999999</v>
      </c>
      <c r="BE134" s="13">
        <v>32</v>
      </c>
      <c r="BF134" s="13">
        <v>32</v>
      </c>
      <c r="BG134" s="13">
        <v>0</v>
      </c>
      <c r="BH134" s="13">
        <v>691.18779999999992</v>
      </c>
      <c r="BI134" s="13">
        <v>49.356999999999999</v>
      </c>
      <c r="BJ134" s="13">
        <v>641.83079999999995</v>
      </c>
      <c r="BK134" s="13">
        <v>32</v>
      </c>
      <c r="BL134" s="13">
        <v>32</v>
      </c>
      <c r="BM134" s="13">
        <v>0</v>
      </c>
      <c r="BN134" s="13">
        <v>1081.1465000000001</v>
      </c>
      <c r="BO134" s="13">
        <v>32</v>
      </c>
      <c r="BP134" s="13">
        <v>1049.1465000000001</v>
      </c>
      <c r="BQ134" s="13">
        <v>16</v>
      </c>
      <c r="BR134" s="13">
        <v>16</v>
      </c>
      <c r="BS134" s="13">
        <v>0</v>
      </c>
      <c r="BT134" s="13">
        <v>768.91690000000006</v>
      </c>
      <c r="BU134" s="13">
        <v>16</v>
      </c>
      <c r="BV134" s="13">
        <v>752.91690000000006</v>
      </c>
      <c r="BW134" s="13">
        <v>16</v>
      </c>
      <c r="BX134" s="13">
        <v>16</v>
      </c>
      <c r="BY134" s="13">
        <v>0</v>
      </c>
      <c r="BZ134" s="13">
        <v>781.25980000000004</v>
      </c>
      <c r="CA134" s="13">
        <v>16</v>
      </c>
      <c r="CB134" s="13">
        <v>765.25980000000004</v>
      </c>
      <c r="CC134" s="13">
        <v>40</v>
      </c>
      <c r="CD134" s="13">
        <v>40</v>
      </c>
      <c r="CE134" s="13">
        <v>0</v>
      </c>
      <c r="CF134" s="13">
        <v>743.5453</v>
      </c>
      <c r="CG134" s="13">
        <v>40</v>
      </c>
      <c r="CH134" s="13">
        <v>703.5453</v>
      </c>
      <c r="CI134" s="13">
        <v>32</v>
      </c>
      <c r="CJ134" s="13">
        <v>32</v>
      </c>
      <c r="CK134" s="13">
        <v>0</v>
      </c>
      <c r="CL134" s="13">
        <v>661.48789999999997</v>
      </c>
      <c r="CM134" s="13">
        <v>32</v>
      </c>
      <c r="CN134" s="13">
        <v>629.48789999999997</v>
      </c>
      <c r="CO134" s="13">
        <v>32</v>
      </c>
      <c r="CP134" s="13">
        <v>32</v>
      </c>
      <c r="CQ134" s="13">
        <v>0</v>
      </c>
      <c r="CR134" s="13">
        <v>686.17370000000005</v>
      </c>
      <c r="CS134" s="13">
        <v>32</v>
      </c>
      <c r="CT134" s="13">
        <v>654.17370000000005</v>
      </c>
      <c r="CU134" s="13">
        <f t="shared" si="16"/>
        <v>360</v>
      </c>
      <c r="CV134" s="13">
        <f t="shared" si="16"/>
        <v>360</v>
      </c>
      <c r="CW134" s="13">
        <f t="shared" si="16"/>
        <v>0</v>
      </c>
      <c r="CX134" s="13">
        <f t="shared" si="12"/>
        <v>9184.2084999999988</v>
      </c>
      <c r="CY134" s="13">
        <f t="shared" si="12"/>
        <v>420.74950000000001</v>
      </c>
      <c r="CZ134" s="13">
        <f t="shared" si="12"/>
        <v>8763.4589999999989</v>
      </c>
      <c r="DA134" s="13">
        <f t="shared" si="17"/>
        <v>104</v>
      </c>
      <c r="DB134" s="13">
        <f t="shared" si="17"/>
        <v>104</v>
      </c>
      <c r="DC134" s="13">
        <f t="shared" si="17"/>
        <v>0</v>
      </c>
      <c r="DD134" s="13">
        <f t="shared" si="13"/>
        <v>2091.2069000000001</v>
      </c>
      <c r="DE134" s="13">
        <f t="shared" si="13"/>
        <v>104</v>
      </c>
      <c r="DF134" s="13">
        <f t="shared" si="13"/>
        <v>1987.2068999999999</v>
      </c>
      <c r="DG134" s="13">
        <f t="shared" si="18"/>
        <v>64</v>
      </c>
      <c r="DH134" s="13">
        <f t="shared" si="18"/>
        <v>64</v>
      </c>
      <c r="DI134" s="13">
        <f t="shared" si="18"/>
        <v>0</v>
      </c>
      <c r="DJ134" s="13">
        <f t="shared" si="14"/>
        <v>2631.3231999999998</v>
      </c>
      <c r="DK134" s="13">
        <f t="shared" si="14"/>
        <v>64</v>
      </c>
      <c r="DL134" s="13">
        <f t="shared" si="14"/>
        <v>2567.3231999999998</v>
      </c>
      <c r="DM134" s="13">
        <f t="shared" si="19"/>
        <v>64</v>
      </c>
      <c r="DN134" s="13">
        <f t="shared" si="19"/>
        <v>64</v>
      </c>
      <c r="DO134" s="13">
        <f t="shared" si="19"/>
        <v>0</v>
      </c>
      <c r="DP134" s="13">
        <f t="shared" si="15"/>
        <v>1347.6615999999999</v>
      </c>
      <c r="DQ134" s="13">
        <f t="shared" si="15"/>
        <v>64</v>
      </c>
      <c r="DR134" s="13">
        <f t="shared" si="15"/>
        <v>1283.6615999999999</v>
      </c>
      <c r="DS134" s="14" t="s">
        <v>60</v>
      </c>
      <c r="DT134" s="14" t="s">
        <v>81</v>
      </c>
      <c r="DU134" s="14" t="s">
        <v>73</v>
      </c>
      <c r="DV134" s="14" t="s">
        <v>63</v>
      </c>
      <c r="DW134" s="14" t="s">
        <v>74</v>
      </c>
    </row>
    <row r="135" spans="2:127" x14ac:dyDescent="0.3">
      <c r="B135" s="11" t="s">
        <v>65</v>
      </c>
      <c r="C135" s="14">
        <v>5007151491</v>
      </c>
      <c r="D135" s="11" t="s">
        <v>494</v>
      </c>
      <c r="E135" s="11" t="s">
        <v>395</v>
      </c>
      <c r="F135" s="11" t="s">
        <v>495</v>
      </c>
      <c r="G135" s="11" t="s">
        <v>496</v>
      </c>
      <c r="H135" s="11" t="s">
        <v>206</v>
      </c>
      <c r="I135" s="11">
        <v>11212</v>
      </c>
      <c r="J135" s="11" t="s">
        <v>80</v>
      </c>
      <c r="K135" s="11"/>
      <c r="L135" s="11"/>
      <c r="M135" s="11"/>
      <c r="N135" s="11"/>
      <c r="O135" s="13">
        <v>91</v>
      </c>
      <c r="P135" s="13">
        <v>91</v>
      </c>
      <c r="Q135" s="13">
        <v>0</v>
      </c>
      <c r="R135" s="13">
        <v>3130.0513000000001</v>
      </c>
      <c r="S135" s="13">
        <v>266.49850000000004</v>
      </c>
      <c r="T135" s="13">
        <v>2863.5527999999999</v>
      </c>
      <c r="U135" s="13">
        <v>0</v>
      </c>
      <c r="V135" s="13">
        <v>0</v>
      </c>
      <c r="W135" s="13">
        <v>0</v>
      </c>
      <c r="X135" s="13">
        <v>114.1716</v>
      </c>
      <c r="Y135" s="13">
        <v>15.4284</v>
      </c>
      <c r="Z135" s="13">
        <v>98.743200000000002</v>
      </c>
      <c r="AA135" s="13">
        <v>0</v>
      </c>
      <c r="AB135" s="13">
        <v>0</v>
      </c>
      <c r="AC135" s="13">
        <v>0</v>
      </c>
      <c r="AD135" s="13">
        <v>239.5292</v>
      </c>
      <c r="AE135" s="13">
        <v>17.356999999999999</v>
      </c>
      <c r="AF135" s="13">
        <v>222.1722</v>
      </c>
      <c r="AG135" s="13">
        <v>0</v>
      </c>
      <c r="AH135" s="13">
        <v>0</v>
      </c>
      <c r="AI135" s="13">
        <v>0</v>
      </c>
      <c r="AJ135" s="13">
        <v>207.1292</v>
      </c>
      <c r="AK135" s="13">
        <v>9.6427999999999994</v>
      </c>
      <c r="AL135" s="13">
        <v>197.4864</v>
      </c>
      <c r="AM135" s="13">
        <v>0</v>
      </c>
      <c r="AN135" s="13">
        <v>0</v>
      </c>
      <c r="AO135" s="13">
        <v>0</v>
      </c>
      <c r="AP135" s="13">
        <v>168.17189999999999</v>
      </c>
      <c r="AQ135" s="13">
        <v>7.7141999999999999</v>
      </c>
      <c r="AR135" s="13">
        <v>160.45769999999999</v>
      </c>
      <c r="AS135" s="13">
        <v>31</v>
      </c>
      <c r="AT135" s="13">
        <v>31</v>
      </c>
      <c r="AU135" s="13">
        <v>0</v>
      </c>
      <c r="AV135" s="13">
        <v>270.5292</v>
      </c>
      <c r="AW135" s="13">
        <v>48.356999999999999</v>
      </c>
      <c r="AX135" s="13">
        <v>222.1722</v>
      </c>
      <c r="AY135" s="13">
        <v>40</v>
      </c>
      <c r="AZ135" s="13">
        <v>40</v>
      </c>
      <c r="BA135" s="13">
        <v>0</v>
      </c>
      <c r="BB135" s="13">
        <v>254.8434</v>
      </c>
      <c r="BC135" s="13">
        <v>57.356999999999999</v>
      </c>
      <c r="BD135" s="13">
        <v>197.4864</v>
      </c>
      <c r="BE135" s="13">
        <v>10</v>
      </c>
      <c r="BF135" s="13">
        <v>10</v>
      </c>
      <c r="BG135" s="13">
        <v>0</v>
      </c>
      <c r="BH135" s="13">
        <v>249.5292</v>
      </c>
      <c r="BI135" s="13">
        <v>27.356999999999999</v>
      </c>
      <c r="BJ135" s="13">
        <v>222.1722</v>
      </c>
      <c r="BK135" s="13">
        <v>10</v>
      </c>
      <c r="BL135" s="13">
        <v>10</v>
      </c>
      <c r="BM135" s="13">
        <v>0</v>
      </c>
      <c r="BN135" s="13">
        <v>315.10079999999999</v>
      </c>
      <c r="BO135" s="13">
        <v>31.214099999999998</v>
      </c>
      <c r="BP135" s="13">
        <v>283.88670000000002</v>
      </c>
      <c r="BQ135" s="13">
        <v>0</v>
      </c>
      <c r="BR135" s="13">
        <v>0</v>
      </c>
      <c r="BS135" s="13">
        <v>0</v>
      </c>
      <c r="BT135" s="13">
        <v>275.78640000000001</v>
      </c>
      <c r="BU135" s="13">
        <v>28.9284</v>
      </c>
      <c r="BV135" s="13">
        <v>246.858</v>
      </c>
      <c r="BW135" s="13">
        <v>0</v>
      </c>
      <c r="BX135" s="13">
        <v>0</v>
      </c>
      <c r="BY135" s="13">
        <v>0</v>
      </c>
      <c r="BZ135" s="13">
        <v>303.94380000000001</v>
      </c>
      <c r="CA135" s="13">
        <v>7.7141999999999999</v>
      </c>
      <c r="CB135" s="13">
        <v>296.2296</v>
      </c>
      <c r="CC135" s="13">
        <v>0</v>
      </c>
      <c r="CD135" s="13">
        <v>0</v>
      </c>
      <c r="CE135" s="13">
        <v>0</v>
      </c>
      <c r="CF135" s="13">
        <v>311.65800000000002</v>
      </c>
      <c r="CG135" s="13">
        <v>15.4284</v>
      </c>
      <c r="CH135" s="13">
        <v>296.2296</v>
      </c>
      <c r="CI135" s="13">
        <v>0</v>
      </c>
      <c r="CJ135" s="13">
        <v>0</v>
      </c>
      <c r="CK135" s="13">
        <v>0</v>
      </c>
      <c r="CL135" s="13">
        <v>209.82929999999999</v>
      </c>
      <c r="CM135" s="13">
        <v>0</v>
      </c>
      <c r="CN135" s="13">
        <v>209.82929999999999</v>
      </c>
      <c r="CO135" s="13">
        <v>0</v>
      </c>
      <c r="CP135" s="13">
        <v>0</v>
      </c>
      <c r="CQ135" s="13">
        <v>0</v>
      </c>
      <c r="CR135" s="13">
        <v>209.82929999999999</v>
      </c>
      <c r="CS135" s="13">
        <v>0</v>
      </c>
      <c r="CT135" s="13">
        <v>209.82929999999999</v>
      </c>
      <c r="CU135" s="13">
        <f t="shared" si="16"/>
        <v>91</v>
      </c>
      <c r="CV135" s="13">
        <f t="shared" si="16"/>
        <v>91</v>
      </c>
      <c r="CW135" s="13">
        <f t="shared" si="16"/>
        <v>0</v>
      </c>
      <c r="CX135" s="13">
        <f t="shared" si="12"/>
        <v>3015.8796999999995</v>
      </c>
      <c r="CY135" s="13">
        <f t="shared" si="12"/>
        <v>251.07010000000002</v>
      </c>
      <c r="CZ135" s="13">
        <f t="shared" si="12"/>
        <v>2764.8095999999996</v>
      </c>
      <c r="DA135" s="13">
        <f t="shared" si="17"/>
        <v>0</v>
      </c>
      <c r="DB135" s="13">
        <f t="shared" si="17"/>
        <v>0</v>
      </c>
      <c r="DC135" s="13">
        <f t="shared" si="17"/>
        <v>0</v>
      </c>
      <c r="DD135" s="13">
        <f t="shared" si="13"/>
        <v>731.31659999999999</v>
      </c>
      <c r="DE135" s="13">
        <f t="shared" si="13"/>
        <v>15.4284</v>
      </c>
      <c r="DF135" s="13">
        <f t="shared" si="13"/>
        <v>715.88819999999998</v>
      </c>
      <c r="DG135" s="13">
        <f t="shared" si="18"/>
        <v>10</v>
      </c>
      <c r="DH135" s="13">
        <f t="shared" si="18"/>
        <v>10</v>
      </c>
      <c r="DI135" s="13">
        <f t="shared" si="18"/>
        <v>0</v>
      </c>
      <c r="DJ135" s="13">
        <f t="shared" si="14"/>
        <v>894.83100000000002</v>
      </c>
      <c r="DK135" s="13">
        <f t="shared" si="14"/>
        <v>67.856700000000004</v>
      </c>
      <c r="DL135" s="13">
        <f t="shared" si="14"/>
        <v>826.97429999999997</v>
      </c>
      <c r="DM135" s="13">
        <f t="shared" si="19"/>
        <v>0</v>
      </c>
      <c r="DN135" s="13">
        <f t="shared" si="19"/>
        <v>0</v>
      </c>
      <c r="DO135" s="13">
        <f t="shared" si="19"/>
        <v>0</v>
      </c>
      <c r="DP135" s="13">
        <f t="shared" si="15"/>
        <v>419.65859999999998</v>
      </c>
      <c r="DQ135" s="13">
        <f t="shared" si="15"/>
        <v>0</v>
      </c>
      <c r="DR135" s="13">
        <f t="shared" si="15"/>
        <v>419.65859999999998</v>
      </c>
      <c r="DS135" s="14" t="s">
        <v>60</v>
      </c>
      <c r="DT135" s="14" t="s">
        <v>81</v>
      </c>
      <c r="DU135" s="14" t="s">
        <v>73</v>
      </c>
      <c r="DV135" s="14" t="s">
        <v>82</v>
      </c>
      <c r="DW135" s="14" t="s">
        <v>74</v>
      </c>
    </row>
    <row r="136" spans="2:127" x14ac:dyDescent="0.3">
      <c r="B136" s="11" t="s">
        <v>83</v>
      </c>
      <c r="C136" s="14">
        <v>5007152088</v>
      </c>
      <c r="D136" s="11" t="s">
        <v>497</v>
      </c>
      <c r="E136" s="11" t="s">
        <v>395</v>
      </c>
      <c r="F136" s="11" t="s">
        <v>498</v>
      </c>
      <c r="G136" s="11" t="s">
        <v>141</v>
      </c>
      <c r="H136" s="11" t="s">
        <v>137</v>
      </c>
      <c r="I136" s="11">
        <v>78215</v>
      </c>
      <c r="J136" s="11" t="s">
        <v>70</v>
      </c>
      <c r="K136" s="11"/>
      <c r="L136" s="11"/>
      <c r="M136" s="11"/>
      <c r="N136" s="11"/>
      <c r="O136" s="13">
        <v>469</v>
      </c>
      <c r="P136" s="13">
        <v>213</v>
      </c>
      <c r="Q136" s="13">
        <v>256</v>
      </c>
      <c r="R136" s="13">
        <v>7672.4314000000004</v>
      </c>
      <c r="S136" s="13">
        <v>331.60680000000002</v>
      </c>
      <c r="T136" s="13">
        <v>7340.8245999999999</v>
      </c>
      <c r="U136" s="13">
        <v>18</v>
      </c>
      <c r="V136" s="13">
        <v>18</v>
      </c>
      <c r="W136" s="13">
        <v>0</v>
      </c>
      <c r="X136" s="13">
        <v>507.28019999999998</v>
      </c>
      <c r="Y136" s="13">
        <v>38.25</v>
      </c>
      <c r="Z136" s="13">
        <v>469.03019999999998</v>
      </c>
      <c r="AA136" s="13">
        <v>27</v>
      </c>
      <c r="AB136" s="13">
        <v>27</v>
      </c>
      <c r="AC136" s="13">
        <v>0</v>
      </c>
      <c r="AD136" s="13">
        <v>708.94510000000002</v>
      </c>
      <c r="AE136" s="13">
        <v>42.4285</v>
      </c>
      <c r="AF136" s="13">
        <v>666.51660000000004</v>
      </c>
      <c r="AG136" s="13">
        <v>9</v>
      </c>
      <c r="AH136" s="13">
        <v>9</v>
      </c>
      <c r="AI136" s="13">
        <v>0</v>
      </c>
      <c r="AJ136" s="13">
        <v>401.27270000000004</v>
      </c>
      <c r="AK136" s="13">
        <v>18.642800000000001</v>
      </c>
      <c r="AL136" s="13">
        <v>382.62990000000002</v>
      </c>
      <c r="AM136" s="13">
        <v>0</v>
      </c>
      <c r="AN136" s="13">
        <v>0</v>
      </c>
      <c r="AO136" s="13">
        <v>0</v>
      </c>
      <c r="AP136" s="13">
        <v>394.97280000000001</v>
      </c>
      <c r="AQ136" s="13">
        <v>0</v>
      </c>
      <c r="AR136" s="13">
        <v>394.97280000000001</v>
      </c>
      <c r="AS136" s="13">
        <v>18</v>
      </c>
      <c r="AT136" s="13">
        <v>18</v>
      </c>
      <c r="AU136" s="13">
        <v>0</v>
      </c>
      <c r="AV136" s="13">
        <v>608.9162</v>
      </c>
      <c r="AW136" s="13">
        <v>41.142800000000001</v>
      </c>
      <c r="AX136" s="13">
        <v>567.77340000000004</v>
      </c>
      <c r="AY136" s="13">
        <v>18</v>
      </c>
      <c r="AZ136" s="13">
        <v>18</v>
      </c>
      <c r="BA136" s="13">
        <v>0</v>
      </c>
      <c r="BB136" s="13">
        <v>610.45920000000001</v>
      </c>
      <c r="BC136" s="13">
        <v>18</v>
      </c>
      <c r="BD136" s="13">
        <v>592.45920000000001</v>
      </c>
      <c r="BE136" s="13">
        <v>18</v>
      </c>
      <c r="BF136" s="13">
        <v>18</v>
      </c>
      <c r="BG136" s="13">
        <v>0</v>
      </c>
      <c r="BH136" s="13">
        <v>561.28039999999999</v>
      </c>
      <c r="BI136" s="13">
        <v>30.535699999999999</v>
      </c>
      <c r="BJ136" s="13">
        <v>530.74469999999997</v>
      </c>
      <c r="BK136" s="13">
        <v>27</v>
      </c>
      <c r="BL136" s="13">
        <v>27</v>
      </c>
      <c r="BM136" s="13">
        <v>0</v>
      </c>
      <c r="BN136" s="13">
        <v>767.57399999999996</v>
      </c>
      <c r="BO136" s="13">
        <v>27</v>
      </c>
      <c r="BP136" s="13">
        <v>740.57399999999996</v>
      </c>
      <c r="BQ136" s="13">
        <v>18</v>
      </c>
      <c r="BR136" s="13">
        <v>18</v>
      </c>
      <c r="BS136" s="13">
        <v>0</v>
      </c>
      <c r="BT136" s="13">
        <v>605.05900000000008</v>
      </c>
      <c r="BU136" s="13">
        <v>37.285600000000002</v>
      </c>
      <c r="BV136" s="13">
        <v>567.77340000000004</v>
      </c>
      <c r="BW136" s="13">
        <v>18</v>
      </c>
      <c r="BX136" s="13">
        <v>18</v>
      </c>
      <c r="BY136" s="13">
        <v>0</v>
      </c>
      <c r="BZ136" s="13">
        <v>610.45920000000001</v>
      </c>
      <c r="CA136" s="13">
        <v>18</v>
      </c>
      <c r="CB136" s="13">
        <v>592.45920000000001</v>
      </c>
      <c r="CC136" s="13">
        <v>42</v>
      </c>
      <c r="CD136" s="13">
        <v>42</v>
      </c>
      <c r="CE136" s="13">
        <v>0</v>
      </c>
      <c r="CF136" s="13">
        <v>670.71640000000002</v>
      </c>
      <c r="CG136" s="13">
        <v>53.571399999999997</v>
      </c>
      <c r="CH136" s="13">
        <v>617.14499999999998</v>
      </c>
      <c r="CI136" s="13">
        <v>64</v>
      </c>
      <c r="CJ136" s="13">
        <v>0</v>
      </c>
      <c r="CK136" s="13">
        <v>64</v>
      </c>
      <c r="CL136" s="13">
        <v>458.97280000000001</v>
      </c>
      <c r="CM136" s="13">
        <v>0</v>
      </c>
      <c r="CN136" s="13">
        <v>458.97280000000001</v>
      </c>
      <c r="CO136" s="13">
        <v>192</v>
      </c>
      <c r="CP136" s="13">
        <v>0</v>
      </c>
      <c r="CQ136" s="13">
        <v>192</v>
      </c>
      <c r="CR136" s="13">
        <v>766.52340000000004</v>
      </c>
      <c r="CS136" s="13">
        <v>6.75</v>
      </c>
      <c r="CT136" s="13">
        <v>759.77340000000004</v>
      </c>
      <c r="CU136" s="13">
        <f t="shared" si="16"/>
        <v>451</v>
      </c>
      <c r="CV136" s="13">
        <f t="shared" si="16"/>
        <v>195</v>
      </c>
      <c r="CW136" s="13">
        <f t="shared" si="16"/>
        <v>256</v>
      </c>
      <c r="CX136" s="13">
        <f t="shared" si="12"/>
        <v>7165.1512000000002</v>
      </c>
      <c r="CY136" s="13">
        <f t="shared" si="12"/>
        <v>293.35679999999996</v>
      </c>
      <c r="CZ136" s="13">
        <f t="shared" si="12"/>
        <v>6871.7943999999989</v>
      </c>
      <c r="DA136" s="13">
        <f t="shared" si="17"/>
        <v>298</v>
      </c>
      <c r="DB136" s="13">
        <f t="shared" si="17"/>
        <v>42</v>
      </c>
      <c r="DC136" s="13">
        <f t="shared" si="17"/>
        <v>256</v>
      </c>
      <c r="DD136" s="13">
        <f t="shared" si="13"/>
        <v>1896.2126000000001</v>
      </c>
      <c r="DE136" s="13">
        <f t="shared" si="13"/>
        <v>60.321399999999997</v>
      </c>
      <c r="DF136" s="13">
        <f t="shared" si="13"/>
        <v>1835.8912</v>
      </c>
      <c r="DG136" s="13">
        <f t="shared" si="18"/>
        <v>63</v>
      </c>
      <c r="DH136" s="13">
        <f t="shared" si="18"/>
        <v>63</v>
      </c>
      <c r="DI136" s="13">
        <f t="shared" si="18"/>
        <v>0</v>
      </c>
      <c r="DJ136" s="13">
        <f t="shared" si="14"/>
        <v>1983.0922</v>
      </c>
      <c r="DK136" s="13">
        <f t="shared" si="14"/>
        <v>82.285600000000002</v>
      </c>
      <c r="DL136" s="13">
        <f t="shared" si="14"/>
        <v>1900.8066000000001</v>
      </c>
      <c r="DM136" s="13">
        <f t="shared" si="19"/>
        <v>256</v>
      </c>
      <c r="DN136" s="13">
        <f t="shared" si="19"/>
        <v>0</v>
      </c>
      <c r="DO136" s="13">
        <f t="shared" si="19"/>
        <v>256</v>
      </c>
      <c r="DP136" s="13">
        <f t="shared" si="15"/>
        <v>1225.4962</v>
      </c>
      <c r="DQ136" s="13">
        <f t="shared" si="15"/>
        <v>6.75</v>
      </c>
      <c r="DR136" s="13">
        <f t="shared" si="15"/>
        <v>1218.7462</v>
      </c>
      <c r="DS136" s="14" t="s">
        <v>71</v>
      </c>
      <c r="DT136" s="14" t="s">
        <v>125</v>
      </c>
      <c r="DU136" s="14" t="s">
        <v>73</v>
      </c>
      <c r="DV136" s="14" t="s">
        <v>63</v>
      </c>
      <c r="DW136" s="14" t="s">
        <v>74</v>
      </c>
    </row>
    <row r="137" spans="2:127" x14ac:dyDescent="0.3">
      <c r="B137" s="11" t="s">
        <v>75</v>
      </c>
      <c r="C137" s="14">
        <v>5007555658</v>
      </c>
      <c r="D137" s="11" t="s">
        <v>499</v>
      </c>
      <c r="E137" s="11" t="s">
        <v>395</v>
      </c>
      <c r="F137" s="11" t="s">
        <v>500</v>
      </c>
      <c r="G137" s="11" t="s">
        <v>501</v>
      </c>
      <c r="H137" s="11" t="s">
        <v>220</v>
      </c>
      <c r="I137" s="11">
        <v>28078</v>
      </c>
      <c r="J137" s="11" t="s">
        <v>109</v>
      </c>
      <c r="K137" s="11"/>
      <c r="L137" s="11"/>
      <c r="M137" s="11"/>
      <c r="N137" s="11"/>
      <c r="O137" s="13">
        <v>886</v>
      </c>
      <c r="P137" s="13">
        <v>886</v>
      </c>
      <c r="Q137" s="13">
        <v>0</v>
      </c>
      <c r="R137" s="13">
        <v>4055.5958999999998</v>
      </c>
      <c r="S137" s="13">
        <v>3870.4524000000001</v>
      </c>
      <c r="T137" s="13">
        <v>185.14349999999999</v>
      </c>
      <c r="U137" s="13">
        <v>92</v>
      </c>
      <c r="V137" s="13">
        <v>92</v>
      </c>
      <c r="W137" s="13">
        <v>0</v>
      </c>
      <c r="X137" s="13">
        <v>205.5932</v>
      </c>
      <c r="Y137" s="13">
        <v>193.25029999999998</v>
      </c>
      <c r="Z137" s="13">
        <v>12.3429</v>
      </c>
      <c r="AA137" s="13">
        <v>66</v>
      </c>
      <c r="AB137" s="13">
        <v>66</v>
      </c>
      <c r="AC137" s="13">
        <v>0</v>
      </c>
      <c r="AD137" s="13">
        <v>338.69909999999999</v>
      </c>
      <c r="AE137" s="13">
        <v>326.3562</v>
      </c>
      <c r="AF137" s="13">
        <v>12.3429</v>
      </c>
      <c r="AG137" s="13">
        <v>63</v>
      </c>
      <c r="AH137" s="13">
        <v>63</v>
      </c>
      <c r="AI137" s="13">
        <v>0</v>
      </c>
      <c r="AJ137" s="13">
        <v>300.98500000000001</v>
      </c>
      <c r="AK137" s="13">
        <v>288.64210000000003</v>
      </c>
      <c r="AL137" s="13">
        <v>12.3429</v>
      </c>
      <c r="AM137" s="13">
        <v>57</v>
      </c>
      <c r="AN137" s="13">
        <v>57</v>
      </c>
      <c r="AO137" s="13">
        <v>0</v>
      </c>
      <c r="AP137" s="13">
        <v>249.85659999999999</v>
      </c>
      <c r="AQ137" s="13">
        <v>249.85659999999999</v>
      </c>
      <c r="AR137" s="13">
        <v>0</v>
      </c>
      <c r="AS137" s="13">
        <v>46</v>
      </c>
      <c r="AT137" s="13">
        <v>46</v>
      </c>
      <c r="AU137" s="13">
        <v>0</v>
      </c>
      <c r="AV137" s="13">
        <v>284.17759999999998</v>
      </c>
      <c r="AW137" s="13">
        <v>284.17759999999998</v>
      </c>
      <c r="AX137" s="13">
        <v>0</v>
      </c>
      <c r="AY137" s="13">
        <v>69</v>
      </c>
      <c r="AZ137" s="13">
        <v>69</v>
      </c>
      <c r="BA137" s="13">
        <v>0</v>
      </c>
      <c r="BB137" s="13">
        <v>287.89260000000002</v>
      </c>
      <c r="BC137" s="13">
        <v>287.89260000000002</v>
      </c>
      <c r="BD137" s="13">
        <v>0</v>
      </c>
      <c r="BE137" s="13">
        <v>58</v>
      </c>
      <c r="BF137" s="13">
        <v>58</v>
      </c>
      <c r="BG137" s="13">
        <v>0</v>
      </c>
      <c r="BH137" s="13">
        <v>236.3921</v>
      </c>
      <c r="BI137" s="13">
        <v>236.3921</v>
      </c>
      <c r="BJ137" s="13">
        <v>0</v>
      </c>
      <c r="BK137" s="13">
        <v>52</v>
      </c>
      <c r="BL137" s="13">
        <v>52</v>
      </c>
      <c r="BM137" s="13">
        <v>0</v>
      </c>
      <c r="BN137" s="13">
        <v>343.21319999999997</v>
      </c>
      <c r="BO137" s="13">
        <v>343.21319999999997</v>
      </c>
      <c r="BP137" s="13">
        <v>0</v>
      </c>
      <c r="BQ137" s="13">
        <v>82</v>
      </c>
      <c r="BR137" s="13">
        <v>82</v>
      </c>
      <c r="BS137" s="13">
        <v>0</v>
      </c>
      <c r="BT137" s="13">
        <v>400.79219999999998</v>
      </c>
      <c r="BU137" s="13">
        <v>376.10640000000001</v>
      </c>
      <c r="BV137" s="13">
        <v>24.6858</v>
      </c>
      <c r="BW137" s="13">
        <v>70</v>
      </c>
      <c r="BX137" s="13">
        <v>70</v>
      </c>
      <c r="BY137" s="13">
        <v>0</v>
      </c>
      <c r="BZ137" s="13">
        <v>261.12189999999998</v>
      </c>
      <c r="CA137" s="13">
        <v>211.75030000000001</v>
      </c>
      <c r="CB137" s="13">
        <v>49.371600000000001</v>
      </c>
      <c r="CC137" s="13">
        <v>86</v>
      </c>
      <c r="CD137" s="13">
        <v>86</v>
      </c>
      <c r="CE137" s="13">
        <v>0</v>
      </c>
      <c r="CF137" s="13">
        <v>527.8338</v>
      </c>
      <c r="CG137" s="13">
        <v>478.4622</v>
      </c>
      <c r="CH137" s="13">
        <v>49.371600000000001</v>
      </c>
      <c r="CI137" s="13">
        <v>73</v>
      </c>
      <c r="CJ137" s="13">
        <v>73</v>
      </c>
      <c r="CK137" s="13">
        <v>0</v>
      </c>
      <c r="CL137" s="13">
        <v>283.7912</v>
      </c>
      <c r="CM137" s="13">
        <v>259.10540000000003</v>
      </c>
      <c r="CN137" s="13">
        <v>24.6858</v>
      </c>
      <c r="CO137" s="13">
        <v>72</v>
      </c>
      <c r="CP137" s="13">
        <v>72</v>
      </c>
      <c r="CQ137" s="13">
        <v>0</v>
      </c>
      <c r="CR137" s="13">
        <v>335.24740000000003</v>
      </c>
      <c r="CS137" s="13">
        <v>335.24740000000003</v>
      </c>
      <c r="CT137" s="13">
        <v>0</v>
      </c>
      <c r="CU137" s="13">
        <f t="shared" si="16"/>
        <v>794</v>
      </c>
      <c r="CV137" s="13">
        <f t="shared" si="16"/>
        <v>794</v>
      </c>
      <c r="CW137" s="13">
        <f t="shared" si="16"/>
        <v>0</v>
      </c>
      <c r="CX137" s="13">
        <f t="shared" si="12"/>
        <v>3850.0027000000005</v>
      </c>
      <c r="CY137" s="13">
        <f t="shared" si="12"/>
        <v>3677.2021</v>
      </c>
      <c r="CZ137" s="13">
        <f t="shared" si="12"/>
        <v>172.8006</v>
      </c>
      <c r="DA137" s="13">
        <f t="shared" si="17"/>
        <v>231</v>
      </c>
      <c r="DB137" s="13">
        <f t="shared" si="17"/>
        <v>231</v>
      </c>
      <c r="DC137" s="13">
        <f t="shared" si="17"/>
        <v>0</v>
      </c>
      <c r="DD137" s="13">
        <f t="shared" si="13"/>
        <v>1146.8724</v>
      </c>
      <c r="DE137" s="13">
        <f t="shared" si="13"/>
        <v>1072.8150000000001</v>
      </c>
      <c r="DF137" s="13">
        <f t="shared" si="13"/>
        <v>74.057400000000001</v>
      </c>
      <c r="DG137" s="13">
        <f t="shared" si="18"/>
        <v>204</v>
      </c>
      <c r="DH137" s="13">
        <f t="shared" si="18"/>
        <v>204</v>
      </c>
      <c r="DI137" s="13">
        <f t="shared" si="18"/>
        <v>0</v>
      </c>
      <c r="DJ137" s="13">
        <f t="shared" si="14"/>
        <v>1005.1273</v>
      </c>
      <c r="DK137" s="13">
        <f t="shared" si="14"/>
        <v>931.06990000000008</v>
      </c>
      <c r="DL137" s="13">
        <f t="shared" si="14"/>
        <v>74.057400000000001</v>
      </c>
      <c r="DM137" s="13">
        <f t="shared" si="19"/>
        <v>145</v>
      </c>
      <c r="DN137" s="13">
        <f t="shared" si="19"/>
        <v>145</v>
      </c>
      <c r="DO137" s="13">
        <f t="shared" si="19"/>
        <v>0</v>
      </c>
      <c r="DP137" s="13">
        <f t="shared" si="15"/>
        <v>619.03860000000009</v>
      </c>
      <c r="DQ137" s="13">
        <f t="shared" si="15"/>
        <v>594.35280000000012</v>
      </c>
      <c r="DR137" s="13">
        <f t="shared" si="15"/>
        <v>24.6858</v>
      </c>
      <c r="DS137" s="14" t="s">
        <v>60</v>
      </c>
      <c r="DT137" s="14" t="s">
        <v>81</v>
      </c>
      <c r="DU137" s="14" t="s">
        <v>73</v>
      </c>
      <c r="DV137" s="14" t="s">
        <v>63</v>
      </c>
      <c r="DW137" s="14" t="s">
        <v>74</v>
      </c>
    </row>
    <row r="138" spans="2:127" x14ac:dyDescent="0.3">
      <c r="B138" s="11" t="s">
        <v>75</v>
      </c>
      <c r="C138" s="14">
        <v>5007724358</v>
      </c>
      <c r="D138" s="11" t="s">
        <v>502</v>
      </c>
      <c r="E138" s="11" t="s">
        <v>395</v>
      </c>
      <c r="F138" s="11" t="s">
        <v>503</v>
      </c>
      <c r="G138" s="11" t="s">
        <v>504</v>
      </c>
      <c r="H138" s="11" t="s">
        <v>104</v>
      </c>
      <c r="I138" s="11">
        <v>34952</v>
      </c>
      <c r="J138" s="11" t="s">
        <v>109</v>
      </c>
      <c r="K138" s="11"/>
      <c r="L138" s="11"/>
      <c r="M138" s="11"/>
      <c r="N138" s="11"/>
      <c r="O138" s="13">
        <v>173</v>
      </c>
      <c r="P138" s="13">
        <v>173</v>
      </c>
      <c r="Q138" s="13">
        <v>0</v>
      </c>
      <c r="R138" s="13">
        <v>11789.5957</v>
      </c>
      <c r="S138" s="13">
        <v>360.07029999999997</v>
      </c>
      <c r="T138" s="13">
        <v>11429.5254</v>
      </c>
      <c r="U138" s="13">
        <v>16</v>
      </c>
      <c r="V138" s="13">
        <v>16</v>
      </c>
      <c r="W138" s="13">
        <v>0</v>
      </c>
      <c r="X138" s="13">
        <v>842.58839999999998</v>
      </c>
      <c r="Y138" s="13">
        <v>52.642800000000001</v>
      </c>
      <c r="Z138" s="13">
        <v>789.94560000000001</v>
      </c>
      <c r="AA138" s="13">
        <v>16</v>
      </c>
      <c r="AB138" s="13">
        <v>16</v>
      </c>
      <c r="AC138" s="13">
        <v>0</v>
      </c>
      <c r="AD138" s="13">
        <v>954.44579999999996</v>
      </c>
      <c r="AE138" s="13">
        <v>41.071200000000005</v>
      </c>
      <c r="AF138" s="13">
        <v>913.37459999999999</v>
      </c>
      <c r="AG138" s="13">
        <v>16</v>
      </c>
      <c r="AH138" s="13">
        <v>16</v>
      </c>
      <c r="AI138" s="13">
        <v>0</v>
      </c>
      <c r="AJ138" s="13">
        <v>855.50990000000002</v>
      </c>
      <c r="AK138" s="13">
        <v>28.535600000000002</v>
      </c>
      <c r="AL138" s="13">
        <v>826.97429999999997</v>
      </c>
      <c r="AM138" s="13">
        <v>16</v>
      </c>
      <c r="AN138" s="13">
        <v>16</v>
      </c>
      <c r="AO138" s="13">
        <v>0</v>
      </c>
      <c r="AP138" s="13">
        <v>818.2885</v>
      </c>
      <c r="AQ138" s="13">
        <v>16</v>
      </c>
      <c r="AR138" s="13">
        <v>802.2885</v>
      </c>
      <c r="AS138" s="13">
        <v>16</v>
      </c>
      <c r="AT138" s="13">
        <v>16</v>
      </c>
      <c r="AU138" s="13">
        <v>0</v>
      </c>
      <c r="AV138" s="13">
        <v>917.22440000000006</v>
      </c>
      <c r="AW138" s="13">
        <v>28.535600000000002</v>
      </c>
      <c r="AX138" s="13">
        <v>888.68880000000001</v>
      </c>
      <c r="AY138" s="13">
        <v>16</v>
      </c>
      <c r="AZ138" s="13">
        <v>16</v>
      </c>
      <c r="BA138" s="13">
        <v>0</v>
      </c>
      <c r="BB138" s="13">
        <v>855.50990000000002</v>
      </c>
      <c r="BC138" s="13">
        <v>28.535600000000002</v>
      </c>
      <c r="BD138" s="13">
        <v>826.97429999999997</v>
      </c>
      <c r="BE138" s="13">
        <v>0</v>
      </c>
      <c r="BF138" s="13">
        <v>0</v>
      </c>
      <c r="BG138" s="13">
        <v>0</v>
      </c>
      <c r="BH138" s="13">
        <v>802.48120000000006</v>
      </c>
      <c r="BI138" s="13">
        <v>12.535600000000001</v>
      </c>
      <c r="BJ138" s="13">
        <v>789.94560000000001</v>
      </c>
      <c r="BK138" s="13">
        <v>30</v>
      </c>
      <c r="BL138" s="13">
        <v>30</v>
      </c>
      <c r="BM138" s="13">
        <v>0</v>
      </c>
      <c r="BN138" s="13">
        <v>980.78899999999999</v>
      </c>
      <c r="BO138" s="13">
        <v>55.0715</v>
      </c>
      <c r="BP138" s="13">
        <v>925.71749999999997</v>
      </c>
      <c r="BQ138" s="13">
        <v>16</v>
      </c>
      <c r="BR138" s="13">
        <v>16</v>
      </c>
      <c r="BS138" s="13">
        <v>0</v>
      </c>
      <c r="BT138" s="13">
        <v>1052.9963</v>
      </c>
      <c r="BU138" s="13">
        <v>28.535600000000002</v>
      </c>
      <c r="BV138" s="13">
        <v>1024.4607000000001</v>
      </c>
      <c r="BW138" s="13">
        <v>15</v>
      </c>
      <c r="BX138" s="13">
        <v>15</v>
      </c>
      <c r="BY138" s="13">
        <v>0</v>
      </c>
      <c r="BZ138" s="13">
        <v>854.31719999999996</v>
      </c>
      <c r="CA138" s="13">
        <v>15</v>
      </c>
      <c r="CB138" s="13">
        <v>839.31719999999996</v>
      </c>
      <c r="CC138" s="13">
        <v>0</v>
      </c>
      <c r="CD138" s="13">
        <v>0</v>
      </c>
      <c r="CE138" s="13">
        <v>0</v>
      </c>
      <c r="CF138" s="13">
        <v>999.96760000000006</v>
      </c>
      <c r="CG138" s="13">
        <v>12.535600000000001</v>
      </c>
      <c r="CH138" s="13">
        <v>987.43200000000002</v>
      </c>
      <c r="CI138" s="13">
        <v>16</v>
      </c>
      <c r="CJ138" s="13">
        <v>16</v>
      </c>
      <c r="CK138" s="13">
        <v>0</v>
      </c>
      <c r="CL138" s="13">
        <v>954.25310000000002</v>
      </c>
      <c r="CM138" s="13">
        <v>28.535600000000002</v>
      </c>
      <c r="CN138" s="13">
        <v>925.71749999999997</v>
      </c>
      <c r="CO138" s="13">
        <v>0</v>
      </c>
      <c r="CP138" s="13">
        <v>0</v>
      </c>
      <c r="CQ138" s="13">
        <v>0</v>
      </c>
      <c r="CR138" s="13">
        <v>901.22440000000006</v>
      </c>
      <c r="CS138" s="13">
        <v>12.535600000000001</v>
      </c>
      <c r="CT138" s="13">
        <v>888.68880000000001</v>
      </c>
      <c r="CU138" s="13">
        <f t="shared" si="16"/>
        <v>157</v>
      </c>
      <c r="CV138" s="13">
        <f t="shared" si="16"/>
        <v>157</v>
      </c>
      <c r="CW138" s="13">
        <f t="shared" si="16"/>
        <v>0</v>
      </c>
      <c r="CX138" s="13">
        <f t="shared" si="12"/>
        <v>10947.007300000001</v>
      </c>
      <c r="CY138" s="13">
        <f t="shared" si="12"/>
        <v>307.42749999999995</v>
      </c>
      <c r="CZ138" s="13">
        <f t="shared" si="12"/>
        <v>10639.579800000001</v>
      </c>
      <c r="DA138" s="13">
        <f t="shared" si="17"/>
        <v>16</v>
      </c>
      <c r="DB138" s="13">
        <f t="shared" si="17"/>
        <v>16</v>
      </c>
      <c r="DC138" s="13">
        <f t="shared" si="17"/>
        <v>0</v>
      </c>
      <c r="DD138" s="13">
        <f t="shared" si="13"/>
        <v>2855.4450999999999</v>
      </c>
      <c r="DE138" s="13">
        <f t="shared" si="13"/>
        <v>53.606800000000007</v>
      </c>
      <c r="DF138" s="13">
        <f t="shared" si="13"/>
        <v>2801.8382999999999</v>
      </c>
      <c r="DG138" s="13">
        <f t="shared" si="18"/>
        <v>61</v>
      </c>
      <c r="DH138" s="13">
        <f t="shared" si="18"/>
        <v>61</v>
      </c>
      <c r="DI138" s="13">
        <f t="shared" si="18"/>
        <v>0</v>
      </c>
      <c r="DJ138" s="13">
        <f t="shared" si="14"/>
        <v>2888.1025</v>
      </c>
      <c r="DK138" s="13">
        <f t="shared" si="14"/>
        <v>98.607100000000003</v>
      </c>
      <c r="DL138" s="13">
        <f t="shared" si="14"/>
        <v>2789.4953999999998</v>
      </c>
      <c r="DM138" s="13">
        <f t="shared" si="19"/>
        <v>16</v>
      </c>
      <c r="DN138" s="13">
        <f t="shared" si="19"/>
        <v>16</v>
      </c>
      <c r="DO138" s="13">
        <f t="shared" si="19"/>
        <v>0</v>
      </c>
      <c r="DP138" s="13">
        <f t="shared" si="15"/>
        <v>1855.4775</v>
      </c>
      <c r="DQ138" s="13">
        <f t="shared" si="15"/>
        <v>41.071200000000005</v>
      </c>
      <c r="DR138" s="13">
        <f t="shared" si="15"/>
        <v>1814.4063000000001</v>
      </c>
      <c r="DS138" s="14" t="s">
        <v>60</v>
      </c>
      <c r="DT138" s="14" t="s">
        <v>125</v>
      </c>
      <c r="DU138" s="14" t="s">
        <v>73</v>
      </c>
      <c r="DV138" s="14" t="s">
        <v>63</v>
      </c>
      <c r="DW138" s="14" t="s">
        <v>74</v>
      </c>
    </row>
    <row r="139" spans="2:127" x14ac:dyDescent="0.3">
      <c r="B139" s="11" t="s">
        <v>53</v>
      </c>
      <c r="C139" s="14">
        <v>5007724521</v>
      </c>
      <c r="D139" s="11" t="s">
        <v>505</v>
      </c>
      <c r="E139" s="11" t="s">
        <v>395</v>
      </c>
      <c r="F139" s="11" t="s">
        <v>506</v>
      </c>
      <c r="G139" s="11" t="s">
        <v>507</v>
      </c>
      <c r="H139" s="11" t="s">
        <v>58</v>
      </c>
      <c r="I139" s="11">
        <v>92543</v>
      </c>
      <c r="J139" s="11" t="s">
        <v>109</v>
      </c>
      <c r="K139" s="11"/>
      <c r="L139" s="11"/>
      <c r="M139" s="11"/>
      <c r="N139" s="11"/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0</v>
      </c>
      <c r="BD139" s="13">
        <v>0</v>
      </c>
      <c r="BE139" s="13">
        <v>0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0</v>
      </c>
      <c r="BM139" s="13">
        <v>0</v>
      </c>
      <c r="BN139" s="13">
        <v>0</v>
      </c>
      <c r="BO139" s="13">
        <v>0</v>
      </c>
      <c r="BP139" s="13">
        <v>0</v>
      </c>
      <c r="BQ139" s="13">
        <v>0</v>
      </c>
      <c r="BR139" s="13">
        <v>0</v>
      </c>
      <c r="BS139" s="13">
        <v>0</v>
      </c>
      <c r="BT139" s="13">
        <v>0</v>
      </c>
      <c r="BU139" s="13">
        <v>0</v>
      </c>
      <c r="BV139" s="13">
        <v>0</v>
      </c>
      <c r="BW139" s="13">
        <v>0</v>
      </c>
      <c r="BX139" s="13">
        <v>0</v>
      </c>
      <c r="BY139" s="13">
        <v>0</v>
      </c>
      <c r="BZ139" s="13">
        <v>0</v>
      </c>
      <c r="CA139" s="13">
        <v>0</v>
      </c>
      <c r="CB139" s="13">
        <v>0</v>
      </c>
      <c r="CC139" s="13">
        <v>0</v>
      </c>
      <c r="CD139" s="13">
        <v>0</v>
      </c>
      <c r="CE139" s="13">
        <v>0</v>
      </c>
      <c r="CF139" s="13">
        <v>0</v>
      </c>
      <c r="CG139" s="13">
        <v>0</v>
      </c>
      <c r="CH139" s="13">
        <v>0</v>
      </c>
      <c r="CI139" s="13">
        <v>0</v>
      </c>
      <c r="CJ139" s="13">
        <v>0</v>
      </c>
      <c r="CK139" s="13">
        <v>0</v>
      </c>
      <c r="CL139" s="13">
        <v>0</v>
      </c>
      <c r="CM139" s="13">
        <v>0</v>
      </c>
      <c r="CN139" s="13">
        <v>0</v>
      </c>
      <c r="CO139" s="13">
        <v>0</v>
      </c>
      <c r="CP139" s="13">
        <v>0</v>
      </c>
      <c r="CQ139" s="13">
        <v>0</v>
      </c>
      <c r="CR139" s="13">
        <v>0</v>
      </c>
      <c r="CS139" s="13">
        <v>0</v>
      </c>
      <c r="CT139" s="13">
        <v>0</v>
      </c>
      <c r="CU139" s="13">
        <f t="shared" si="16"/>
        <v>0</v>
      </c>
      <c r="CV139" s="13">
        <f t="shared" si="16"/>
        <v>0</v>
      </c>
      <c r="CW139" s="13">
        <f t="shared" si="16"/>
        <v>0</v>
      </c>
      <c r="CX139" s="13">
        <f t="shared" si="12"/>
        <v>0</v>
      </c>
      <c r="CY139" s="13">
        <f t="shared" si="12"/>
        <v>0</v>
      </c>
      <c r="CZ139" s="13">
        <f t="shared" si="12"/>
        <v>0</v>
      </c>
      <c r="DA139" s="13">
        <f t="shared" si="17"/>
        <v>0</v>
      </c>
      <c r="DB139" s="13">
        <f t="shared" si="17"/>
        <v>0</v>
      </c>
      <c r="DC139" s="13">
        <f t="shared" si="17"/>
        <v>0</v>
      </c>
      <c r="DD139" s="13">
        <f t="shared" si="13"/>
        <v>0</v>
      </c>
      <c r="DE139" s="13">
        <f t="shared" si="13"/>
        <v>0</v>
      </c>
      <c r="DF139" s="13">
        <f t="shared" si="13"/>
        <v>0</v>
      </c>
      <c r="DG139" s="13">
        <f t="shared" si="18"/>
        <v>0</v>
      </c>
      <c r="DH139" s="13">
        <f t="shared" si="18"/>
        <v>0</v>
      </c>
      <c r="DI139" s="13">
        <f t="shared" si="18"/>
        <v>0</v>
      </c>
      <c r="DJ139" s="13">
        <f t="shared" si="14"/>
        <v>0</v>
      </c>
      <c r="DK139" s="13">
        <f t="shared" si="14"/>
        <v>0</v>
      </c>
      <c r="DL139" s="13">
        <f t="shared" si="14"/>
        <v>0</v>
      </c>
      <c r="DM139" s="13">
        <f t="shared" si="19"/>
        <v>0</v>
      </c>
      <c r="DN139" s="13">
        <f t="shared" si="19"/>
        <v>0</v>
      </c>
      <c r="DO139" s="13">
        <f t="shared" si="19"/>
        <v>0</v>
      </c>
      <c r="DP139" s="13">
        <f t="shared" si="15"/>
        <v>0</v>
      </c>
      <c r="DQ139" s="13">
        <f t="shared" si="15"/>
        <v>0</v>
      </c>
      <c r="DR139" s="13">
        <f t="shared" si="15"/>
        <v>0</v>
      </c>
      <c r="DS139" s="14" t="s">
        <v>60</v>
      </c>
      <c r="DT139" s="14" t="s">
        <v>81</v>
      </c>
      <c r="DU139" s="14" t="s">
        <v>73</v>
      </c>
      <c r="DV139" s="14" t="s">
        <v>63</v>
      </c>
      <c r="DW139" s="14" t="s">
        <v>74</v>
      </c>
    </row>
    <row r="140" spans="2:127" x14ac:dyDescent="0.3">
      <c r="B140" s="11" t="s">
        <v>65</v>
      </c>
      <c r="C140" s="14">
        <v>5010307812</v>
      </c>
      <c r="D140" s="11" t="s">
        <v>508</v>
      </c>
      <c r="E140" s="11" t="s">
        <v>395</v>
      </c>
      <c r="F140" s="11" t="s">
        <v>509</v>
      </c>
      <c r="G140" s="11" t="s">
        <v>510</v>
      </c>
      <c r="H140" s="11" t="s">
        <v>239</v>
      </c>
      <c r="I140" s="11">
        <v>17602</v>
      </c>
      <c r="J140" s="11" t="s">
        <v>368</v>
      </c>
      <c r="K140" s="11"/>
      <c r="L140" s="11"/>
      <c r="M140" s="11"/>
      <c r="N140" s="11"/>
      <c r="O140" s="13">
        <v>0</v>
      </c>
      <c r="P140" s="13">
        <v>0</v>
      </c>
      <c r="Q140" s="13">
        <v>0</v>
      </c>
      <c r="R140" s="13">
        <v>3739.8987000000002</v>
      </c>
      <c r="S140" s="13">
        <v>0</v>
      </c>
      <c r="T140" s="13">
        <v>3739.8987000000002</v>
      </c>
      <c r="U140" s="13">
        <v>0</v>
      </c>
      <c r="V140" s="13">
        <v>0</v>
      </c>
      <c r="W140" s="13">
        <v>0</v>
      </c>
      <c r="X140" s="13">
        <v>222.1722</v>
      </c>
      <c r="Y140" s="13">
        <v>0</v>
      </c>
      <c r="Z140" s="13">
        <v>222.1722</v>
      </c>
      <c r="AA140" s="13">
        <v>0</v>
      </c>
      <c r="AB140" s="13">
        <v>0</v>
      </c>
      <c r="AC140" s="13">
        <v>0</v>
      </c>
      <c r="AD140" s="13">
        <v>469.03019999999998</v>
      </c>
      <c r="AE140" s="13">
        <v>0</v>
      </c>
      <c r="AF140" s="13">
        <v>469.03019999999998</v>
      </c>
      <c r="AG140" s="13">
        <v>0</v>
      </c>
      <c r="AH140" s="13">
        <v>0</v>
      </c>
      <c r="AI140" s="13">
        <v>0</v>
      </c>
      <c r="AJ140" s="13">
        <v>308.57249999999999</v>
      </c>
      <c r="AK140" s="13">
        <v>0</v>
      </c>
      <c r="AL140" s="13">
        <v>308.57249999999999</v>
      </c>
      <c r="AM140" s="13">
        <v>0</v>
      </c>
      <c r="AN140" s="13">
        <v>0</v>
      </c>
      <c r="AO140" s="13">
        <v>0</v>
      </c>
      <c r="AP140" s="13">
        <v>320.91539999999998</v>
      </c>
      <c r="AQ140" s="13">
        <v>0</v>
      </c>
      <c r="AR140" s="13">
        <v>320.91539999999998</v>
      </c>
      <c r="AS140" s="13">
        <v>0</v>
      </c>
      <c r="AT140" s="13">
        <v>0</v>
      </c>
      <c r="AU140" s="13">
        <v>0</v>
      </c>
      <c r="AV140" s="13">
        <v>271.54379999999998</v>
      </c>
      <c r="AW140" s="13">
        <v>0</v>
      </c>
      <c r="AX140" s="13">
        <v>271.54379999999998</v>
      </c>
      <c r="AY140" s="13">
        <v>0</v>
      </c>
      <c r="AZ140" s="13">
        <v>0</v>
      </c>
      <c r="BA140" s="13">
        <v>0</v>
      </c>
      <c r="BB140" s="13">
        <v>209.82929999999999</v>
      </c>
      <c r="BC140" s="13">
        <v>0</v>
      </c>
      <c r="BD140" s="13">
        <v>209.82929999999999</v>
      </c>
      <c r="BE140" s="13">
        <v>0</v>
      </c>
      <c r="BF140" s="13">
        <v>0</v>
      </c>
      <c r="BG140" s="13">
        <v>0</v>
      </c>
      <c r="BH140" s="13">
        <v>185.14349999999999</v>
      </c>
      <c r="BI140" s="13">
        <v>0</v>
      </c>
      <c r="BJ140" s="13">
        <v>185.14349999999999</v>
      </c>
      <c r="BK140" s="13">
        <v>0</v>
      </c>
      <c r="BL140" s="13">
        <v>0</v>
      </c>
      <c r="BM140" s="13">
        <v>0</v>
      </c>
      <c r="BN140" s="13">
        <v>296.2296</v>
      </c>
      <c r="BO140" s="13">
        <v>0</v>
      </c>
      <c r="BP140" s="13">
        <v>296.2296</v>
      </c>
      <c r="BQ140" s="13">
        <v>0</v>
      </c>
      <c r="BR140" s="13">
        <v>0</v>
      </c>
      <c r="BS140" s="13">
        <v>0</v>
      </c>
      <c r="BT140" s="13">
        <v>296.2296</v>
      </c>
      <c r="BU140" s="13">
        <v>0</v>
      </c>
      <c r="BV140" s="13">
        <v>296.2296</v>
      </c>
      <c r="BW140" s="13">
        <v>0</v>
      </c>
      <c r="BX140" s="13">
        <v>0</v>
      </c>
      <c r="BY140" s="13">
        <v>0</v>
      </c>
      <c r="BZ140" s="13">
        <v>308.57249999999999</v>
      </c>
      <c r="CA140" s="13">
        <v>0</v>
      </c>
      <c r="CB140" s="13">
        <v>308.57249999999999</v>
      </c>
      <c r="CC140" s="13">
        <v>0</v>
      </c>
      <c r="CD140" s="13">
        <v>0</v>
      </c>
      <c r="CE140" s="13">
        <v>0</v>
      </c>
      <c r="CF140" s="13">
        <v>345.60120000000001</v>
      </c>
      <c r="CG140" s="13">
        <v>0</v>
      </c>
      <c r="CH140" s="13">
        <v>345.60120000000001</v>
      </c>
      <c r="CI140" s="13">
        <v>0</v>
      </c>
      <c r="CJ140" s="13">
        <v>0</v>
      </c>
      <c r="CK140" s="13">
        <v>0</v>
      </c>
      <c r="CL140" s="13">
        <v>283.88670000000002</v>
      </c>
      <c r="CM140" s="13">
        <v>0</v>
      </c>
      <c r="CN140" s="13">
        <v>283.88670000000002</v>
      </c>
      <c r="CO140" s="13">
        <v>0</v>
      </c>
      <c r="CP140" s="13">
        <v>0</v>
      </c>
      <c r="CQ140" s="13">
        <v>0</v>
      </c>
      <c r="CR140" s="13">
        <v>222.1722</v>
      </c>
      <c r="CS140" s="13">
        <v>0</v>
      </c>
      <c r="CT140" s="13">
        <v>222.1722</v>
      </c>
      <c r="CU140" s="13">
        <f t="shared" si="16"/>
        <v>0</v>
      </c>
      <c r="CV140" s="13">
        <f t="shared" si="16"/>
        <v>0</v>
      </c>
      <c r="CW140" s="13">
        <f t="shared" si="16"/>
        <v>0</v>
      </c>
      <c r="CX140" s="13">
        <f t="shared" si="12"/>
        <v>3517.7264999999998</v>
      </c>
      <c r="CY140" s="13">
        <f t="shared" si="12"/>
        <v>0</v>
      </c>
      <c r="CZ140" s="13">
        <f t="shared" si="12"/>
        <v>3517.7264999999998</v>
      </c>
      <c r="DA140" s="13">
        <f t="shared" si="17"/>
        <v>0</v>
      </c>
      <c r="DB140" s="13">
        <f t="shared" si="17"/>
        <v>0</v>
      </c>
      <c r="DC140" s="13">
        <f t="shared" si="17"/>
        <v>0</v>
      </c>
      <c r="DD140" s="13">
        <f t="shared" si="13"/>
        <v>851.66010000000006</v>
      </c>
      <c r="DE140" s="13">
        <f t="shared" si="13"/>
        <v>0</v>
      </c>
      <c r="DF140" s="13">
        <f t="shared" si="13"/>
        <v>851.66010000000006</v>
      </c>
      <c r="DG140" s="13">
        <f t="shared" si="18"/>
        <v>0</v>
      </c>
      <c r="DH140" s="13">
        <f t="shared" si="18"/>
        <v>0</v>
      </c>
      <c r="DI140" s="13">
        <f t="shared" si="18"/>
        <v>0</v>
      </c>
      <c r="DJ140" s="13">
        <f t="shared" si="14"/>
        <v>901.0317</v>
      </c>
      <c r="DK140" s="13">
        <f t="shared" si="14"/>
        <v>0</v>
      </c>
      <c r="DL140" s="13">
        <f t="shared" si="14"/>
        <v>901.0317</v>
      </c>
      <c r="DM140" s="13">
        <f t="shared" si="19"/>
        <v>0</v>
      </c>
      <c r="DN140" s="13">
        <f t="shared" si="19"/>
        <v>0</v>
      </c>
      <c r="DO140" s="13">
        <f t="shared" si="19"/>
        <v>0</v>
      </c>
      <c r="DP140" s="13">
        <f t="shared" si="15"/>
        <v>506.05889999999999</v>
      </c>
      <c r="DQ140" s="13">
        <f t="shared" si="15"/>
        <v>0</v>
      </c>
      <c r="DR140" s="13">
        <f t="shared" si="15"/>
        <v>506.05889999999999</v>
      </c>
      <c r="DS140" s="14" t="s">
        <v>60</v>
      </c>
      <c r="DT140" s="14" t="s">
        <v>81</v>
      </c>
      <c r="DU140" s="14" t="s">
        <v>73</v>
      </c>
      <c r="DV140" s="14" t="s">
        <v>63</v>
      </c>
      <c r="DW140" s="14" t="s">
        <v>74</v>
      </c>
    </row>
    <row r="141" spans="2:127" x14ac:dyDescent="0.3">
      <c r="B141" s="11" t="s">
        <v>53</v>
      </c>
      <c r="C141" s="14">
        <v>5010317152</v>
      </c>
      <c r="D141" s="11" t="s">
        <v>511</v>
      </c>
      <c r="E141" s="11" t="s">
        <v>395</v>
      </c>
      <c r="F141" s="11" t="s">
        <v>512</v>
      </c>
      <c r="G141" s="11" t="s">
        <v>513</v>
      </c>
      <c r="H141" s="11" t="s">
        <v>514</v>
      </c>
      <c r="I141" s="11">
        <v>82609</v>
      </c>
      <c r="J141" s="11" t="s">
        <v>70</v>
      </c>
      <c r="K141" s="11"/>
      <c r="L141" s="11"/>
      <c r="M141" s="11"/>
      <c r="N141" s="11"/>
      <c r="O141" s="13">
        <v>475</v>
      </c>
      <c r="P141" s="13">
        <v>475</v>
      </c>
      <c r="Q141" s="13">
        <v>0</v>
      </c>
      <c r="R141" s="13">
        <v>8226.3412000000008</v>
      </c>
      <c r="S141" s="13">
        <v>475</v>
      </c>
      <c r="T141" s="13">
        <v>7751.3411999999998</v>
      </c>
      <c r="U141" s="13">
        <v>16</v>
      </c>
      <c r="V141" s="13">
        <v>16</v>
      </c>
      <c r="W141" s="13">
        <v>0</v>
      </c>
      <c r="X141" s="13">
        <v>583.77340000000004</v>
      </c>
      <c r="Y141" s="13">
        <v>16</v>
      </c>
      <c r="Z141" s="13">
        <v>567.77340000000004</v>
      </c>
      <c r="AA141" s="13">
        <v>16</v>
      </c>
      <c r="AB141" s="13">
        <v>16</v>
      </c>
      <c r="AC141" s="13">
        <v>0</v>
      </c>
      <c r="AD141" s="13">
        <v>941.71749999999997</v>
      </c>
      <c r="AE141" s="13">
        <v>16</v>
      </c>
      <c r="AF141" s="13">
        <v>925.71749999999997</v>
      </c>
      <c r="AG141" s="13">
        <v>16</v>
      </c>
      <c r="AH141" s="13">
        <v>16</v>
      </c>
      <c r="AI141" s="13">
        <v>0</v>
      </c>
      <c r="AJ141" s="13">
        <v>620.8021</v>
      </c>
      <c r="AK141" s="13">
        <v>16</v>
      </c>
      <c r="AL141" s="13">
        <v>604.8021</v>
      </c>
      <c r="AM141" s="13">
        <v>34</v>
      </c>
      <c r="AN141" s="13">
        <v>34</v>
      </c>
      <c r="AO141" s="13">
        <v>0</v>
      </c>
      <c r="AP141" s="13">
        <v>564.74469999999997</v>
      </c>
      <c r="AQ141" s="13">
        <v>34</v>
      </c>
      <c r="AR141" s="13">
        <v>530.74469999999997</v>
      </c>
      <c r="AS141" s="13">
        <v>52</v>
      </c>
      <c r="AT141" s="13">
        <v>52</v>
      </c>
      <c r="AU141" s="13">
        <v>0</v>
      </c>
      <c r="AV141" s="13">
        <v>977.71749999999997</v>
      </c>
      <c r="AW141" s="13">
        <v>52</v>
      </c>
      <c r="AX141" s="13">
        <v>925.71749999999997</v>
      </c>
      <c r="AY141" s="13">
        <v>52</v>
      </c>
      <c r="AZ141" s="13">
        <v>52</v>
      </c>
      <c r="BA141" s="13">
        <v>0</v>
      </c>
      <c r="BB141" s="13">
        <v>348.2296</v>
      </c>
      <c r="BC141" s="13">
        <v>52</v>
      </c>
      <c r="BD141" s="13">
        <v>296.2296</v>
      </c>
      <c r="BE141" s="13">
        <v>60</v>
      </c>
      <c r="BF141" s="13">
        <v>60</v>
      </c>
      <c r="BG141" s="13">
        <v>0</v>
      </c>
      <c r="BH141" s="13">
        <v>677.14499999999998</v>
      </c>
      <c r="BI141" s="13">
        <v>60</v>
      </c>
      <c r="BJ141" s="13">
        <v>617.14499999999998</v>
      </c>
      <c r="BK141" s="13">
        <v>60</v>
      </c>
      <c r="BL141" s="13">
        <v>60</v>
      </c>
      <c r="BM141" s="13">
        <v>0</v>
      </c>
      <c r="BN141" s="13">
        <v>553.71600000000001</v>
      </c>
      <c r="BO141" s="13">
        <v>60</v>
      </c>
      <c r="BP141" s="13">
        <v>493.71600000000001</v>
      </c>
      <c r="BQ141" s="13">
        <v>34</v>
      </c>
      <c r="BR141" s="13">
        <v>34</v>
      </c>
      <c r="BS141" s="13">
        <v>0</v>
      </c>
      <c r="BT141" s="13">
        <v>638.8021</v>
      </c>
      <c r="BU141" s="13">
        <v>34</v>
      </c>
      <c r="BV141" s="13">
        <v>604.8021</v>
      </c>
      <c r="BW141" s="13">
        <v>33</v>
      </c>
      <c r="BX141" s="13">
        <v>33</v>
      </c>
      <c r="BY141" s="13">
        <v>0</v>
      </c>
      <c r="BZ141" s="13">
        <v>465.00150000000002</v>
      </c>
      <c r="CA141" s="13">
        <v>33</v>
      </c>
      <c r="CB141" s="13">
        <v>432.00150000000002</v>
      </c>
      <c r="CC141" s="13">
        <v>27</v>
      </c>
      <c r="CD141" s="13">
        <v>27</v>
      </c>
      <c r="CE141" s="13">
        <v>0</v>
      </c>
      <c r="CF141" s="13">
        <v>742.88819999999998</v>
      </c>
      <c r="CG141" s="13">
        <v>27</v>
      </c>
      <c r="CH141" s="13">
        <v>715.88819999999998</v>
      </c>
      <c r="CI141" s="13">
        <v>19</v>
      </c>
      <c r="CJ141" s="13">
        <v>19</v>
      </c>
      <c r="CK141" s="13">
        <v>0</v>
      </c>
      <c r="CL141" s="13">
        <v>537.40179999999998</v>
      </c>
      <c r="CM141" s="13">
        <v>19</v>
      </c>
      <c r="CN141" s="13">
        <v>518.40179999999998</v>
      </c>
      <c r="CO141" s="13">
        <v>56</v>
      </c>
      <c r="CP141" s="13">
        <v>56</v>
      </c>
      <c r="CQ141" s="13">
        <v>0</v>
      </c>
      <c r="CR141" s="13">
        <v>574.40179999999998</v>
      </c>
      <c r="CS141" s="13">
        <v>56</v>
      </c>
      <c r="CT141" s="13">
        <v>518.40179999999998</v>
      </c>
      <c r="CU141" s="13">
        <f t="shared" si="16"/>
        <v>459</v>
      </c>
      <c r="CV141" s="13">
        <f t="shared" si="16"/>
        <v>459</v>
      </c>
      <c r="CW141" s="13">
        <f t="shared" si="16"/>
        <v>0</v>
      </c>
      <c r="CX141" s="13">
        <f t="shared" si="12"/>
        <v>7642.5677999999998</v>
      </c>
      <c r="CY141" s="13">
        <f t="shared" si="12"/>
        <v>459</v>
      </c>
      <c r="CZ141" s="13">
        <f t="shared" si="12"/>
        <v>7183.5677999999998</v>
      </c>
      <c r="DA141" s="13">
        <f t="shared" si="17"/>
        <v>102</v>
      </c>
      <c r="DB141" s="13">
        <f t="shared" si="17"/>
        <v>102</v>
      </c>
      <c r="DC141" s="13">
        <f t="shared" si="17"/>
        <v>0</v>
      </c>
      <c r="DD141" s="13">
        <f t="shared" si="13"/>
        <v>1854.6918000000001</v>
      </c>
      <c r="DE141" s="13">
        <f t="shared" si="13"/>
        <v>102</v>
      </c>
      <c r="DF141" s="13">
        <f t="shared" si="13"/>
        <v>1752.6918000000001</v>
      </c>
      <c r="DG141" s="13">
        <f t="shared" si="18"/>
        <v>127</v>
      </c>
      <c r="DH141" s="13">
        <f t="shared" si="18"/>
        <v>127</v>
      </c>
      <c r="DI141" s="13">
        <f t="shared" si="18"/>
        <v>0</v>
      </c>
      <c r="DJ141" s="13">
        <f t="shared" si="14"/>
        <v>1657.5196000000001</v>
      </c>
      <c r="DK141" s="13">
        <f t="shared" si="14"/>
        <v>127</v>
      </c>
      <c r="DL141" s="13">
        <f t="shared" si="14"/>
        <v>1530.5196000000001</v>
      </c>
      <c r="DM141" s="13">
        <f t="shared" si="19"/>
        <v>75</v>
      </c>
      <c r="DN141" s="13">
        <f t="shared" si="19"/>
        <v>75</v>
      </c>
      <c r="DO141" s="13">
        <f t="shared" si="19"/>
        <v>0</v>
      </c>
      <c r="DP141" s="13">
        <f t="shared" si="15"/>
        <v>1111.8036</v>
      </c>
      <c r="DQ141" s="13">
        <f t="shared" si="15"/>
        <v>75</v>
      </c>
      <c r="DR141" s="13">
        <f t="shared" si="15"/>
        <v>1036.8036</v>
      </c>
      <c r="DS141" s="14" t="s">
        <v>60</v>
      </c>
      <c r="DT141" s="14" t="s">
        <v>81</v>
      </c>
      <c r="DU141" s="14" t="s">
        <v>73</v>
      </c>
      <c r="DV141" s="14" t="s">
        <v>63</v>
      </c>
      <c r="DW141" s="14" t="s">
        <v>74</v>
      </c>
    </row>
    <row r="142" spans="2:127" x14ac:dyDescent="0.3">
      <c r="B142" s="11" t="s">
        <v>65</v>
      </c>
      <c r="C142" s="14">
        <v>5011019286</v>
      </c>
      <c r="D142" s="11" t="s">
        <v>515</v>
      </c>
      <c r="E142" s="11" t="s">
        <v>395</v>
      </c>
      <c r="F142" s="11" t="s">
        <v>516</v>
      </c>
      <c r="G142" s="11" t="s">
        <v>517</v>
      </c>
      <c r="H142" s="11" t="s">
        <v>340</v>
      </c>
      <c r="I142" s="11">
        <v>8043</v>
      </c>
      <c r="J142" s="11" t="s">
        <v>368</v>
      </c>
      <c r="K142" s="11"/>
      <c r="L142" s="11"/>
      <c r="M142" s="11"/>
      <c r="N142" s="11"/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0</v>
      </c>
      <c r="BM142" s="13">
        <v>0</v>
      </c>
      <c r="BN142" s="13">
        <v>0</v>
      </c>
      <c r="BO142" s="13">
        <v>0</v>
      </c>
      <c r="BP142" s="13">
        <v>0</v>
      </c>
      <c r="BQ142" s="13">
        <v>0</v>
      </c>
      <c r="BR142" s="13">
        <v>0</v>
      </c>
      <c r="BS142" s="13">
        <v>0</v>
      </c>
      <c r="BT142" s="13">
        <v>0</v>
      </c>
      <c r="BU142" s="13">
        <v>0</v>
      </c>
      <c r="BV142" s="13">
        <v>0</v>
      </c>
      <c r="BW142" s="13">
        <v>0</v>
      </c>
      <c r="BX142" s="13">
        <v>0</v>
      </c>
      <c r="BY142" s="13">
        <v>0</v>
      </c>
      <c r="BZ142" s="13">
        <v>0</v>
      </c>
      <c r="CA142" s="13">
        <v>0</v>
      </c>
      <c r="CB142" s="13">
        <v>0</v>
      </c>
      <c r="CC142" s="13">
        <v>0</v>
      </c>
      <c r="CD142" s="13">
        <v>0</v>
      </c>
      <c r="CE142" s="13">
        <v>0</v>
      </c>
      <c r="CF142" s="13">
        <v>0</v>
      </c>
      <c r="CG142" s="13">
        <v>0</v>
      </c>
      <c r="CH142" s="13">
        <v>0</v>
      </c>
      <c r="CI142" s="13">
        <v>0</v>
      </c>
      <c r="CJ142" s="13">
        <v>0</v>
      </c>
      <c r="CK142" s="13">
        <v>0</v>
      </c>
      <c r="CL142" s="13">
        <v>0</v>
      </c>
      <c r="CM142" s="13">
        <v>0</v>
      </c>
      <c r="CN142" s="13">
        <v>0</v>
      </c>
      <c r="CO142" s="13">
        <v>0</v>
      </c>
      <c r="CP142" s="13">
        <v>0</v>
      </c>
      <c r="CQ142" s="13">
        <v>0</v>
      </c>
      <c r="CR142" s="13">
        <v>0</v>
      </c>
      <c r="CS142" s="13">
        <v>0</v>
      </c>
      <c r="CT142" s="13">
        <v>0</v>
      </c>
      <c r="CU142" s="13">
        <f t="shared" si="16"/>
        <v>0</v>
      </c>
      <c r="CV142" s="13">
        <f t="shared" si="16"/>
        <v>0</v>
      </c>
      <c r="CW142" s="13">
        <f t="shared" si="16"/>
        <v>0</v>
      </c>
      <c r="CX142" s="13">
        <f t="shared" si="12"/>
        <v>0</v>
      </c>
      <c r="CY142" s="13">
        <f t="shared" si="12"/>
        <v>0</v>
      </c>
      <c r="CZ142" s="13">
        <f t="shared" si="12"/>
        <v>0</v>
      </c>
      <c r="DA142" s="13">
        <f t="shared" si="17"/>
        <v>0</v>
      </c>
      <c r="DB142" s="13">
        <f t="shared" si="17"/>
        <v>0</v>
      </c>
      <c r="DC142" s="13">
        <f t="shared" si="17"/>
        <v>0</v>
      </c>
      <c r="DD142" s="13">
        <f t="shared" si="13"/>
        <v>0</v>
      </c>
      <c r="DE142" s="13">
        <f t="shared" si="13"/>
        <v>0</v>
      </c>
      <c r="DF142" s="13">
        <f t="shared" si="13"/>
        <v>0</v>
      </c>
      <c r="DG142" s="13">
        <f t="shared" si="18"/>
        <v>0</v>
      </c>
      <c r="DH142" s="13">
        <f t="shared" si="18"/>
        <v>0</v>
      </c>
      <c r="DI142" s="13">
        <f t="shared" si="18"/>
        <v>0</v>
      </c>
      <c r="DJ142" s="13">
        <f t="shared" si="14"/>
        <v>0</v>
      </c>
      <c r="DK142" s="13">
        <f t="shared" si="14"/>
        <v>0</v>
      </c>
      <c r="DL142" s="13">
        <f t="shared" si="14"/>
        <v>0</v>
      </c>
      <c r="DM142" s="13">
        <f t="shared" si="19"/>
        <v>0</v>
      </c>
      <c r="DN142" s="13">
        <f t="shared" si="19"/>
        <v>0</v>
      </c>
      <c r="DO142" s="13">
        <f t="shared" si="19"/>
        <v>0</v>
      </c>
      <c r="DP142" s="13">
        <f t="shared" si="15"/>
        <v>0</v>
      </c>
      <c r="DQ142" s="13">
        <f t="shared" si="15"/>
        <v>0</v>
      </c>
      <c r="DR142" s="13">
        <f t="shared" si="15"/>
        <v>0</v>
      </c>
      <c r="DS142" s="14" t="s">
        <v>60</v>
      </c>
      <c r="DT142" s="14" t="s">
        <v>92</v>
      </c>
      <c r="DU142" s="14" t="s">
        <v>73</v>
      </c>
      <c r="DV142" s="14" t="s">
        <v>372</v>
      </c>
      <c r="DW142" s="14" t="s">
        <v>74</v>
      </c>
    </row>
    <row r="143" spans="2:127" x14ac:dyDescent="0.3">
      <c r="B143" s="11" t="s">
        <v>53</v>
      </c>
      <c r="C143" s="14">
        <v>5011168519</v>
      </c>
      <c r="D143" s="11" t="s">
        <v>518</v>
      </c>
      <c r="E143" s="11" t="s">
        <v>395</v>
      </c>
      <c r="F143" s="11" t="s">
        <v>519</v>
      </c>
      <c r="G143" s="11" t="s">
        <v>520</v>
      </c>
      <c r="H143" s="11" t="s">
        <v>58</v>
      </c>
      <c r="I143" s="11">
        <v>92243</v>
      </c>
      <c r="J143" s="11" t="s">
        <v>109</v>
      </c>
      <c r="K143" s="11"/>
      <c r="L143" s="11"/>
      <c r="M143" s="11"/>
      <c r="N143" s="11"/>
      <c r="O143" s="13">
        <v>408</v>
      </c>
      <c r="P143" s="13">
        <v>408</v>
      </c>
      <c r="Q143" s="13">
        <v>0</v>
      </c>
      <c r="R143" s="13">
        <v>4159.47</v>
      </c>
      <c r="S143" s="13">
        <v>419.57130000000001</v>
      </c>
      <c r="T143" s="13">
        <v>3739.8987000000002</v>
      </c>
      <c r="U143" s="13">
        <v>19</v>
      </c>
      <c r="V143" s="13">
        <v>19</v>
      </c>
      <c r="W143" s="13">
        <v>0</v>
      </c>
      <c r="X143" s="13">
        <v>302.88670000000002</v>
      </c>
      <c r="Y143" s="13">
        <v>19</v>
      </c>
      <c r="Z143" s="13">
        <v>283.88670000000002</v>
      </c>
      <c r="AA143" s="13">
        <v>33</v>
      </c>
      <c r="AB143" s="13">
        <v>33</v>
      </c>
      <c r="AC143" s="13">
        <v>0</v>
      </c>
      <c r="AD143" s="13">
        <v>341.57249999999999</v>
      </c>
      <c r="AE143" s="13">
        <v>33</v>
      </c>
      <c r="AF143" s="13">
        <v>308.57249999999999</v>
      </c>
      <c r="AG143" s="13">
        <v>17</v>
      </c>
      <c r="AH143" s="13">
        <v>17</v>
      </c>
      <c r="AI143" s="13">
        <v>0</v>
      </c>
      <c r="AJ143" s="13">
        <v>300.11509999999998</v>
      </c>
      <c r="AK143" s="13">
        <v>28.571300000000001</v>
      </c>
      <c r="AL143" s="13">
        <v>271.54379999999998</v>
      </c>
      <c r="AM143" s="13">
        <v>42</v>
      </c>
      <c r="AN143" s="13">
        <v>42</v>
      </c>
      <c r="AO143" s="13">
        <v>0</v>
      </c>
      <c r="AP143" s="13">
        <v>202.45769999999999</v>
      </c>
      <c r="AQ143" s="13">
        <v>42</v>
      </c>
      <c r="AR143" s="13">
        <v>160.45769999999999</v>
      </c>
      <c r="AS143" s="13">
        <v>87</v>
      </c>
      <c r="AT143" s="13">
        <v>87</v>
      </c>
      <c r="AU143" s="13">
        <v>0</v>
      </c>
      <c r="AV143" s="13">
        <v>468.85829999999999</v>
      </c>
      <c r="AW143" s="13">
        <v>98.571300000000008</v>
      </c>
      <c r="AX143" s="13">
        <v>370.28699999999998</v>
      </c>
      <c r="AY143" s="13">
        <v>10</v>
      </c>
      <c r="AZ143" s="13">
        <v>10</v>
      </c>
      <c r="BA143" s="13">
        <v>0</v>
      </c>
      <c r="BB143" s="13">
        <v>146.54349999999999</v>
      </c>
      <c r="BC143" s="13">
        <v>-1.5713000000000008</v>
      </c>
      <c r="BD143" s="13">
        <v>148.1148</v>
      </c>
      <c r="BE143" s="13">
        <v>42</v>
      </c>
      <c r="BF143" s="13">
        <v>42</v>
      </c>
      <c r="BG143" s="13">
        <v>0</v>
      </c>
      <c r="BH143" s="13">
        <v>251.82929999999999</v>
      </c>
      <c r="BI143" s="13">
        <v>42</v>
      </c>
      <c r="BJ143" s="13">
        <v>209.82929999999999</v>
      </c>
      <c r="BK143" s="13">
        <v>41</v>
      </c>
      <c r="BL143" s="13">
        <v>41</v>
      </c>
      <c r="BM143" s="13">
        <v>0</v>
      </c>
      <c r="BN143" s="13">
        <v>460.65859999999998</v>
      </c>
      <c r="BO143" s="13">
        <v>41</v>
      </c>
      <c r="BP143" s="13">
        <v>419.65859999999998</v>
      </c>
      <c r="BQ143" s="13">
        <v>26</v>
      </c>
      <c r="BR143" s="13">
        <v>26</v>
      </c>
      <c r="BS143" s="13">
        <v>0</v>
      </c>
      <c r="BT143" s="13">
        <v>383.94409999999999</v>
      </c>
      <c r="BU143" s="13">
        <v>26</v>
      </c>
      <c r="BV143" s="13">
        <v>357.94409999999999</v>
      </c>
      <c r="BW143" s="13">
        <v>22</v>
      </c>
      <c r="BX143" s="13">
        <v>22</v>
      </c>
      <c r="BY143" s="13">
        <v>0</v>
      </c>
      <c r="BZ143" s="13">
        <v>281.20089999999999</v>
      </c>
      <c r="CA143" s="13">
        <v>22</v>
      </c>
      <c r="CB143" s="13">
        <v>259.20089999999999</v>
      </c>
      <c r="CC143" s="13">
        <v>27</v>
      </c>
      <c r="CD143" s="13">
        <v>27</v>
      </c>
      <c r="CE143" s="13">
        <v>0</v>
      </c>
      <c r="CF143" s="13">
        <v>384.94409999999999</v>
      </c>
      <c r="CG143" s="13">
        <v>27</v>
      </c>
      <c r="CH143" s="13">
        <v>357.94409999999999</v>
      </c>
      <c r="CI143" s="13">
        <v>22</v>
      </c>
      <c r="CJ143" s="13">
        <v>22</v>
      </c>
      <c r="CK143" s="13">
        <v>0</v>
      </c>
      <c r="CL143" s="13">
        <v>305.88670000000002</v>
      </c>
      <c r="CM143" s="13">
        <v>22</v>
      </c>
      <c r="CN143" s="13">
        <v>283.88670000000002</v>
      </c>
      <c r="CO143" s="13">
        <v>20</v>
      </c>
      <c r="CP143" s="13">
        <v>20</v>
      </c>
      <c r="CQ143" s="13">
        <v>0</v>
      </c>
      <c r="CR143" s="13">
        <v>328.57249999999999</v>
      </c>
      <c r="CS143" s="13">
        <v>20</v>
      </c>
      <c r="CT143" s="13">
        <v>308.57249999999999</v>
      </c>
      <c r="CU143" s="13">
        <f t="shared" si="16"/>
        <v>389</v>
      </c>
      <c r="CV143" s="13">
        <f t="shared" si="16"/>
        <v>389</v>
      </c>
      <c r="CW143" s="13">
        <f t="shared" si="16"/>
        <v>0</v>
      </c>
      <c r="CX143" s="13">
        <f t="shared" si="12"/>
        <v>3856.5833000000002</v>
      </c>
      <c r="CY143" s="13">
        <f t="shared" si="12"/>
        <v>400.57130000000001</v>
      </c>
      <c r="CZ143" s="13">
        <f t="shared" si="12"/>
        <v>3456.0119999999997</v>
      </c>
      <c r="DA143" s="13">
        <f t="shared" si="17"/>
        <v>69</v>
      </c>
      <c r="DB143" s="13">
        <f t="shared" si="17"/>
        <v>69</v>
      </c>
      <c r="DC143" s="13">
        <f t="shared" si="17"/>
        <v>0</v>
      </c>
      <c r="DD143" s="13">
        <f t="shared" si="13"/>
        <v>1019.4032999999999</v>
      </c>
      <c r="DE143" s="13">
        <f t="shared" si="13"/>
        <v>69</v>
      </c>
      <c r="DF143" s="13">
        <f t="shared" si="13"/>
        <v>950.40329999999994</v>
      </c>
      <c r="DG143" s="13">
        <f t="shared" si="18"/>
        <v>89</v>
      </c>
      <c r="DH143" s="13">
        <f t="shared" si="18"/>
        <v>89</v>
      </c>
      <c r="DI143" s="13">
        <f t="shared" si="18"/>
        <v>0</v>
      </c>
      <c r="DJ143" s="13">
        <f t="shared" si="14"/>
        <v>1125.8036</v>
      </c>
      <c r="DK143" s="13">
        <f t="shared" si="14"/>
        <v>89</v>
      </c>
      <c r="DL143" s="13">
        <f t="shared" si="14"/>
        <v>1036.8036</v>
      </c>
      <c r="DM143" s="13">
        <f t="shared" si="19"/>
        <v>42</v>
      </c>
      <c r="DN143" s="13">
        <f t="shared" si="19"/>
        <v>42</v>
      </c>
      <c r="DO143" s="13">
        <f t="shared" si="19"/>
        <v>0</v>
      </c>
      <c r="DP143" s="13">
        <f t="shared" si="15"/>
        <v>634.45920000000001</v>
      </c>
      <c r="DQ143" s="13">
        <f t="shared" si="15"/>
        <v>42</v>
      </c>
      <c r="DR143" s="13">
        <f t="shared" si="15"/>
        <v>592.45920000000001</v>
      </c>
      <c r="DS143" s="14" t="s">
        <v>60</v>
      </c>
      <c r="DT143" s="14" t="s">
        <v>81</v>
      </c>
      <c r="DU143" s="14" t="s">
        <v>73</v>
      </c>
      <c r="DV143" s="14" t="s">
        <v>82</v>
      </c>
      <c r="DW143" s="14" t="s">
        <v>64</v>
      </c>
    </row>
    <row r="144" spans="2:127" x14ac:dyDescent="0.3">
      <c r="B144" s="11" t="s">
        <v>75</v>
      </c>
      <c r="C144" s="14">
        <v>5001336634</v>
      </c>
      <c r="D144" s="11" t="s">
        <v>521</v>
      </c>
      <c r="E144" s="11" t="s">
        <v>522</v>
      </c>
      <c r="F144" s="11" t="s">
        <v>523</v>
      </c>
      <c r="G144" s="11" t="s">
        <v>524</v>
      </c>
      <c r="H144" s="11" t="s">
        <v>120</v>
      </c>
      <c r="I144" s="11">
        <v>37027</v>
      </c>
      <c r="J144" s="11" t="s">
        <v>80</v>
      </c>
      <c r="K144" s="11"/>
      <c r="L144" s="11"/>
      <c r="M144" s="11"/>
      <c r="N144" s="11"/>
      <c r="O144" s="13">
        <v>253</v>
      </c>
      <c r="P144" s="13">
        <v>189</v>
      </c>
      <c r="Q144" s="13">
        <v>64</v>
      </c>
      <c r="R144" s="13">
        <v>23492.748200000002</v>
      </c>
      <c r="S144" s="13">
        <v>557.35449999999992</v>
      </c>
      <c r="T144" s="13">
        <v>22935.393700000001</v>
      </c>
      <c r="U144" s="13">
        <v>0</v>
      </c>
      <c r="V144" s="13">
        <v>0</v>
      </c>
      <c r="W144" s="13">
        <v>0</v>
      </c>
      <c r="X144" s="13">
        <v>1562.3408000000002</v>
      </c>
      <c r="Y144" s="13">
        <v>31.821200000000001</v>
      </c>
      <c r="Z144" s="13">
        <v>1530.5196000000001</v>
      </c>
      <c r="AA144" s="13">
        <v>0</v>
      </c>
      <c r="AB144" s="13">
        <v>0</v>
      </c>
      <c r="AC144" s="13">
        <v>0</v>
      </c>
      <c r="AD144" s="13">
        <v>2000.3207</v>
      </c>
      <c r="AE144" s="13">
        <v>50.142499999999998</v>
      </c>
      <c r="AF144" s="13">
        <v>1950.1782000000001</v>
      </c>
      <c r="AG144" s="13">
        <v>24</v>
      </c>
      <c r="AH144" s="13">
        <v>24</v>
      </c>
      <c r="AI144" s="13">
        <v>0</v>
      </c>
      <c r="AJ144" s="13">
        <v>1685.0840000000001</v>
      </c>
      <c r="AK144" s="13">
        <v>55.821200000000005</v>
      </c>
      <c r="AL144" s="13">
        <v>1629.2628</v>
      </c>
      <c r="AM144" s="13">
        <v>20</v>
      </c>
      <c r="AN144" s="13">
        <v>20</v>
      </c>
      <c r="AO144" s="13">
        <v>0</v>
      </c>
      <c r="AP144" s="13">
        <v>1699.2126000000001</v>
      </c>
      <c r="AQ144" s="13">
        <v>57.606900000000003</v>
      </c>
      <c r="AR144" s="13">
        <v>1641.6057000000001</v>
      </c>
      <c r="AS144" s="13">
        <v>35</v>
      </c>
      <c r="AT144" s="13">
        <v>35</v>
      </c>
      <c r="AU144" s="13">
        <v>0</v>
      </c>
      <c r="AV144" s="13">
        <v>2097.9994000000002</v>
      </c>
      <c r="AW144" s="13">
        <v>86.106699999999989</v>
      </c>
      <c r="AX144" s="13">
        <v>2011.8927000000001</v>
      </c>
      <c r="AY144" s="13">
        <v>15</v>
      </c>
      <c r="AZ144" s="13">
        <v>15</v>
      </c>
      <c r="BA144" s="13">
        <v>0</v>
      </c>
      <c r="BB144" s="13">
        <v>1553.4266</v>
      </c>
      <c r="BC144" s="13">
        <v>35.249899999999997</v>
      </c>
      <c r="BD144" s="13">
        <v>1518.1767</v>
      </c>
      <c r="BE144" s="13">
        <v>0</v>
      </c>
      <c r="BF144" s="13">
        <v>0</v>
      </c>
      <c r="BG144" s="13">
        <v>0</v>
      </c>
      <c r="BH144" s="13">
        <v>1698.8842999999999</v>
      </c>
      <c r="BI144" s="13">
        <v>20.2499</v>
      </c>
      <c r="BJ144" s="13">
        <v>1678.6343999999999</v>
      </c>
      <c r="BK144" s="13">
        <v>15</v>
      </c>
      <c r="BL144" s="13">
        <v>15</v>
      </c>
      <c r="BM144" s="13">
        <v>0</v>
      </c>
      <c r="BN144" s="13">
        <v>2335.8505999999998</v>
      </c>
      <c r="BO144" s="13">
        <v>40.071200000000005</v>
      </c>
      <c r="BP144" s="13">
        <v>2295.7793999999999</v>
      </c>
      <c r="BQ144" s="13">
        <v>0</v>
      </c>
      <c r="BR144" s="13">
        <v>0</v>
      </c>
      <c r="BS144" s="13">
        <v>0</v>
      </c>
      <c r="BT144" s="13">
        <v>1609.2057000000002</v>
      </c>
      <c r="BU144" s="13">
        <v>-7.7141999999999999</v>
      </c>
      <c r="BV144" s="13">
        <v>1616.9199000000001</v>
      </c>
      <c r="BW144" s="13">
        <v>0</v>
      </c>
      <c r="BX144" s="13">
        <v>0</v>
      </c>
      <c r="BY144" s="13">
        <v>0</v>
      </c>
      <c r="BZ144" s="13">
        <v>1592.6195</v>
      </c>
      <c r="CA144" s="13">
        <v>25.071200000000001</v>
      </c>
      <c r="CB144" s="13">
        <v>1567.5482999999999</v>
      </c>
      <c r="CC144" s="13">
        <v>30</v>
      </c>
      <c r="CD144" s="13">
        <v>30</v>
      </c>
      <c r="CE144" s="13">
        <v>0</v>
      </c>
      <c r="CF144" s="13">
        <v>2089.7212</v>
      </c>
      <c r="CG144" s="13">
        <v>53.142700000000005</v>
      </c>
      <c r="CH144" s="13">
        <v>2036.5785000000001</v>
      </c>
      <c r="CI144" s="13">
        <v>30</v>
      </c>
      <c r="CJ144" s="13">
        <v>30</v>
      </c>
      <c r="CK144" s="13">
        <v>0</v>
      </c>
      <c r="CL144" s="13">
        <v>1745.2769999999998</v>
      </c>
      <c r="CM144" s="13">
        <v>66.642600000000002</v>
      </c>
      <c r="CN144" s="13">
        <v>1678.6343999999999</v>
      </c>
      <c r="CO144" s="13">
        <v>84</v>
      </c>
      <c r="CP144" s="13">
        <v>20</v>
      </c>
      <c r="CQ144" s="13">
        <v>64</v>
      </c>
      <c r="CR144" s="13">
        <v>1822.8058000000001</v>
      </c>
      <c r="CS144" s="13">
        <v>43.142700000000005</v>
      </c>
      <c r="CT144" s="13">
        <v>1779.6631</v>
      </c>
      <c r="CU144" s="13">
        <f t="shared" si="16"/>
        <v>253</v>
      </c>
      <c r="CV144" s="13">
        <f t="shared" si="16"/>
        <v>189</v>
      </c>
      <c r="CW144" s="13">
        <f t="shared" si="16"/>
        <v>64</v>
      </c>
      <c r="CX144" s="13">
        <f t="shared" si="12"/>
        <v>21930.407399999996</v>
      </c>
      <c r="CY144" s="13">
        <f t="shared" si="12"/>
        <v>525.53329999999994</v>
      </c>
      <c r="CZ144" s="13">
        <f t="shared" si="12"/>
        <v>21404.874100000001</v>
      </c>
      <c r="DA144" s="13">
        <f t="shared" si="17"/>
        <v>144</v>
      </c>
      <c r="DB144" s="13">
        <f t="shared" si="17"/>
        <v>80</v>
      </c>
      <c r="DC144" s="13">
        <f t="shared" si="17"/>
        <v>64</v>
      </c>
      <c r="DD144" s="13">
        <f t="shared" si="13"/>
        <v>5657.8040000000001</v>
      </c>
      <c r="DE144" s="13">
        <f t="shared" si="13"/>
        <v>162.928</v>
      </c>
      <c r="DF144" s="13">
        <f t="shared" si="13"/>
        <v>5494.8760000000002</v>
      </c>
      <c r="DG144" s="13">
        <f t="shared" si="18"/>
        <v>15</v>
      </c>
      <c r="DH144" s="13">
        <f t="shared" si="18"/>
        <v>15</v>
      </c>
      <c r="DI144" s="13">
        <f t="shared" si="18"/>
        <v>0</v>
      </c>
      <c r="DJ144" s="13">
        <f t="shared" si="14"/>
        <v>5537.6758</v>
      </c>
      <c r="DK144" s="13">
        <f t="shared" si="14"/>
        <v>57.428200000000004</v>
      </c>
      <c r="DL144" s="13">
        <f t="shared" si="14"/>
        <v>5480.2476000000006</v>
      </c>
      <c r="DM144" s="13">
        <f t="shared" si="19"/>
        <v>114</v>
      </c>
      <c r="DN144" s="13">
        <f t="shared" si="19"/>
        <v>50</v>
      </c>
      <c r="DO144" s="13">
        <f t="shared" si="19"/>
        <v>64</v>
      </c>
      <c r="DP144" s="13">
        <f t="shared" si="15"/>
        <v>3568.0828000000001</v>
      </c>
      <c r="DQ144" s="13">
        <f t="shared" si="15"/>
        <v>109.78530000000001</v>
      </c>
      <c r="DR144" s="13">
        <f t="shared" si="15"/>
        <v>3458.2974999999997</v>
      </c>
      <c r="DS144" s="14" t="s">
        <v>81</v>
      </c>
      <c r="DT144" s="14" t="s">
        <v>81</v>
      </c>
      <c r="DU144" s="14" t="s">
        <v>73</v>
      </c>
      <c r="DV144" s="14" t="s">
        <v>82</v>
      </c>
      <c r="DW144" s="14" t="s">
        <v>126</v>
      </c>
    </row>
    <row r="145" spans="2:127" x14ac:dyDescent="0.3">
      <c r="B145" s="11" t="s">
        <v>83</v>
      </c>
      <c r="C145" s="14">
        <v>5001336639</v>
      </c>
      <c r="D145" s="11" t="s">
        <v>525</v>
      </c>
      <c r="E145" s="11" t="s">
        <v>522</v>
      </c>
      <c r="F145" s="11" t="s">
        <v>526</v>
      </c>
      <c r="G145" s="11" t="s">
        <v>527</v>
      </c>
      <c r="H145" s="11" t="s">
        <v>309</v>
      </c>
      <c r="I145" s="11">
        <v>55343</v>
      </c>
      <c r="J145" s="11" t="s">
        <v>109</v>
      </c>
      <c r="K145" s="11"/>
      <c r="L145" s="11"/>
      <c r="M145" s="11"/>
      <c r="N145" s="11"/>
      <c r="O145" s="13">
        <v>2956</v>
      </c>
      <c r="P145" s="13">
        <v>2956</v>
      </c>
      <c r="Q145" s="13">
        <v>0</v>
      </c>
      <c r="R145" s="13">
        <v>60822.574800000002</v>
      </c>
      <c r="S145" s="13">
        <v>5069.6954999999998</v>
      </c>
      <c r="T145" s="13">
        <v>55752.879300000001</v>
      </c>
      <c r="U145" s="13">
        <v>244</v>
      </c>
      <c r="V145" s="13">
        <v>244</v>
      </c>
      <c r="W145" s="13">
        <v>0</v>
      </c>
      <c r="X145" s="13">
        <v>4357.0756000000001</v>
      </c>
      <c r="Y145" s="13">
        <v>493.74789999999996</v>
      </c>
      <c r="Z145" s="13">
        <v>3863.3276999999998</v>
      </c>
      <c r="AA145" s="13">
        <v>337</v>
      </c>
      <c r="AB145" s="13">
        <v>337</v>
      </c>
      <c r="AC145" s="13">
        <v>0</v>
      </c>
      <c r="AD145" s="13">
        <v>5888.6019999999999</v>
      </c>
      <c r="AE145" s="13">
        <v>593.49790000000007</v>
      </c>
      <c r="AF145" s="13">
        <v>5295.1040999999996</v>
      </c>
      <c r="AG145" s="13">
        <v>244</v>
      </c>
      <c r="AH145" s="13">
        <v>244</v>
      </c>
      <c r="AI145" s="13">
        <v>0</v>
      </c>
      <c r="AJ145" s="13">
        <v>3974.2544000000003</v>
      </c>
      <c r="AK145" s="13">
        <v>357.78469999999999</v>
      </c>
      <c r="AL145" s="13">
        <v>3616.4697000000001</v>
      </c>
      <c r="AM145" s="13">
        <v>261</v>
      </c>
      <c r="AN145" s="13">
        <v>261</v>
      </c>
      <c r="AO145" s="13">
        <v>0</v>
      </c>
      <c r="AP145" s="13">
        <v>4220.7546999999995</v>
      </c>
      <c r="AQ145" s="13">
        <v>419.14150000000001</v>
      </c>
      <c r="AR145" s="13">
        <v>3801.6131999999998</v>
      </c>
      <c r="AS145" s="13">
        <v>249</v>
      </c>
      <c r="AT145" s="13">
        <v>249</v>
      </c>
      <c r="AU145" s="13">
        <v>0</v>
      </c>
      <c r="AV145" s="13">
        <v>5637.6373000000003</v>
      </c>
      <c r="AW145" s="13">
        <v>465.9622</v>
      </c>
      <c r="AX145" s="13">
        <v>5171.6751000000004</v>
      </c>
      <c r="AY145" s="13">
        <v>277</v>
      </c>
      <c r="AZ145" s="13">
        <v>277</v>
      </c>
      <c r="BA145" s="13">
        <v>0</v>
      </c>
      <c r="BB145" s="13">
        <v>3848.3391999999999</v>
      </c>
      <c r="BC145" s="13">
        <v>429.35590000000002</v>
      </c>
      <c r="BD145" s="13">
        <v>3418.9832999999999</v>
      </c>
      <c r="BE145" s="13">
        <v>171</v>
      </c>
      <c r="BF145" s="13">
        <v>171</v>
      </c>
      <c r="BG145" s="13">
        <v>0</v>
      </c>
      <c r="BH145" s="13">
        <v>3933.0754999999999</v>
      </c>
      <c r="BI145" s="13">
        <v>316.60579999999999</v>
      </c>
      <c r="BJ145" s="13">
        <v>3616.4697000000001</v>
      </c>
      <c r="BK145" s="13">
        <v>296</v>
      </c>
      <c r="BL145" s="13">
        <v>296</v>
      </c>
      <c r="BM145" s="13">
        <v>0</v>
      </c>
      <c r="BN145" s="13">
        <v>5450.7011000000002</v>
      </c>
      <c r="BO145" s="13">
        <v>488.8553</v>
      </c>
      <c r="BP145" s="13">
        <v>4961.8458000000001</v>
      </c>
      <c r="BQ145" s="13">
        <v>195</v>
      </c>
      <c r="BR145" s="13">
        <v>195</v>
      </c>
      <c r="BS145" s="13">
        <v>0</v>
      </c>
      <c r="BT145" s="13">
        <v>4272.5909000000001</v>
      </c>
      <c r="BU145" s="13">
        <v>359.89160000000004</v>
      </c>
      <c r="BV145" s="13">
        <v>3912.6993000000002</v>
      </c>
      <c r="BW145" s="13">
        <v>176</v>
      </c>
      <c r="BX145" s="13">
        <v>176</v>
      </c>
      <c r="BY145" s="13">
        <v>0</v>
      </c>
      <c r="BZ145" s="13">
        <v>4330.7344999999996</v>
      </c>
      <c r="CA145" s="13">
        <v>294.6062</v>
      </c>
      <c r="CB145" s="13">
        <v>4036.1282999999999</v>
      </c>
      <c r="CC145" s="13">
        <v>232</v>
      </c>
      <c r="CD145" s="13">
        <v>232</v>
      </c>
      <c r="CE145" s="13">
        <v>0</v>
      </c>
      <c r="CF145" s="13">
        <v>6165.8468999999996</v>
      </c>
      <c r="CG145" s="13">
        <v>401.71260000000001</v>
      </c>
      <c r="CH145" s="13">
        <v>5764.1342999999997</v>
      </c>
      <c r="CI145" s="13">
        <v>123</v>
      </c>
      <c r="CJ145" s="13">
        <v>123</v>
      </c>
      <c r="CK145" s="13">
        <v>0</v>
      </c>
      <c r="CL145" s="13">
        <v>4337.3275000000003</v>
      </c>
      <c r="CM145" s="13">
        <v>227.14179999999999</v>
      </c>
      <c r="CN145" s="13">
        <v>4110.1857</v>
      </c>
      <c r="CO145" s="13">
        <v>151</v>
      </c>
      <c r="CP145" s="13">
        <v>151</v>
      </c>
      <c r="CQ145" s="13">
        <v>0</v>
      </c>
      <c r="CR145" s="13">
        <v>4405.6351999999997</v>
      </c>
      <c r="CS145" s="13">
        <v>221.3921</v>
      </c>
      <c r="CT145" s="13">
        <v>4184.2430999999997</v>
      </c>
      <c r="CU145" s="13">
        <f t="shared" si="16"/>
        <v>2712</v>
      </c>
      <c r="CV145" s="13">
        <f t="shared" si="16"/>
        <v>2712</v>
      </c>
      <c r="CW145" s="13">
        <f t="shared" si="16"/>
        <v>0</v>
      </c>
      <c r="CX145" s="13">
        <f t="shared" si="12"/>
        <v>56465.499199999991</v>
      </c>
      <c r="CY145" s="13">
        <f t="shared" si="12"/>
        <v>4575.9476000000004</v>
      </c>
      <c r="CZ145" s="13">
        <f t="shared" si="12"/>
        <v>51889.551599999992</v>
      </c>
      <c r="DA145" s="13">
        <f t="shared" si="17"/>
        <v>506</v>
      </c>
      <c r="DB145" s="13">
        <f t="shared" si="17"/>
        <v>506</v>
      </c>
      <c r="DC145" s="13">
        <f t="shared" si="17"/>
        <v>0</v>
      </c>
      <c r="DD145" s="13">
        <f t="shared" si="13"/>
        <v>14908.809600000001</v>
      </c>
      <c r="DE145" s="13">
        <f t="shared" si="13"/>
        <v>850.24649999999997</v>
      </c>
      <c r="DF145" s="13">
        <f t="shared" si="13"/>
        <v>14058.563099999999</v>
      </c>
      <c r="DG145" s="13">
        <f t="shared" si="18"/>
        <v>667</v>
      </c>
      <c r="DH145" s="13">
        <f t="shared" si="18"/>
        <v>667</v>
      </c>
      <c r="DI145" s="13">
        <f t="shared" si="18"/>
        <v>0</v>
      </c>
      <c r="DJ145" s="13">
        <f t="shared" si="14"/>
        <v>14054.0265</v>
      </c>
      <c r="DK145" s="13">
        <f t="shared" si="14"/>
        <v>1143.3531</v>
      </c>
      <c r="DL145" s="13">
        <f t="shared" si="14"/>
        <v>12910.6734</v>
      </c>
      <c r="DM145" s="13">
        <f t="shared" si="19"/>
        <v>274</v>
      </c>
      <c r="DN145" s="13">
        <f t="shared" si="19"/>
        <v>274</v>
      </c>
      <c r="DO145" s="13">
        <f t="shared" si="19"/>
        <v>0</v>
      </c>
      <c r="DP145" s="13">
        <f t="shared" si="15"/>
        <v>8742.9627</v>
      </c>
      <c r="DQ145" s="13">
        <f t="shared" si="15"/>
        <v>448.53390000000002</v>
      </c>
      <c r="DR145" s="13">
        <f t="shared" si="15"/>
        <v>8294.4287999999997</v>
      </c>
      <c r="DS145" s="14" t="s">
        <v>81</v>
      </c>
      <c r="DT145" s="14" t="s">
        <v>81</v>
      </c>
      <c r="DU145" s="14" t="s">
        <v>73</v>
      </c>
      <c r="DV145" s="14" t="s">
        <v>63</v>
      </c>
      <c r="DW145" s="14" t="s">
        <v>372</v>
      </c>
    </row>
    <row r="146" spans="2:127" x14ac:dyDescent="0.3">
      <c r="B146" s="11" t="s">
        <v>83</v>
      </c>
      <c r="C146" s="14">
        <v>5001336729</v>
      </c>
      <c r="D146" s="11" t="s">
        <v>528</v>
      </c>
      <c r="E146" s="11" t="s">
        <v>522</v>
      </c>
      <c r="F146" s="11" t="s">
        <v>529</v>
      </c>
      <c r="G146" s="11" t="s">
        <v>153</v>
      </c>
      <c r="H146" s="11" t="s">
        <v>137</v>
      </c>
      <c r="I146" s="11">
        <v>75246</v>
      </c>
      <c r="J146" s="11" t="s">
        <v>80</v>
      </c>
      <c r="K146" s="11"/>
      <c r="L146" s="11"/>
      <c r="M146" s="11"/>
      <c r="N146" s="11"/>
      <c r="O146" s="13">
        <v>142</v>
      </c>
      <c r="P146" s="13">
        <v>142</v>
      </c>
      <c r="Q146" s="13">
        <v>0</v>
      </c>
      <c r="R146" s="13">
        <v>47291.671799999996</v>
      </c>
      <c r="S146" s="13">
        <v>1302.0264</v>
      </c>
      <c r="T146" s="13">
        <v>45989.645400000001</v>
      </c>
      <c r="U146" s="13">
        <v>14</v>
      </c>
      <c r="V146" s="13">
        <v>14</v>
      </c>
      <c r="W146" s="13">
        <v>0</v>
      </c>
      <c r="X146" s="13">
        <v>3310.1315999999997</v>
      </c>
      <c r="Y146" s="13">
        <v>113.3205</v>
      </c>
      <c r="Z146" s="13">
        <v>3196.8110999999999</v>
      </c>
      <c r="AA146" s="13">
        <v>14</v>
      </c>
      <c r="AB146" s="13">
        <v>14</v>
      </c>
      <c r="AC146" s="13">
        <v>0</v>
      </c>
      <c r="AD146" s="13">
        <v>3650.1398999999997</v>
      </c>
      <c r="AE146" s="13">
        <v>120.0705</v>
      </c>
      <c r="AF146" s="13">
        <v>3530.0693999999999</v>
      </c>
      <c r="AG146" s="13">
        <v>22</v>
      </c>
      <c r="AH146" s="13">
        <v>22</v>
      </c>
      <c r="AI146" s="13">
        <v>0</v>
      </c>
      <c r="AJ146" s="13">
        <v>3486.3030999999996</v>
      </c>
      <c r="AK146" s="13">
        <v>190.74879999999999</v>
      </c>
      <c r="AL146" s="13">
        <v>3295.5542999999998</v>
      </c>
      <c r="AM146" s="13">
        <v>13</v>
      </c>
      <c r="AN146" s="13">
        <v>13</v>
      </c>
      <c r="AO146" s="13">
        <v>0</v>
      </c>
      <c r="AP146" s="13">
        <v>3666.4971999999998</v>
      </c>
      <c r="AQ146" s="13">
        <v>136.42779999999999</v>
      </c>
      <c r="AR146" s="13">
        <v>3530.0693999999999</v>
      </c>
      <c r="AS146" s="13">
        <v>17</v>
      </c>
      <c r="AT146" s="13">
        <v>17</v>
      </c>
      <c r="AU146" s="13">
        <v>0</v>
      </c>
      <c r="AV146" s="13">
        <v>4608.5582999999997</v>
      </c>
      <c r="AW146" s="13">
        <v>78.713999999999999</v>
      </c>
      <c r="AX146" s="13">
        <v>4529.8442999999997</v>
      </c>
      <c r="AY146" s="13">
        <v>34</v>
      </c>
      <c r="AZ146" s="13">
        <v>34</v>
      </c>
      <c r="BA146" s="13">
        <v>0</v>
      </c>
      <c r="BB146" s="13">
        <v>3352.6964000000003</v>
      </c>
      <c r="BC146" s="13">
        <v>118.8566</v>
      </c>
      <c r="BD146" s="13">
        <v>3233.8398000000002</v>
      </c>
      <c r="BE146" s="13">
        <v>21</v>
      </c>
      <c r="BF146" s="13">
        <v>21</v>
      </c>
      <c r="BG146" s="13">
        <v>0</v>
      </c>
      <c r="BH146" s="13">
        <v>4253.4568999999992</v>
      </c>
      <c r="BI146" s="13">
        <v>69.213799999999992</v>
      </c>
      <c r="BJ146" s="13">
        <v>4184.2430999999997</v>
      </c>
      <c r="BK146" s="13">
        <v>7</v>
      </c>
      <c r="BL146" s="13">
        <v>7</v>
      </c>
      <c r="BM146" s="13">
        <v>0</v>
      </c>
      <c r="BN146" s="13">
        <v>4289.2139999999999</v>
      </c>
      <c r="BO146" s="13">
        <v>80.2851</v>
      </c>
      <c r="BP146" s="13">
        <v>4208.9288999999999</v>
      </c>
      <c r="BQ146" s="13">
        <v>0</v>
      </c>
      <c r="BR146" s="13">
        <v>0</v>
      </c>
      <c r="BS146" s="13">
        <v>0</v>
      </c>
      <c r="BT146" s="13">
        <v>3699.5911000000001</v>
      </c>
      <c r="BU146" s="13">
        <v>33.7498</v>
      </c>
      <c r="BV146" s="13">
        <v>3665.8413</v>
      </c>
      <c r="BW146" s="13">
        <v>0</v>
      </c>
      <c r="BX146" s="13">
        <v>0</v>
      </c>
      <c r="BY146" s="13">
        <v>0</v>
      </c>
      <c r="BZ146" s="13">
        <v>3508.6612</v>
      </c>
      <c r="CA146" s="13">
        <v>89.677899999999994</v>
      </c>
      <c r="CB146" s="13">
        <v>3418.9832999999999</v>
      </c>
      <c r="CC146" s="13">
        <v>0</v>
      </c>
      <c r="CD146" s="13">
        <v>0</v>
      </c>
      <c r="CE146" s="13">
        <v>0</v>
      </c>
      <c r="CF146" s="13">
        <v>3912.3123000000001</v>
      </c>
      <c r="CG146" s="13">
        <v>98.356200000000001</v>
      </c>
      <c r="CH146" s="13">
        <v>3813.9560999999999</v>
      </c>
      <c r="CI146" s="13">
        <v>0</v>
      </c>
      <c r="CJ146" s="13">
        <v>0</v>
      </c>
      <c r="CK146" s="13">
        <v>0</v>
      </c>
      <c r="CL146" s="13">
        <v>2785.2511999999997</v>
      </c>
      <c r="CM146" s="13">
        <v>94.498999999999995</v>
      </c>
      <c r="CN146" s="13">
        <v>2690.7521999999999</v>
      </c>
      <c r="CO146" s="13">
        <v>0</v>
      </c>
      <c r="CP146" s="13">
        <v>0</v>
      </c>
      <c r="CQ146" s="13">
        <v>0</v>
      </c>
      <c r="CR146" s="13">
        <v>2768.8586</v>
      </c>
      <c r="CS146" s="13">
        <v>78.106399999999994</v>
      </c>
      <c r="CT146" s="13">
        <v>2690.7521999999999</v>
      </c>
      <c r="CU146" s="13">
        <f t="shared" si="16"/>
        <v>128</v>
      </c>
      <c r="CV146" s="13">
        <f t="shared" si="16"/>
        <v>128</v>
      </c>
      <c r="CW146" s="13">
        <f t="shared" si="16"/>
        <v>0</v>
      </c>
      <c r="CX146" s="13">
        <f t="shared" si="12"/>
        <v>43981.540199999996</v>
      </c>
      <c r="CY146" s="13">
        <f t="shared" si="12"/>
        <v>1188.7058999999999</v>
      </c>
      <c r="CZ146" s="13">
        <f t="shared" si="12"/>
        <v>42792.83430000001</v>
      </c>
      <c r="DA146" s="13">
        <f t="shared" si="17"/>
        <v>0</v>
      </c>
      <c r="DB146" s="13">
        <f t="shared" si="17"/>
        <v>0</v>
      </c>
      <c r="DC146" s="13">
        <f t="shared" si="17"/>
        <v>0</v>
      </c>
      <c r="DD146" s="13">
        <f t="shared" si="13"/>
        <v>9466.4220999999998</v>
      </c>
      <c r="DE146" s="13">
        <f t="shared" si="13"/>
        <v>270.96159999999998</v>
      </c>
      <c r="DF146" s="13">
        <f t="shared" si="13"/>
        <v>9195.460500000001</v>
      </c>
      <c r="DG146" s="13">
        <f t="shared" si="18"/>
        <v>7</v>
      </c>
      <c r="DH146" s="13">
        <f t="shared" si="18"/>
        <v>7</v>
      </c>
      <c r="DI146" s="13">
        <f t="shared" si="18"/>
        <v>0</v>
      </c>
      <c r="DJ146" s="13">
        <f t="shared" si="14"/>
        <v>11497.4663</v>
      </c>
      <c r="DK146" s="13">
        <f t="shared" si="14"/>
        <v>203.71279999999999</v>
      </c>
      <c r="DL146" s="13">
        <f t="shared" si="14"/>
        <v>11293.753499999999</v>
      </c>
      <c r="DM146" s="13">
        <f t="shared" si="19"/>
        <v>0</v>
      </c>
      <c r="DN146" s="13">
        <f t="shared" si="19"/>
        <v>0</v>
      </c>
      <c r="DO146" s="13">
        <f t="shared" si="19"/>
        <v>0</v>
      </c>
      <c r="DP146" s="13">
        <f t="shared" si="15"/>
        <v>5554.1098000000002</v>
      </c>
      <c r="DQ146" s="13">
        <f t="shared" si="15"/>
        <v>172.60539999999997</v>
      </c>
      <c r="DR146" s="13">
        <f t="shared" si="15"/>
        <v>5381.5043999999998</v>
      </c>
      <c r="DS146" s="14" t="s">
        <v>71</v>
      </c>
      <c r="DT146" s="14" t="s">
        <v>81</v>
      </c>
      <c r="DU146" s="14" t="s">
        <v>73</v>
      </c>
      <c r="DV146" s="14" t="s">
        <v>97</v>
      </c>
      <c r="DW146" s="14" t="s">
        <v>64</v>
      </c>
    </row>
    <row r="147" spans="2:127" x14ac:dyDescent="0.3">
      <c r="B147" s="11" t="s">
        <v>65</v>
      </c>
      <c r="C147" s="14">
        <v>5001337287</v>
      </c>
      <c r="D147" s="11" t="s">
        <v>530</v>
      </c>
      <c r="E147" s="11" t="s">
        <v>522</v>
      </c>
      <c r="F147" s="11" t="s">
        <v>531</v>
      </c>
      <c r="G147" s="11" t="s">
        <v>532</v>
      </c>
      <c r="H147" s="11" t="s">
        <v>199</v>
      </c>
      <c r="I147" s="11">
        <v>48334</v>
      </c>
      <c r="J147" s="11" t="s">
        <v>109</v>
      </c>
      <c r="K147" s="11"/>
      <c r="L147" s="11"/>
      <c r="M147" s="11"/>
      <c r="N147" s="11"/>
      <c r="O147" s="13">
        <v>0</v>
      </c>
      <c r="P147" s="13">
        <v>0</v>
      </c>
      <c r="Q147" s="13">
        <v>0</v>
      </c>
      <c r="R147" s="13">
        <v>28179.995299999999</v>
      </c>
      <c r="S147" s="13">
        <v>198.64099999999999</v>
      </c>
      <c r="T147" s="13">
        <v>27981.354299999999</v>
      </c>
      <c r="U147" s="13">
        <v>0</v>
      </c>
      <c r="V147" s="13">
        <v>0</v>
      </c>
      <c r="W147" s="13">
        <v>0</v>
      </c>
      <c r="X147" s="13">
        <v>2170.8072000000002</v>
      </c>
      <c r="Y147" s="13">
        <v>23.142600000000002</v>
      </c>
      <c r="Z147" s="13">
        <v>2147.6646000000001</v>
      </c>
      <c r="AA147" s="13">
        <v>0</v>
      </c>
      <c r="AB147" s="13">
        <v>0</v>
      </c>
      <c r="AC147" s="13">
        <v>0</v>
      </c>
      <c r="AD147" s="13">
        <v>2745.3306000000002</v>
      </c>
      <c r="AE147" s="13">
        <v>29.892600000000002</v>
      </c>
      <c r="AF147" s="13">
        <v>2715.4380000000001</v>
      </c>
      <c r="AG147" s="13">
        <v>0</v>
      </c>
      <c r="AH147" s="13">
        <v>0</v>
      </c>
      <c r="AI147" s="13">
        <v>0</v>
      </c>
      <c r="AJ147" s="13">
        <v>2042.7496000000001</v>
      </c>
      <c r="AK147" s="13">
        <v>30.8569</v>
      </c>
      <c r="AL147" s="13">
        <v>2011.8927000000001</v>
      </c>
      <c r="AM147" s="13">
        <v>0</v>
      </c>
      <c r="AN147" s="13">
        <v>0</v>
      </c>
      <c r="AO147" s="13">
        <v>0</v>
      </c>
      <c r="AP147" s="13">
        <v>1769.2772</v>
      </c>
      <c r="AQ147" s="13">
        <v>28.9283</v>
      </c>
      <c r="AR147" s="13">
        <v>1740.3489</v>
      </c>
      <c r="AS147" s="13">
        <v>5</v>
      </c>
      <c r="AT147" s="13">
        <v>5</v>
      </c>
      <c r="AU147" s="13">
        <v>0</v>
      </c>
      <c r="AV147" s="13">
        <v>2301.1648</v>
      </c>
      <c r="AW147" s="13">
        <v>30.071200000000001</v>
      </c>
      <c r="AX147" s="13">
        <v>2271.0936000000002</v>
      </c>
      <c r="AY147" s="13">
        <v>0</v>
      </c>
      <c r="AZ147" s="13">
        <v>0</v>
      </c>
      <c r="BA147" s="13">
        <v>0</v>
      </c>
      <c r="BB147" s="13">
        <v>1580.0838999999999</v>
      </c>
      <c r="BC147" s="13">
        <v>12.535600000000001</v>
      </c>
      <c r="BD147" s="13">
        <v>1567.5482999999999</v>
      </c>
      <c r="BE147" s="13">
        <v>0</v>
      </c>
      <c r="BF147" s="13">
        <v>0</v>
      </c>
      <c r="BG147" s="13">
        <v>0</v>
      </c>
      <c r="BH147" s="13">
        <v>1740.5416</v>
      </c>
      <c r="BI147" s="13">
        <v>12.535600000000001</v>
      </c>
      <c r="BJ147" s="13">
        <v>1728.0060000000001</v>
      </c>
      <c r="BK147" s="13">
        <v>0</v>
      </c>
      <c r="BL147" s="13">
        <v>0</v>
      </c>
      <c r="BM147" s="13">
        <v>0</v>
      </c>
      <c r="BN147" s="13">
        <v>2246.4078</v>
      </c>
      <c r="BO147" s="13">
        <v>0</v>
      </c>
      <c r="BP147" s="13">
        <v>2246.4078</v>
      </c>
      <c r="BQ147" s="13">
        <v>0</v>
      </c>
      <c r="BR147" s="13">
        <v>0</v>
      </c>
      <c r="BS147" s="13">
        <v>0</v>
      </c>
      <c r="BT147" s="13">
        <v>2160.2002000000002</v>
      </c>
      <c r="BU147" s="13">
        <v>12.535600000000001</v>
      </c>
      <c r="BV147" s="13">
        <v>2147.6646000000001</v>
      </c>
      <c r="BW147" s="13">
        <v>-5</v>
      </c>
      <c r="BX147" s="13">
        <v>-5</v>
      </c>
      <c r="BY147" s="13">
        <v>0</v>
      </c>
      <c r="BZ147" s="13">
        <v>2192.0362</v>
      </c>
      <c r="CA147" s="13">
        <v>-5</v>
      </c>
      <c r="CB147" s="13">
        <v>2197.0362</v>
      </c>
      <c r="CC147" s="13">
        <v>0</v>
      </c>
      <c r="CD147" s="13">
        <v>0</v>
      </c>
      <c r="CE147" s="13">
        <v>0</v>
      </c>
      <c r="CF147" s="13">
        <v>2936.067</v>
      </c>
      <c r="CG147" s="13">
        <v>23.142600000000002</v>
      </c>
      <c r="CH147" s="13">
        <v>2912.9243999999999</v>
      </c>
      <c r="CI147" s="13">
        <v>0</v>
      </c>
      <c r="CJ147" s="13">
        <v>0</v>
      </c>
      <c r="CK147" s="13">
        <v>0</v>
      </c>
      <c r="CL147" s="13">
        <v>2135.3217</v>
      </c>
      <c r="CM147" s="13">
        <v>0</v>
      </c>
      <c r="CN147" s="13">
        <v>2135.3217</v>
      </c>
      <c r="CO147" s="13">
        <v>0</v>
      </c>
      <c r="CP147" s="13">
        <v>0</v>
      </c>
      <c r="CQ147" s="13">
        <v>0</v>
      </c>
      <c r="CR147" s="13">
        <v>2160.0075000000002</v>
      </c>
      <c r="CS147" s="13">
        <v>0</v>
      </c>
      <c r="CT147" s="13">
        <v>2160.0075000000002</v>
      </c>
      <c r="CU147" s="13">
        <f t="shared" si="16"/>
        <v>0</v>
      </c>
      <c r="CV147" s="13">
        <f t="shared" si="16"/>
        <v>0</v>
      </c>
      <c r="CW147" s="13">
        <f t="shared" si="16"/>
        <v>0</v>
      </c>
      <c r="CX147" s="13">
        <f t="shared" si="12"/>
        <v>26009.188099999999</v>
      </c>
      <c r="CY147" s="13">
        <f t="shared" si="12"/>
        <v>175.49839999999995</v>
      </c>
      <c r="CZ147" s="13">
        <f t="shared" si="12"/>
        <v>25833.689699999999</v>
      </c>
      <c r="DA147" s="13">
        <f t="shared" si="17"/>
        <v>0</v>
      </c>
      <c r="DB147" s="13">
        <f t="shared" si="17"/>
        <v>0</v>
      </c>
      <c r="DC147" s="13">
        <f t="shared" si="17"/>
        <v>0</v>
      </c>
      <c r="DD147" s="13">
        <f t="shared" si="13"/>
        <v>7231.3961999999992</v>
      </c>
      <c r="DE147" s="13">
        <f t="shared" si="13"/>
        <v>23.142600000000002</v>
      </c>
      <c r="DF147" s="13">
        <f t="shared" si="13"/>
        <v>7208.2536</v>
      </c>
      <c r="DG147" s="13">
        <f t="shared" si="18"/>
        <v>-5</v>
      </c>
      <c r="DH147" s="13">
        <f t="shared" si="18"/>
        <v>-5</v>
      </c>
      <c r="DI147" s="13">
        <f t="shared" si="18"/>
        <v>0</v>
      </c>
      <c r="DJ147" s="13">
        <f t="shared" si="14"/>
        <v>6598.6442000000006</v>
      </c>
      <c r="DK147" s="13">
        <f t="shared" si="14"/>
        <v>7.5356000000000005</v>
      </c>
      <c r="DL147" s="13">
        <f t="shared" si="14"/>
        <v>6591.1085999999996</v>
      </c>
      <c r="DM147" s="13">
        <f t="shared" si="19"/>
        <v>0</v>
      </c>
      <c r="DN147" s="13">
        <f t="shared" si="19"/>
        <v>0</v>
      </c>
      <c r="DO147" s="13">
        <f t="shared" si="19"/>
        <v>0</v>
      </c>
      <c r="DP147" s="13">
        <f t="shared" si="15"/>
        <v>4295.3292000000001</v>
      </c>
      <c r="DQ147" s="13">
        <f t="shared" si="15"/>
        <v>0</v>
      </c>
      <c r="DR147" s="13">
        <f t="shared" si="15"/>
        <v>4295.3292000000001</v>
      </c>
      <c r="DS147" s="14" t="s">
        <v>60</v>
      </c>
      <c r="DT147" s="14" t="s">
        <v>81</v>
      </c>
      <c r="DU147" s="14" t="s">
        <v>73</v>
      </c>
      <c r="DV147" s="14" t="s">
        <v>63</v>
      </c>
      <c r="DW147" s="14" t="s">
        <v>126</v>
      </c>
    </row>
    <row r="148" spans="2:127" x14ac:dyDescent="0.3">
      <c r="B148" s="11" t="s">
        <v>83</v>
      </c>
      <c r="C148" s="14">
        <v>5001338432</v>
      </c>
      <c r="D148" s="11" t="s">
        <v>533</v>
      </c>
      <c r="E148" s="11" t="s">
        <v>522</v>
      </c>
      <c r="F148" s="11" t="s">
        <v>534</v>
      </c>
      <c r="G148" s="11" t="s">
        <v>535</v>
      </c>
      <c r="H148" s="11" t="s">
        <v>137</v>
      </c>
      <c r="I148" s="11">
        <v>77339</v>
      </c>
      <c r="J148" s="11" t="s">
        <v>70</v>
      </c>
      <c r="K148" s="11"/>
      <c r="L148" s="11"/>
      <c r="M148" s="11"/>
      <c r="N148" s="11"/>
      <c r="O148" s="13">
        <v>1141</v>
      </c>
      <c r="P148" s="13">
        <v>1141</v>
      </c>
      <c r="Q148" s="13">
        <v>0</v>
      </c>
      <c r="R148" s="13">
        <v>16078.140799999999</v>
      </c>
      <c r="S148" s="13">
        <v>8450.2286000000004</v>
      </c>
      <c r="T148" s="13">
        <v>7627.9121999999998</v>
      </c>
      <c r="U148" s="13">
        <v>63</v>
      </c>
      <c r="V148" s="13">
        <v>63</v>
      </c>
      <c r="W148" s="13">
        <v>0</v>
      </c>
      <c r="X148" s="13">
        <v>905.58809999999994</v>
      </c>
      <c r="Y148" s="13">
        <v>769.81619999999998</v>
      </c>
      <c r="Z148" s="13">
        <v>135.77189999999999</v>
      </c>
      <c r="AA148" s="13">
        <v>64</v>
      </c>
      <c r="AB148" s="13">
        <v>64</v>
      </c>
      <c r="AC148" s="13">
        <v>0</v>
      </c>
      <c r="AD148" s="13">
        <v>946.70389999999998</v>
      </c>
      <c r="AE148" s="13">
        <v>601.10270000000003</v>
      </c>
      <c r="AF148" s="13">
        <v>345.60120000000001</v>
      </c>
      <c r="AG148" s="13">
        <v>10</v>
      </c>
      <c r="AH148" s="13">
        <v>10</v>
      </c>
      <c r="AI148" s="13">
        <v>0</v>
      </c>
      <c r="AJ148" s="13">
        <v>1084.2114999999999</v>
      </c>
      <c r="AK148" s="13">
        <v>590.49549999999999</v>
      </c>
      <c r="AL148" s="13">
        <v>493.71600000000001</v>
      </c>
      <c r="AM148" s="13">
        <v>76</v>
      </c>
      <c r="AN148" s="13">
        <v>76</v>
      </c>
      <c r="AO148" s="13">
        <v>0</v>
      </c>
      <c r="AP148" s="13">
        <v>1070.7550999999999</v>
      </c>
      <c r="AQ148" s="13">
        <v>552.35329999999999</v>
      </c>
      <c r="AR148" s="13">
        <v>518.40179999999998</v>
      </c>
      <c r="AS148" s="13">
        <v>107</v>
      </c>
      <c r="AT148" s="13">
        <v>107</v>
      </c>
      <c r="AU148" s="13">
        <v>0</v>
      </c>
      <c r="AV148" s="13">
        <v>1344.5605</v>
      </c>
      <c r="AW148" s="13">
        <v>813.81579999999997</v>
      </c>
      <c r="AX148" s="13">
        <v>530.74469999999997</v>
      </c>
      <c r="AY148" s="13">
        <v>72</v>
      </c>
      <c r="AZ148" s="13">
        <v>72</v>
      </c>
      <c r="BA148" s="13">
        <v>0</v>
      </c>
      <c r="BB148" s="13">
        <v>1309.9474</v>
      </c>
      <c r="BC148" s="13">
        <v>680.45950000000005</v>
      </c>
      <c r="BD148" s="13">
        <v>629.48789999999997</v>
      </c>
      <c r="BE148" s="13">
        <v>98</v>
      </c>
      <c r="BF148" s="13">
        <v>98</v>
      </c>
      <c r="BG148" s="13">
        <v>0</v>
      </c>
      <c r="BH148" s="13">
        <v>1434.3042</v>
      </c>
      <c r="BI148" s="13">
        <v>743.10180000000003</v>
      </c>
      <c r="BJ148" s="13">
        <v>691.20240000000001</v>
      </c>
      <c r="BK148" s="13">
        <v>257</v>
      </c>
      <c r="BL148" s="13">
        <v>257</v>
      </c>
      <c r="BM148" s="13">
        <v>0</v>
      </c>
      <c r="BN148" s="13">
        <v>1619.7254</v>
      </c>
      <c r="BO148" s="13">
        <v>953.2088</v>
      </c>
      <c r="BP148" s="13">
        <v>666.51660000000004</v>
      </c>
      <c r="BQ148" s="13">
        <v>0</v>
      </c>
      <c r="BR148" s="13">
        <v>0</v>
      </c>
      <c r="BS148" s="13">
        <v>0</v>
      </c>
      <c r="BT148" s="13">
        <v>1086.3624</v>
      </c>
      <c r="BU148" s="13">
        <v>506.24610000000001</v>
      </c>
      <c r="BV148" s="13">
        <v>580.11630000000002</v>
      </c>
      <c r="BW148" s="13">
        <v>44</v>
      </c>
      <c r="BX148" s="13">
        <v>44</v>
      </c>
      <c r="BY148" s="13">
        <v>0</v>
      </c>
      <c r="BZ148" s="13">
        <v>1122.8416</v>
      </c>
      <c r="CA148" s="13">
        <v>493.3537</v>
      </c>
      <c r="CB148" s="13">
        <v>629.48789999999997</v>
      </c>
      <c r="CC148" s="13">
        <v>140</v>
      </c>
      <c r="CD148" s="13">
        <v>140</v>
      </c>
      <c r="CE148" s="13">
        <v>0</v>
      </c>
      <c r="CF148" s="13">
        <v>1549.7847999999999</v>
      </c>
      <c r="CG148" s="13">
        <v>685.78179999999998</v>
      </c>
      <c r="CH148" s="13">
        <v>864.00300000000004</v>
      </c>
      <c r="CI148" s="13">
        <v>91</v>
      </c>
      <c r="CJ148" s="13">
        <v>91</v>
      </c>
      <c r="CK148" s="13">
        <v>0</v>
      </c>
      <c r="CL148" s="13">
        <v>1157.3065000000001</v>
      </c>
      <c r="CM148" s="13">
        <v>466.10410000000002</v>
      </c>
      <c r="CN148" s="13">
        <v>691.20240000000001</v>
      </c>
      <c r="CO148" s="13">
        <v>119</v>
      </c>
      <c r="CP148" s="13">
        <v>119</v>
      </c>
      <c r="CQ148" s="13">
        <v>0</v>
      </c>
      <c r="CR148" s="13">
        <v>1446.0494000000001</v>
      </c>
      <c r="CS148" s="13">
        <v>594.38930000000005</v>
      </c>
      <c r="CT148" s="13">
        <v>851.66010000000006</v>
      </c>
      <c r="CU148" s="13">
        <f t="shared" si="16"/>
        <v>1078</v>
      </c>
      <c r="CV148" s="13">
        <f t="shared" si="16"/>
        <v>1078</v>
      </c>
      <c r="CW148" s="13">
        <f t="shared" si="16"/>
        <v>0</v>
      </c>
      <c r="CX148" s="13">
        <f t="shared" si="12"/>
        <v>15172.552699999998</v>
      </c>
      <c r="CY148" s="13">
        <f t="shared" si="12"/>
        <v>7680.4124000000002</v>
      </c>
      <c r="CZ148" s="13">
        <f t="shared" si="12"/>
        <v>7492.1403</v>
      </c>
      <c r="DA148" s="13">
        <f t="shared" si="17"/>
        <v>350</v>
      </c>
      <c r="DB148" s="13">
        <f t="shared" si="17"/>
        <v>350</v>
      </c>
      <c r="DC148" s="13">
        <f t="shared" si="17"/>
        <v>0</v>
      </c>
      <c r="DD148" s="13">
        <f t="shared" si="13"/>
        <v>4153.1406999999999</v>
      </c>
      <c r="DE148" s="13">
        <f t="shared" si="13"/>
        <v>1746.2752</v>
      </c>
      <c r="DF148" s="13">
        <f t="shared" si="13"/>
        <v>2406.8654999999999</v>
      </c>
      <c r="DG148" s="13">
        <f t="shared" si="18"/>
        <v>301</v>
      </c>
      <c r="DH148" s="13">
        <f t="shared" si="18"/>
        <v>301</v>
      </c>
      <c r="DI148" s="13">
        <f t="shared" si="18"/>
        <v>0</v>
      </c>
      <c r="DJ148" s="13">
        <f t="shared" si="14"/>
        <v>3828.9294</v>
      </c>
      <c r="DK148" s="13">
        <f t="shared" si="14"/>
        <v>1952.8085999999998</v>
      </c>
      <c r="DL148" s="13">
        <f t="shared" si="14"/>
        <v>1876.1208000000001</v>
      </c>
      <c r="DM148" s="13">
        <f t="shared" si="19"/>
        <v>210</v>
      </c>
      <c r="DN148" s="13">
        <f t="shared" si="19"/>
        <v>210</v>
      </c>
      <c r="DO148" s="13">
        <f t="shared" si="19"/>
        <v>0</v>
      </c>
      <c r="DP148" s="13">
        <f t="shared" si="15"/>
        <v>2603.3559000000005</v>
      </c>
      <c r="DQ148" s="13">
        <f t="shared" si="15"/>
        <v>1060.4934000000001</v>
      </c>
      <c r="DR148" s="13">
        <f t="shared" si="15"/>
        <v>1542.8625000000002</v>
      </c>
      <c r="DS148" s="14" t="s">
        <v>81</v>
      </c>
      <c r="DT148" s="14" t="s">
        <v>61</v>
      </c>
      <c r="DU148" s="14" t="s">
        <v>73</v>
      </c>
      <c r="DV148" s="14" t="s">
        <v>63</v>
      </c>
      <c r="DW148" s="14" t="s">
        <v>74</v>
      </c>
    </row>
    <row r="149" spans="2:127" x14ac:dyDescent="0.3">
      <c r="B149" s="11" t="s">
        <v>83</v>
      </c>
      <c r="C149" s="14">
        <v>5001338450</v>
      </c>
      <c r="D149" s="11" t="s">
        <v>536</v>
      </c>
      <c r="E149" s="11" t="s">
        <v>522</v>
      </c>
      <c r="F149" s="11" t="s">
        <v>537</v>
      </c>
      <c r="G149" s="11" t="s">
        <v>538</v>
      </c>
      <c r="H149" s="11" t="s">
        <v>165</v>
      </c>
      <c r="I149" s="11">
        <v>68510</v>
      </c>
      <c r="J149" s="11" t="s">
        <v>70</v>
      </c>
      <c r="K149" s="11"/>
      <c r="L149" s="11"/>
      <c r="M149" s="11"/>
      <c r="N149" s="11"/>
      <c r="O149" s="13">
        <v>0</v>
      </c>
      <c r="P149" s="13">
        <v>0</v>
      </c>
      <c r="Q149" s="13">
        <v>0</v>
      </c>
      <c r="R149" s="13">
        <v>9024.3876999999993</v>
      </c>
      <c r="S149" s="13">
        <v>668.24440000000004</v>
      </c>
      <c r="T149" s="13">
        <v>8356.1432999999997</v>
      </c>
      <c r="U149" s="13">
        <v>0</v>
      </c>
      <c r="V149" s="13">
        <v>0</v>
      </c>
      <c r="W149" s="13">
        <v>0</v>
      </c>
      <c r="X149" s="13">
        <v>633.53700000000003</v>
      </c>
      <c r="Y149" s="13">
        <v>78.106499999999997</v>
      </c>
      <c r="Z149" s="13">
        <v>555.43050000000005</v>
      </c>
      <c r="AA149" s="13">
        <v>0</v>
      </c>
      <c r="AB149" s="13">
        <v>0</v>
      </c>
      <c r="AC149" s="13">
        <v>0</v>
      </c>
      <c r="AD149" s="13">
        <v>896.40229999999997</v>
      </c>
      <c r="AE149" s="13">
        <v>69.427999999999997</v>
      </c>
      <c r="AF149" s="13">
        <v>826.97429999999997</v>
      </c>
      <c r="AG149" s="13">
        <v>0</v>
      </c>
      <c r="AH149" s="13">
        <v>0</v>
      </c>
      <c r="AI149" s="13">
        <v>0</v>
      </c>
      <c r="AJ149" s="13">
        <v>611.55129999999997</v>
      </c>
      <c r="AK149" s="13">
        <v>68.463700000000003</v>
      </c>
      <c r="AL149" s="13">
        <v>543.08759999999995</v>
      </c>
      <c r="AM149" s="13">
        <v>0</v>
      </c>
      <c r="AN149" s="13">
        <v>0</v>
      </c>
      <c r="AO149" s="13">
        <v>0</v>
      </c>
      <c r="AP149" s="13">
        <v>601.9085</v>
      </c>
      <c r="AQ149" s="13">
        <v>58.820900000000002</v>
      </c>
      <c r="AR149" s="13">
        <v>543.08759999999995</v>
      </c>
      <c r="AS149" s="13">
        <v>0</v>
      </c>
      <c r="AT149" s="13">
        <v>0</v>
      </c>
      <c r="AU149" s="13">
        <v>0</v>
      </c>
      <c r="AV149" s="13">
        <v>1059.9456</v>
      </c>
      <c r="AW149" s="13">
        <v>84.856499999999997</v>
      </c>
      <c r="AX149" s="13">
        <v>975.08910000000003</v>
      </c>
      <c r="AY149" s="13">
        <v>0</v>
      </c>
      <c r="AZ149" s="13">
        <v>0</v>
      </c>
      <c r="BA149" s="13">
        <v>0</v>
      </c>
      <c r="BB149" s="13">
        <v>521.4873</v>
      </c>
      <c r="BC149" s="13">
        <v>15.4284</v>
      </c>
      <c r="BD149" s="13">
        <v>506.05889999999999</v>
      </c>
      <c r="BE149" s="13">
        <v>0</v>
      </c>
      <c r="BF149" s="13">
        <v>0</v>
      </c>
      <c r="BG149" s="13">
        <v>0</v>
      </c>
      <c r="BH149" s="13">
        <v>610.39430000000004</v>
      </c>
      <c r="BI149" s="13">
        <v>54.963799999999999</v>
      </c>
      <c r="BJ149" s="13">
        <v>555.43050000000005</v>
      </c>
      <c r="BK149" s="13">
        <v>0</v>
      </c>
      <c r="BL149" s="13">
        <v>0</v>
      </c>
      <c r="BM149" s="13">
        <v>0</v>
      </c>
      <c r="BN149" s="13">
        <v>748.28750000000002</v>
      </c>
      <c r="BO149" s="13">
        <v>69.427999999999997</v>
      </c>
      <c r="BP149" s="13">
        <v>678.85950000000003</v>
      </c>
      <c r="BQ149" s="13">
        <v>0</v>
      </c>
      <c r="BR149" s="13">
        <v>0</v>
      </c>
      <c r="BS149" s="13">
        <v>0</v>
      </c>
      <c r="BT149" s="13">
        <v>725.91640000000007</v>
      </c>
      <c r="BU149" s="13">
        <v>34.713999999999999</v>
      </c>
      <c r="BV149" s="13">
        <v>691.20240000000001</v>
      </c>
      <c r="BW149" s="13">
        <v>0</v>
      </c>
      <c r="BX149" s="13">
        <v>0</v>
      </c>
      <c r="BY149" s="13">
        <v>0</v>
      </c>
      <c r="BZ149" s="13">
        <v>562.7586</v>
      </c>
      <c r="CA149" s="13">
        <v>44.3568</v>
      </c>
      <c r="CB149" s="13">
        <v>518.40179999999998</v>
      </c>
      <c r="CC149" s="13">
        <v>0</v>
      </c>
      <c r="CD149" s="13">
        <v>0</v>
      </c>
      <c r="CE149" s="13">
        <v>0</v>
      </c>
      <c r="CF149" s="13">
        <v>733.43790000000001</v>
      </c>
      <c r="CG149" s="13">
        <v>29.892600000000002</v>
      </c>
      <c r="CH149" s="13">
        <v>703.5453</v>
      </c>
      <c r="CI149" s="13">
        <v>0</v>
      </c>
      <c r="CJ149" s="13">
        <v>0</v>
      </c>
      <c r="CK149" s="13">
        <v>0</v>
      </c>
      <c r="CL149" s="13">
        <v>696.40920000000006</v>
      </c>
      <c r="CM149" s="13">
        <v>29.892600000000002</v>
      </c>
      <c r="CN149" s="13">
        <v>666.51660000000004</v>
      </c>
      <c r="CO149" s="13">
        <v>0</v>
      </c>
      <c r="CP149" s="13">
        <v>0</v>
      </c>
      <c r="CQ149" s="13">
        <v>0</v>
      </c>
      <c r="CR149" s="13">
        <v>622.35180000000003</v>
      </c>
      <c r="CS149" s="13">
        <v>29.892600000000002</v>
      </c>
      <c r="CT149" s="13">
        <v>592.45920000000001</v>
      </c>
      <c r="CU149" s="13">
        <f t="shared" si="16"/>
        <v>0</v>
      </c>
      <c r="CV149" s="13">
        <f t="shared" si="16"/>
        <v>0</v>
      </c>
      <c r="CW149" s="13">
        <f t="shared" si="16"/>
        <v>0</v>
      </c>
      <c r="CX149" s="13">
        <f t="shared" si="12"/>
        <v>8390.8507000000009</v>
      </c>
      <c r="CY149" s="13">
        <f t="shared" si="12"/>
        <v>590.13790000000006</v>
      </c>
      <c r="CZ149" s="13">
        <f t="shared" si="12"/>
        <v>7800.7127999999993</v>
      </c>
      <c r="DA149" s="13">
        <f t="shared" si="17"/>
        <v>0</v>
      </c>
      <c r="DB149" s="13">
        <f t="shared" si="17"/>
        <v>0</v>
      </c>
      <c r="DC149" s="13">
        <f t="shared" si="17"/>
        <v>0</v>
      </c>
      <c r="DD149" s="13">
        <f t="shared" si="13"/>
        <v>2052.1988999999999</v>
      </c>
      <c r="DE149" s="13">
        <f t="shared" si="13"/>
        <v>89.677800000000005</v>
      </c>
      <c r="DF149" s="13">
        <f t="shared" si="13"/>
        <v>1962.5211000000002</v>
      </c>
      <c r="DG149" s="13">
        <f t="shared" si="18"/>
        <v>0</v>
      </c>
      <c r="DH149" s="13">
        <f t="shared" si="18"/>
        <v>0</v>
      </c>
      <c r="DI149" s="13">
        <f t="shared" si="18"/>
        <v>0</v>
      </c>
      <c r="DJ149" s="13">
        <f t="shared" si="14"/>
        <v>2036.9625000000001</v>
      </c>
      <c r="DK149" s="13">
        <f t="shared" si="14"/>
        <v>148.49879999999999</v>
      </c>
      <c r="DL149" s="13">
        <f t="shared" si="14"/>
        <v>1888.4637000000002</v>
      </c>
      <c r="DM149" s="13">
        <f t="shared" si="19"/>
        <v>0</v>
      </c>
      <c r="DN149" s="13">
        <f t="shared" si="19"/>
        <v>0</v>
      </c>
      <c r="DO149" s="13">
        <f t="shared" si="19"/>
        <v>0</v>
      </c>
      <c r="DP149" s="13">
        <f t="shared" si="15"/>
        <v>1318.761</v>
      </c>
      <c r="DQ149" s="13">
        <f t="shared" si="15"/>
        <v>59.785200000000003</v>
      </c>
      <c r="DR149" s="13">
        <f t="shared" si="15"/>
        <v>1258.9758000000002</v>
      </c>
      <c r="DS149" s="14" t="s">
        <v>71</v>
      </c>
      <c r="DT149" s="14" t="s">
        <v>125</v>
      </c>
      <c r="DU149" s="14" t="s">
        <v>73</v>
      </c>
      <c r="DV149" s="14" t="s">
        <v>63</v>
      </c>
      <c r="DW149" s="14" t="s">
        <v>74</v>
      </c>
    </row>
    <row r="150" spans="2:127" x14ac:dyDescent="0.3">
      <c r="B150" s="11" t="s">
        <v>65</v>
      </c>
      <c r="C150" s="14">
        <v>5001338477</v>
      </c>
      <c r="D150" s="11" t="s">
        <v>539</v>
      </c>
      <c r="E150" s="11" t="s">
        <v>522</v>
      </c>
      <c r="F150" s="11" t="s">
        <v>540</v>
      </c>
      <c r="G150" s="11" t="s">
        <v>541</v>
      </c>
      <c r="H150" s="11" t="s">
        <v>206</v>
      </c>
      <c r="I150" s="11">
        <v>14263</v>
      </c>
      <c r="J150" s="11" t="s">
        <v>59</v>
      </c>
      <c r="K150" s="11"/>
      <c r="L150" s="11"/>
      <c r="M150" s="11"/>
      <c r="N150" s="11"/>
      <c r="O150" s="13">
        <v>298</v>
      </c>
      <c r="P150" s="13">
        <v>298</v>
      </c>
      <c r="Q150" s="13">
        <v>0</v>
      </c>
      <c r="R150" s="13">
        <v>41382.11</v>
      </c>
      <c r="S150" s="13">
        <v>625.85419999999999</v>
      </c>
      <c r="T150" s="13">
        <v>40756.255799999999</v>
      </c>
      <c r="U150" s="13">
        <v>28</v>
      </c>
      <c r="V150" s="13">
        <v>28</v>
      </c>
      <c r="W150" s="13">
        <v>0</v>
      </c>
      <c r="X150" s="13">
        <v>3080.9387999999999</v>
      </c>
      <c r="Y150" s="13">
        <v>56.9283</v>
      </c>
      <c r="Z150" s="13">
        <v>3024.0104999999999</v>
      </c>
      <c r="AA150" s="13">
        <v>18</v>
      </c>
      <c r="AB150" s="13">
        <v>18</v>
      </c>
      <c r="AC150" s="13">
        <v>0</v>
      </c>
      <c r="AD150" s="13">
        <v>3578.1547</v>
      </c>
      <c r="AE150" s="13">
        <v>60.428199999999997</v>
      </c>
      <c r="AF150" s="13">
        <v>3517.7265000000002</v>
      </c>
      <c r="AG150" s="13">
        <v>22</v>
      </c>
      <c r="AH150" s="13">
        <v>22</v>
      </c>
      <c r="AI150" s="13">
        <v>0</v>
      </c>
      <c r="AJ150" s="13">
        <v>2899.0526999999997</v>
      </c>
      <c r="AK150" s="13">
        <v>35.499899999999997</v>
      </c>
      <c r="AL150" s="13">
        <v>2863.5527999999999</v>
      </c>
      <c r="AM150" s="13">
        <v>22</v>
      </c>
      <c r="AN150" s="13">
        <v>22</v>
      </c>
      <c r="AO150" s="13">
        <v>0</v>
      </c>
      <c r="AP150" s="13">
        <v>3136.6532999999999</v>
      </c>
      <c r="AQ150" s="13">
        <v>50.9283</v>
      </c>
      <c r="AR150" s="13">
        <v>3085.7249999999999</v>
      </c>
      <c r="AS150" s="13">
        <v>22</v>
      </c>
      <c r="AT150" s="13">
        <v>22</v>
      </c>
      <c r="AU150" s="13">
        <v>0</v>
      </c>
      <c r="AV150" s="13">
        <v>3260.0823</v>
      </c>
      <c r="AW150" s="13">
        <v>50.9283</v>
      </c>
      <c r="AX150" s="13">
        <v>3209.154</v>
      </c>
      <c r="AY150" s="13">
        <v>16</v>
      </c>
      <c r="AZ150" s="13">
        <v>16</v>
      </c>
      <c r="BA150" s="13">
        <v>0</v>
      </c>
      <c r="BB150" s="13">
        <v>2041.3926000000001</v>
      </c>
      <c r="BC150" s="13">
        <v>29.4999</v>
      </c>
      <c r="BD150" s="13">
        <v>2011.8927000000001</v>
      </c>
      <c r="BE150" s="13">
        <v>22</v>
      </c>
      <c r="BF150" s="13">
        <v>22</v>
      </c>
      <c r="BG150" s="13">
        <v>0</v>
      </c>
      <c r="BH150" s="13">
        <v>2914.4811</v>
      </c>
      <c r="BI150" s="13">
        <v>50.9283</v>
      </c>
      <c r="BJ150" s="13">
        <v>2863.5527999999999</v>
      </c>
      <c r="BK150" s="13">
        <v>38</v>
      </c>
      <c r="BL150" s="13">
        <v>38</v>
      </c>
      <c r="BM150" s="13">
        <v>0</v>
      </c>
      <c r="BN150" s="13">
        <v>4103.0565999999999</v>
      </c>
      <c r="BO150" s="13">
        <v>66.928300000000007</v>
      </c>
      <c r="BP150" s="13">
        <v>4036.1282999999999</v>
      </c>
      <c r="BQ150" s="13">
        <v>6</v>
      </c>
      <c r="BR150" s="13">
        <v>6</v>
      </c>
      <c r="BS150" s="13">
        <v>0</v>
      </c>
      <c r="BT150" s="13">
        <v>3244.0823</v>
      </c>
      <c r="BU150" s="13">
        <v>34.9283</v>
      </c>
      <c r="BV150" s="13">
        <v>3209.154</v>
      </c>
      <c r="BW150" s="13">
        <v>22</v>
      </c>
      <c r="BX150" s="13">
        <v>22</v>
      </c>
      <c r="BY150" s="13">
        <v>0</v>
      </c>
      <c r="BZ150" s="13">
        <v>3331.0541999999996</v>
      </c>
      <c r="CA150" s="13">
        <v>35.499899999999997</v>
      </c>
      <c r="CB150" s="13">
        <v>3295.5542999999998</v>
      </c>
      <c r="CC150" s="13">
        <v>38</v>
      </c>
      <c r="CD150" s="13">
        <v>38</v>
      </c>
      <c r="CE150" s="13">
        <v>0</v>
      </c>
      <c r="CF150" s="13">
        <v>4090.7137000000002</v>
      </c>
      <c r="CG150" s="13">
        <v>66.928300000000007</v>
      </c>
      <c r="CH150" s="13">
        <v>4023.7854000000002</v>
      </c>
      <c r="CI150" s="13">
        <v>22</v>
      </c>
      <c r="CJ150" s="13">
        <v>22</v>
      </c>
      <c r="CK150" s="13">
        <v>0</v>
      </c>
      <c r="CL150" s="13">
        <v>2791.0520999999999</v>
      </c>
      <c r="CM150" s="13">
        <v>50.9283</v>
      </c>
      <c r="CN150" s="13">
        <v>2740.1237999999998</v>
      </c>
      <c r="CO150" s="13">
        <v>22</v>
      </c>
      <c r="CP150" s="13">
        <v>22</v>
      </c>
      <c r="CQ150" s="13">
        <v>0</v>
      </c>
      <c r="CR150" s="13">
        <v>2911.3955999999998</v>
      </c>
      <c r="CS150" s="13">
        <v>35.499899999999997</v>
      </c>
      <c r="CT150" s="13">
        <v>2875.8957</v>
      </c>
      <c r="CU150" s="13">
        <f t="shared" si="16"/>
        <v>270</v>
      </c>
      <c r="CV150" s="13">
        <f t="shared" si="16"/>
        <v>270</v>
      </c>
      <c r="CW150" s="13">
        <f t="shared" si="16"/>
        <v>0</v>
      </c>
      <c r="CX150" s="13">
        <f t="shared" si="12"/>
        <v>38301.171199999997</v>
      </c>
      <c r="CY150" s="13">
        <f t="shared" si="12"/>
        <v>568.92590000000007</v>
      </c>
      <c r="CZ150" s="13">
        <f t="shared" si="12"/>
        <v>37732.245300000002</v>
      </c>
      <c r="DA150" s="13">
        <f t="shared" si="17"/>
        <v>82</v>
      </c>
      <c r="DB150" s="13">
        <f t="shared" si="17"/>
        <v>82</v>
      </c>
      <c r="DC150" s="13">
        <f t="shared" si="17"/>
        <v>0</v>
      </c>
      <c r="DD150" s="13">
        <f t="shared" si="13"/>
        <v>9793.1614000000009</v>
      </c>
      <c r="DE150" s="13">
        <f t="shared" si="13"/>
        <v>153.35650000000001</v>
      </c>
      <c r="DF150" s="13">
        <f t="shared" si="13"/>
        <v>9639.8048999999992</v>
      </c>
      <c r="DG150" s="13">
        <f t="shared" si="18"/>
        <v>66</v>
      </c>
      <c r="DH150" s="13">
        <f t="shared" si="18"/>
        <v>66</v>
      </c>
      <c r="DI150" s="13">
        <f t="shared" si="18"/>
        <v>0</v>
      </c>
      <c r="DJ150" s="13">
        <f t="shared" si="14"/>
        <v>10678.1931</v>
      </c>
      <c r="DK150" s="13">
        <f t="shared" si="14"/>
        <v>137.35650000000001</v>
      </c>
      <c r="DL150" s="13">
        <f t="shared" si="14"/>
        <v>10540.836599999999</v>
      </c>
      <c r="DM150" s="13">
        <f t="shared" si="19"/>
        <v>44</v>
      </c>
      <c r="DN150" s="13">
        <f t="shared" si="19"/>
        <v>44</v>
      </c>
      <c r="DO150" s="13">
        <f t="shared" si="19"/>
        <v>0</v>
      </c>
      <c r="DP150" s="13">
        <f t="shared" si="15"/>
        <v>5702.4476999999997</v>
      </c>
      <c r="DQ150" s="13">
        <f t="shared" si="15"/>
        <v>86.428200000000004</v>
      </c>
      <c r="DR150" s="13">
        <f t="shared" si="15"/>
        <v>5616.0195000000003</v>
      </c>
      <c r="DS150" s="14" t="s">
        <v>81</v>
      </c>
      <c r="DT150" s="14" t="s">
        <v>72</v>
      </c>
      <c r="DU150" s="14" t="s">
        <v>187</v>
      </c>
      <c r="DV150" s="14" t="s">
        <v>97</v>
      </c>
      <c r="DW150" s="14" t="s">
        <v>74</v>
      </c>
    </row>
    <row r="151" spans="2:127" x14ac:dyDescent="0.3">
      <c r="B151" s="11" t="s">
        <v>83</v>
      </c>
      <c r="C151" s="14">
        <v>5001338534</v>
      </c>
      <c r="D151" s="11" t="s">
        <v>542</v>
      </c>
      <c r="E151" s="11" t="s">
        <v>522</v>
      </c>
      <c r="F151" s="11" t="s">
        <v>543</v>
      </c>
      <c r="G151" s="11" t="s">
        <v>544</v>
      </c>
      <c r="H151" s="11" t="s">
        <v>545</v>
      </c>
      <c r="I151" s="11">
        <v>50309</v>
      </c>
      <c r="J151" s="11" t="s">
        <v>70</v>
      </c>
      <c r="K151" s="11"/>
      <c r="L151" s="11"/>
      <c r="M151" s="11"/>
      <c r="N151" s="11"/>
      <c r="O151" s="13">
        <v>0</v>
      </c>
      <c r="P151" s="13">
        <v>0</v>
      </c>
      <c r="Q151" s="13">
        <v>0</v>
      </c>
      <c r="R151" s="13">
        <v>15694.9537</v>
      </c>
      <c r="S151" s="13">
        <v>648.95860000000005</v>
      </c>
      <c r="T151" s="13">
        <v>15045.9951</v>
      </c>
      <c r="U151" s="13">
        <v>0</v>
      </c>
      <c r="V151" s="13">
        <v>0</v>
      </c>
      <c r="W151" s="13">
        <v>0</v>
      </c>
      <c r="X151" s="13">
        <v>1344.4109999999998</v>
      </c>
      <c r="Y151" s="13">
        <v>60.749400000000001</v>
      </c>
      <c r="Z151" s="13">
        <v>1283.6615999999999</v>
      </c>
      <c r="AA151" s="13">
        <v>0</v>
      </c>
      <c r="AB151" s="13">
        <v>0</v>
      </c>
      <c r="AC151" s="13">
        <v>0</v>
      </c>
      <c r="AD151" s="13">
        <v>1453.3759</v>
      </c>
      <c r="AE151" s="13">
        <v>46.285299999999999</v>
      </c>
      <c r="AF151" s="13">
        <v>1407.0906</v>
      </c>
      <c r="AG151" s="13">
        <v>0</v>
      </c>
      <c r="AH151" s="13">
        <v>0</v>
      </c>
      <c r="AI151" s="13">
        <v>0</v>
      </c>
      <c r="AJ151" s="13">
        <v>1021.5671000000001</v>
      </c>
      <c r="AK151" s="13">
        <v>58.820900000000002</v>
      </c>
      <c r="AL151" s="13">
        <v>962.74620000000004</v>
      </c>
      <c r="AM151" s="13">
        <v>0</v>
      </c>
      <c r="AN151" s="13">
        <v>0</v>
      </c>
      <c r="AO151" s="13">
        <v>0</v>
      </c>
      <c r="AP151" s="13">
        <v>962.55279999999993</v>
      </c>
      <c r="AQ151" s="13">
        <v>49.178199999999997</v>
      </c>
      <c r="AR151" s="13">
        <v>913.37459999999999</v>
      </c>
      <c r="AS151" s="13">
        <v>0</v>
      </c>
      <c r="AT151" s="13">
        <v>0</v>
      </c>
      <c r="AU151" s="13">
        <v>0</v>
      </c>
      <c r="AV151" s="13">
        <v>1706.4049</v>
      </c>
      <c r="AW151" s="13">
        <v>77.142099999999999</v>
      </c>
      <c r="AX151" s="13">
        <v>1629.2628</v>
      </c>
      <c r="AY151" s="13">
        <v>0</v>
      </c>
      <c r="AZ151" s="13">
        <v>0</v>
      </c>
      <c r="BA151" s="13">
        <v>0</v>
      </c>
      <c r="BB151" s="13">
        <v>841.63120000000004</v>
      </c>
      <c r="BC151" s="13">
        <v>26.9998</v>
      </c>
      <c r="BD151" s="13">
        <v>814.63139999999999</v>
      </c>
      <c r="BE151" s="13">
        <v>0</v>
      </c>
      <c r="BF151" s="13">
        <v>0</v>
      </c>
      <c r="BG151" s="13">
        <v>0</v>
      </c>
      <c r="BH151" s="13">
        <v>1036.8027999999999</v>
      </c>
      <c r="BI151" s="13">
        <v>61.713700000000003</v>
      </c>
      <c r="BJ151" s="13">
        <v>975.08910000000003</v>
      </c>
      <c r="BK151" s="13">
        <v>0</v>
      </c>
      <c r="BL151" s="13">
        <v>0</v>
      </c>
      <c r="BM151" s="13">
        <v>0</v>
      </c>
      <c r="BN151" s="13">
        <v>1333.8039999999999</v>
      </c>
      <c r="BO151" s="13">
        <v>50.142400000000002</v>
      </c>
      <c r="BP151" s="13">
        <v>1283.6615999999999</v>
      </c>
      <c r="BQ151" s="13">
        <v>0</v>
      </c>
      <c r="BR151" s="13">
        <v>0</v>
      </c>
      <c r="BS151" s="13">
        <v>0</v>
      </c>
      <c r="BT151" s="13">
        <v>1092.539</v>
      </c>
      <c r="BU151" s="13">
        <v>43.392499999999998</v>
      </c>
      <c r="BV151" s="13">
        <v>1049.1465000000001</v>
      </c>
      <c r="BW151" s="13">
        <v>0</v>
      </c>
      <c r="BX151" s="13">
        <v>0</v>
      </c>
      <c r="BY151" s="13">
        <v>0</v>
      </c>
      <c r="BZ151" s="13">
        <v>1155.2178000000001</v>
      </c>
      <c r="CA151" s="13">
        <v>44.3568</v>
      </c>
      <c r="CB151" s="13">
        <v>1110.8610000000001</v>
      </c>
      <c r="CC151" s="13">
        <v>0</v>
      </c>
      <c r="CD151" s="13">
        <v>0</v>
      </c>
      <c r="CE151" s="13">
        <v>0</v>
      </c>
      <c r="CF151" s="13">
        <v>1364.0827999999999</v>
      </c>
      <c r="CG151" s="13">
        <v>43.392499999999998</v>
      </c>
      <c r="CH151" s="13">
        <v>1320.6903</v>
      </c>
      <c r="CI151" s="13">
        <v>0</v>
      </c>
      <c r="CJ151" s="13">
        <v>0</v>
      </c>
      <c r="CK151" s="13">
        <v>0</v>
      </c>
      <c r="CL151" s="13">
        <v>1240.6537999999998</v>
      </c>
      <c r="CM151" s="13">
        <v>43.392499999999998</v>
      </c>
      <c r="CN151" s="13">
        <v>1197.2612999999999</v>
      </c>
      <c r="CO151" s="13">
        <v>0</v>
      </c>
      <c r="CP151" s="13">
        <v>0</v>
      </c>
      <c r="CQ151" s="13">
        <v>0</v>
      </c>
      <c r="CR151" s="13">
        <v>1141.9105999999999</v>
      </c>
      <c r="CS151" s="13">
        <v>43.392499999999998</v>
      </c>
      <c r="CT151" s="13">
        <v>1098.5181</v>
      </c>
      <c r="CU151" s="13">
        <f t="shared" si="16"/>
        <v>0</v>
      </c>
      <c r="CV151" s="13">
        <f t="shared" si="16"/>
        <v>0</v>
      </c>
      <c r="CW151" s="13">
        <f t="shared" si="16"/>
        <v>0</v>
      </c>
      <c r="CX151" s="13">
        <f t="shared" si="12"/>
        <v>14350.5427</v>
      </c>
      <c r="CY151" s="13">
        <f t="shared" si="12"/>
        <v>588.20920000000012</v>
      </c>
      <c r="CZ151" s="13">
        <f t="shared" si="12"/>
        <v>13762.333500000002</v>
      </c>
      <c r="DA151" s="13">
        <f t="shared" si="17"/>
        <v>0</v>
      </c>
      <c r="DB151" s="13">
        <f t="shared" si="17"/>
        <v>0</v>
      </c>
      <c r="DC151" s="13">
        <f t="shared" si="17"/>
        <v>0</v>
      </c>
      <c r="DD151" s="13">
        <f t="shared" si="13"/>
        <v>3746.6471999999994</v>
      </c>
      <c r="DE151" s="13">
        <f t="shared" si="13"/>
        <v>130.17750000000001</v>
      </c>
      <c r="DF151" s="13">
        <f t="shared" si="13"/>
        <v>3616.4696999999996</v>
      </c>
      <c r="DG151" s="13">
        <f t="shared" si="18"/>
        <v>0</v>
      </c>
      <c r="DH151" s="13">
        <f t="shared" si="18"/>
        <v>0</v>
      </c>
      <c r="DI151" s="13">
        <f t="shared" si="18"/>
        <v>0</v>
      </c>
      <c r="DJ151" s="13">
        <f t="shared" si="14"/>
        <v>3581.5608000000002</v>
      </c>
      <c r="DK151" s="13">
        <f t="shared" si="14"/>
        <v>137.89169999999999</v>
      </c>
      <c r="DL151" s="13">
        <f t="shared" si="14"/>
        <v>3443.6691000000001</v>
      </c>
      <c r="DM151" s="13">
        <f t="shared" si="19"/>
        <v>0</v>
      </c>
      <c r="DN151" s="13">
        <f t="shared" si="19"/>
        <v>0</v>
      </c>
      <c r="DO151" s="13">
        <f t="shared" si="19"/>
        <v>0</v>
      </c>
      <c r="DP151" s="13">
        <f t="shared" si="15"/>
        <v>2382.5643999999998</v>
      </c>
      <c r="DQ151" s="13">
        <f t="shared" si="15"/>
        <v>86.784999999999997</v>
      </c>
      <c r="DR151" s="13">
        <f t="shared" si="15"/>
        <v>2295.7793999999999</v>
      </c>
      <c r="DS151" s="14" t="s">
        <v>71</v>
      </c>
      <c r="DT151" s="14" t="s">
        <v>81</v>
      </c>
      <c r="DU151" s="14" t="s">
        <v>73</v>
      </c>
      <c r="DV151" s="14" t="s">
        <v>63</v>
      </c>
      <c r="DW151" s="14" t="s">
        <v>74</v>
      </c>
    </row>
    <row r="152" spans="2:127" x14ac:dyDescent="0.3">
      <c r="B152" s="11" t="s">
        <v>65</v>
      </c>
      <c r="C152" s="14">
        <v>5001338739</v>
      </c>
      <c r="D152" s="11" t="s">
        <v>546</v>
      </c>
      <c r="E152" s="11" t="s">
        <v>522</v>
      </c>
      <c r="F152" s="11" t="s">
        <v>547</v>
      </c>
      <c r="G152" s="11" t="s">
        <v>548</v>
      </c>
      <c r="H152" s="11" t="s">
        <v>340</v>
      </c>
      <c r="I152" s="11">
        <v>7666</v>
      </c>
      <c r="J152" s="11" t="s">
        <v>70</v>
      </c>
      <c r="K152" s="11"/>
      <c r="L152" s="11"/>
      <c r="M152" s="11"/>
      <c r="N152" s="11"/>
      <c r="O152" s="13">
        <v>614</v>
      </c>
      <c r="P152" s="13">
        <v>614</v>
      </c>
      <c r="Q152" s="13">
        <v>0</v>
      </c>
      <c r="R152" s="13">
        <v>50558.185100000002</v>
      </c>
      <c r="S152" s="13">
        <v>1482.8146999999999</v>
      </c>
      <c r="T152" s="13">
        <v>49075.3704</v>
      </c>
      <c r="U152" s="13">
        <v>50</v>
      </c>
      <c r="V152" s="13">
        <v>50</v>
      </c>
      <c r="W152" s="13">
        <v>0</v>
      </c>
      <c r="X152" s="13">
        <v>3465.8971000000001</v>
      </c>
      <c r="Y152" s="13">
        <v>96.28540000000001</v>
      </c>
      <c r="Z152" s="13">
        <v>3369.6116999999999</v>
      </c>
      <c r="AA152" s="13">
        <v>66</v>
      </c>
      <c r="AB152" s="13">
        <v>66</v>
      </c>
      <c r="AC152" s="13">
        <v>0</v>
      </c>
      <c r="AD152" s="13">
        <v>4100.5844999999999</v>
      </c>
      <c r="AE152" s="13">
        <v>150.85649999999998</v>
      </c>
      <c r="AF152" s="13">
        <v>3949.7280000000001</v>
      </c>
      <c r="AG152" s="13">
        <v>69</v>
      </c>
      <c r="AH152" s="13">
        <v>69</v>
      </c>
      <c r="AI152" s="13">
        <v>0</v>
      </c>
      <c r="AJ152" s="13">
        <v>3428.1965999999998</v>
      </c>
      <c r="AK152" s="13">
        <v>132.64230000000001</v>
      </c>
      <c r="AL152" s="13">
        <v>3295.5542999999998</v>
      </c>
      <c r="AM152" s="13">
        <v>46</v>
      </c>
      <c r="AN152" s="13">
        <v>46</v>
      </c>
      <c r="AO152" s="13">
        <v>0</v>
      </c>
      <c r="AP152" s="13">
        <v>3619.2685999999999</v>
      </c>
      <c r="AQ152" s="13">
        <v>138.57080000000002</v>
      </c>
      <c r="AR152" s="13">
        <v>3480.6977999999999</v>
      </c>
      <c r="AS152" s="13">
        <v>56</v>
      </c>
      <c r="AT152" s="13">
        <v>56</v>
      </c>
      <c r="AU152" s="13">
        <v>0</v>
      </c>
      <c r="AV152" s="13">
        <v>4831.5439000000006</v>
      </c>
      <c r="AW152" s="13">
        <v>165.92770000000002</v>
      </c>
      <c r="AX152" s="13">
        <v>4665.6162000000004</v>
      </c>
      <c r="AY152" s="13">
        <v>36</v>
      </c>
      <c r="AZ152" s="13">
        <v>36</v>
      </c>
      <c r="BA152" s="13">
        <v>0</v>
      </c>
      <c r="BB152" s="13">
        <v>3766.2552000000001</v>
      </c>
      <c r="BC152" s="13">
        <v>88.070999999999998</v>
      </c>
      <c r="BD152" s="13">
        <v>3678.1842000000001</v>
      </c>
      <c r="BE152" s="13">
        <v>43</v>
      </c>
      <c r="BF152" s="13">
        <v>43</v>
      </c>
      <c r="BG152" s="13">
        <v>0</v>
      </c>
      <c r="BH152" s="13">
        <v>3516.9472000000001</v>
      </c>
      <c r="BI152" s="13">
        <v>97.963899999999995</v>
      </c>
      <c r="BJ152" s="13">
        <v>3418.9832999999999</v>
      </c>
      <c r="BK152" s="13">
        <v>39</v>
      </c>
      <c r="BL152" s="13">
        <v>39</v>
      </c>
      <c r="BM152" s="13">
        <v>0</v>
      </c>
      <c r="BN152" s="13">
        <v>4206.6562000000004</v>
      </c>
      <c r="BO152" s="13">
        <v>133.4992</v>
      </c>
      <c r="BP152" s="13">
        <v>4073.1570000000002</v>
      </c>
      <c r="BQ152" s="13">
        <v>43</v>
      </c>
      <c r="BR152" s="13">
        <v>43</v>
      </c>
      <c r="BS152" s="13">
        <v>0</v>
      </c>
      <c r="BT152" s="13">
        <v>3467.5756000000001</v>
      </c>
      <c r="BU152" s="13">
        <v>97.963899999999995</v>
      </c>
      <c r="BV152" s="13">
        <v>3369.6116999999999</v>
      </c>
      <c r="BW152" s="13">
        <v>36</v>
      </c>
      <c r="BX152" s="13">
        <v>36</v>
      </c>
      <c r="BY152" s="13">
        <v>0</v>
      </c>
      <c r="BZ152" s="13">
        <v>3748.5119999999997</v>
      </c>
      <c r="CA152" s="13">
        <v>107.3565</v>
      </c>
      <c r="CB152" s="13">
        <v>3641.1554999999998</v>
      </c>
      <c r="CC152" s="13">
        <v>74</v>
      </c>
      <c r="CD152" s="13">
        <v>74</v>
      </c>
      <c r="CE152" s="13">
        <v>0</v>
      </c>
      <c r="CF152" s="13">
        <v>4718.4014000000006</v>
      </c>
      <c r="CG152" s="13">
        <v>114.49969999999999</v>
      </c>
      <c r="CH152" s="13">
        <v>4603.9017000000003</v>
      </c>
      <c r="CI152" s="13">
        <v>20</v>
      </c>
      <c r="CJ152" s="13">
        <v>20</v>
      </c>
      <c r="CK152" s="13">
        <v>0</v>
      </c>
      <c r="CL152" s="13">
        <v>3699.9194000000002</v>
      </c>
      <c r="CM152" s="13">
        <v>71.106799999999993</v>
      </c>
      <c r="CN152" s="13">
        <v>3628.8126000000002</v>
      </c>
      <c r="CO152" s="13">
        <v>36</v>
      </c>
      <c r="CP152" s="13">
        <v>36</v>
      </c>
      <c r="CQ152" s="13">
        <v>0</v>
      </c>
      <c r="CR152" s="13">
        <v>3988.4274</v>
      </c>
      <c r="CS152" s="13">
        <v>88.070999999999998</v>
      </c>
      <c r="CT152" s="13">
        <v>3900.3564000000001</v>
      </c>
      <c r="CU152" s="13">
        <f t="shared" si="16"/>
        <v>564</v>
      </c>
      <c r="CV152" s="13">
        <f t="shared" si="16"/>
        <v>564</v>
      </c>
      <c r="CW152" s="13">
        <f t="shared" si="16"/>
        <v>0</v>
      </c>
      <c r="CX152" s="13">
        <f t="shared" si="12"/>
        <v>47092.288</v>
      </c>
      <c r="CY152" s="13">
        <f t="shared" si="12"/>
        <v>1386.5292999999999</v>
      </c>
      <c r="CZ152" s="13">
        <f t="shared" si="12"/>
        <v>45705.758699999998</v>
      </c>
      <c r="DA152" s="13">
        <f t="shared" si="17"/>
        <v>130</v>
      </c>
      <c r="DB152" s="13">
        <f t="shared" si="17"/>
        <v>130</v>
      </c>
      <c r="DC152" s="13">
        <f t="shared" si="17"/>
        <v>0</v>
      </c>
      <c r="DD152" s="13">
        <f t="shared" si="13"/>
        <v>12406.748200000002</v>
      </c>
      <c r="DE152" s="13">
        <f t="shared" si="13"/>
        <v>273.67750000000001</v>
      </c>
      <c r="DF152" s="13">
        <f t="shared" si="13"/>
        <v>12133.0707</v>
      </c>
      <c r="DG152" s="13">
        <f t="shared" si="18"/>
        <v>118</v>
      </c>
      <c r="DH152" s="13">
        <f t="shared" si="18"/>
        <v>118</v>
      </c>
      <c r="DI152" s="13">
        <f t="shared" si="18"/>
        <v>0</v>
      </c>
      <c r="DJ152" s="13">
        <f t="shared" si="14"/>
        <v>11422.7438</v>
      </c>
      <c r="DK152" s="13">
        <f t="shared" si="14"/>
        <v>338.81959999999998</v>
      </c>
      <c r="DL152" s="13">
        <f t="shared" si="14"/>
        <v>11083.924200000001</v>
      </c>
      <c r="DM152" s="13">
        <f t="shared" si="19"/>
        <v>56</v>
      </c>
      <c r="DN152" s="13">
        <f t="shared" si="19"/>
        <v>56</v>
      </c>
      <c r="DO152" s="13">
        <f t="shared" si="19"/>
        <v>0</v>
      </c>
      <c r="DP152" s="13">
        <f t="shared" si="15"/>
        <v>7688.3468000000003</v>
      </c>
      <c r="DQ152" s="13">
        <f t="shared" si="15"/>
        <v>159.17779999999999</v>
      </c>
      <c r="DR152" s="13">
        <f t="shared" si="15"/>
        <v>7529.1689999999999</v>
      </c>
      <c r="DS152" s="14" t="s">
        <v>81</v>
      </c>
      <c r="DT152" s="14" t="s">
        <v>92</v>
      </c>
      <c r="DU152" s="14" t="s">
        <v>73</v>
      </c>
      <c r="DV152" s="14" t="s">
        <v>63</v>
      </c>
      <c r="DW152" s="14" t="s">
        <v>74</v>
      </c>
    </row>
    <row r="153" spans="2:127" x14ac:dyDescent="0.3">
      <c r="B153" s="11" t="s">
        <v>65</v>
      </c>
      <c r="C153" s="14">
        <v>5001338745</v>
      </c>
      <c r="D153" s="11" t="s">
        <v>549</v>
      </c>
      <c r="E153" s="11" t="s">
        <v>522</v>
      </c>
      <c r="F153" s="11" t="s">
        <v>550</v>
      </c>
      <c r="G153" s="11" t="s">
        <v>551</v>
      </c>
      <c r="H153" s="11" t="s">
        <v>206</v>
      </c>
      <c r="I153" s="11">
        <v>14850</v>
      </c>
      <c r="J153" s="11" t="s">
        <v>109</v>
      </c>
      <c r="K153" s="11"/>
      <c r="L153" s="11"/>
      <c r="M153" s="11"/>
      <c r="N153" s="11"/>
      <c r="O153" s="13">
        <v>325</v>
      </c>
      <c r="P153" s="13">
        <v>325</v>
      </c>
      <c r="Q153" s="13">
        <v>0</v>
      </c>
      <c r="R153" s="13">
        <v>6060.0102999999999</v>
      </c>
      <c r="S153" s="13">
        <v>530.39110000000005</v>
      </c>
      <c r="T153" s="13">
        <v>5529.6192000000001</v>
      </c>
      <c r="U153" s="13">
        <v>7</v>
      </c>
      <c r="V153" s="13">
        <v>7</v>
      </c>
      <c r="W153" s="13">
        <v>0</v>
      </c>
      <c r="X153" s="13">
        <v>382.30110000000002</v>
      </c>
      <c r="Y153" s="13">
        <v>24.356999999999999</v>
      </c>
      <c r="Z153" s="13">
        <v>357.94409999999999</v>
      </c>
      <c r="AA153" s="13">
        <v>23</v>
      </c>
      <c r="AB153" s="13">
        <v>23</v>
      </c>
      <c r="AC153" s="13">
        <v>0</v>
      </c>
      <c r="AD153" s="13">
        <v>608.13040000000001</v>
      </c>
      <c r="AE153" s="13">
        <v>40.356999999999999</v>
      </c>
      <c r="AF153" s="13">
        <v>567.77340000000004</v>
      </c>
      <c r="AG153" s="13">
        <v>32</v>
      </c>
      <c r="AH153" s="13">
        <v>32</v>
      </c>
      <c r="AI153" s="13">
        <v>0</v>
      </c>
      <c r="AJ153" s="13">
        <v>451.65859999999998</v>
      </c>
      <c r="AK153" s="13">
        <v>32</v>
      </c>
      <c r="AL153" s="13">
        <v>419.65859999999998</v>
      </c>
      <c r="AM153" s="13">
        <v>41</v>
      </c>
      <c r="AN153" s="13">
        <v>41</v>
      </c>
      <c r="AO153" s="13">
        <v>0</v>
      </c>
      <c r="AP153" s="13">
        <v>342.24369999999999</v>
      </c>
      <c r="AQ153" s="13">
        <v>58.356999999999999</v>
      </c>
      <c r="AR153" s="13">
        <v>283.88670000000002</v>
      </c>
      <c r="AS153" s="13">
        <v>46</v>
      </c>
      <c r="AT153" s="13">
        <v>46</v>
      </c>
      <c r="AU153" s="13">
        <v>0</v>
      </c>
      <c r="AV153" s="13">
        <v>483.01559999999995</v>
      </c>
      <c r="AW153" s="13">
        <v>63.356999999999999</v>
      </c>
      <c r="AX153" s="13">
        <v>419.65859999999998</v>
      </c>
      <c r="AY153" s="13">
        <v>30</v>
      </c>
      <c r="AZ153" s="13">
        <v>30</v>
      </c>
      <c r="BA153" s="13">
        <v>0</v>
      </c>
      <c r="BB153" s="13">
        <v>405.30110000000002</v>
      </c>
      <c r="BC153" s="13">
        <v>47.356999999999999</v>
      </c>
      <c r="BD153" s="13">
        <v>357.94409999999999</v>
      </c>
      <c r="BE153" s="13">
        <v>14</v>
      </c>
      <c r="BF153" s="13">
        <v>14</v>
      </c>
      <c r="BG153" s="13">
        <v>0</v>
      </c>
      <c r="BH153" s="13">
        <v>401.64400000000001</v>
      </c>
      <c r="BI153" s="13">
        <v>31.356999999999999</v>
      </c>
      <c r="BJ153" s="13">
        <v>370.28699999999998</v>
      </c>
      <c r="BK153" s="13">
        <v>17</v>
      </c>
      <c r="BL153" s="13">
        <v>17</v>
      </c>
      <c r="BM153" s="13">
        <v>0</v>
      </c>
      <c r="BN153" s="13">
        <v>676.18779999999992</v>
      </c>
      <c r="BO153" s="13">
        <v>34.356999999999999</v>
      </c>
      <c r="BP153" s="13">
        <v>641.83079999999995</v>
      </c>
      <c r="BQ153" s="13">
        <v>7</v>
      </c>
      <c r="BR153" s="13">
        <v>7</v>
      </c>
      <c r="BS153" s="13">
        <v>0</v>
      </c>
      <c r="BT153" s="13">
        <v>357.61530000000005</v>
      </c>
      <c r="BU153" s="13">
        <v>24.356999999999999</v>
      </c>
      <c r="BV153" s="13">
        <v>333.25830000000002</v>
      </c>
      <c r="BW153" s="13">
        <v>17</v>
      </c>
      <c r="BX153" s="13">
        <v>17</v>
      </c>
      <c r="BY153" s="13">
        <v>0</v>
      </c>
      <c r="BZ153" s="13">
        <v>466.35850000000005</v>
      </c>
      <c r="CA153" s="13">
        <v>34.356999999999999</v>
      </c>
      <c r="CB153" s="13">
        <v>432.00150000000002</v>
      </c>
      <c r="CC153" s="13">
        <v>37</v>
      </c>
      <c r="CD153" s="13">
        <v>37</v>
      </c>
      <c r="CE153" s="13">
        <v>0</v>
      </c>
      <c r="CF153" s="13">
        <v>572.75879999999995</v>
      </c>
      <c r="CG153" s="13">
        <v>54.356999999999999</v>
      </c>
      <c r="CH153" s="13">
        <v>518.40179999999998</v>
      </c>
      <c r="CI153" s="13">
        <v>27</v>
      </c>
      <c r="CJ153" s="13">
        <v>27</v>
      </c>
      <c r="CK153" s="13">
        <v>0</v>
      </c>
      <c r="CL153" s="13">
        <v>463.05129999999997</v>
      </c>
      <c r="CM153" s="13">
        <v>43.392700000000005</v>
      </c>
      <c r="CN153" s="13">
        <v>419.65859999999998</v>
      </c>
      <c r="CO153" s="13">
        <v>27</v>
      </c>
      <c r="CP153" s="13">
        <v>27</v>
      </c>
      <c r="CQ153" s="13">
        <v>0</v>
      </c>
      <c r="CR153" s="13">
        <v>449.7441</v>
      </c>
      <c r="CS153" s="13">
        <v>42.428399999999996</v>
      </c>
      <c r="CT153" s="13">
        <v>407.31569999999999</v>
      </c>
      <c r="CU153" s="13">
        <f t="shared" si="16"/>
        <v>318</v>
      </c>
      <c r="CV153" s="13">
        <f t="shared" si="16"/>
        <v>318</v>
      </c>
      <c r="CW153" s="13">
        <f t="shared" si="16"/>
        <v>0</v>
      </c>
      <c r="CX153" s="13">
        <f t="shared" si="12"/>
        <v>5677.7091999999993</v>
      </c>
      <c r="CY153" s="13">
        <f t="shared" si="12"/>
        <v>506.03409999999985</v>
      </c>
      <c r="CZ153" s="13">
        <f t="shared" si="12"/>
        <v>5171.6750999999995</v>
      </c>
      <c r="DA153" s="13">
        <f t="shared" si="17"/>
        <v>91</v>
      </c>
      <c r="DB153" s="13">
        <f t="shared" si="17"/>
        <v>91</v>
      </c>
      <c r="DC153" s="13">
        <f t="shared" si="17"/>
        <v>0</v>
      </c>
      <c r="DD153" s="13">
        <f t="shared" si="13"/>
        <v>1485.5542</v>
      </c>
      <c r="DE153" s="13">
        <f t="shared" si="13"/>
        <v>140.1781</v>
      </c>
      <c r="DF153" s="13">
        <f t="shared" si="13"/>
        <v>1345.3761</v>
      </c>
      <c r="DG153" s="13">
        <f t="shared" si="18"/>
        <v>41</v>
      </c>
      <c r="DH153" s="13">
        <f t="shared" si="18"/>
        <v>41</v>
      </c>
      <c r="DI153" s="13">
        <f t="shared" si="18"/>
        <v>0</v>
      </c>
      <c r="DJ153" s="13">
        <f t="shared" si="14"/>
        <v>1500.1616000000001</v>
      </c>
      <c r="DK153" s="13">
        <f t="shared" si="14"/>
        <v>93.070999999999998</v>
      </c>
      <c r="DL153" s="13">
        <f t="shared" si="14"/>
        <v>1407.0906</v>
      </c>
      <c r="DM153" s="13">
        <f t="shared" si="19"/>
        <v>54</v>
      </c>
      <c r="DN153" s="13">
        <f t="shared" si="19"/>
        <v>54</v>
      </c>
      <c r="DO153" s="13">
        <f t="shared" si="19"/>
        <v>0</v>
      </c>
      <c r="DP153" s="13">
        <f t="shared" si="15"/>
        <v>912.79539999999997</v>
      </c>
      <c r="DQ153" s="13">
        <f t="shared" si="15"/>
        <v>85.821100000000001</v>
      </c>
      <c r="DR153" s="13">
        <f t="shared" si="15"/>
        <v>826.97429999999997</v>
      </c>
      <c r="DS153" s="14" t="s">
        <v>81</v>
      </c>
      <c r="DT153" s="14" t="s">
        <v>81</v>
      </c>
      <c r="DU153" s="14" t="s">
        <v>73</v>
      </c>
      <c r="DV153" s="14" t="s">
        <v>82</v>
      </c>
      <c r="DW153" s="14" t="s">
        <v>74</v>
      </c>
    </row>
    <row r="154" spans="2:127" x14ac:dyDescent="0.3">
      <c r="B154" s="11" t="s">
        <v>53</v>
      </c>
      <c r="C154" s="14">
        <v>5001338974</v>
      </c>
      <c r="D154" s="11" t="s">
        <v>552</v>
      </c>
      <c r="E154" s="11" t="s">
        <v>522</v>
      </c>
      <c r="F154" s="11" t="s">
        <v>553</v>
      </c>
      <c r="G154" s="11" t="s">
        <v>554</v>
      </c>
      <c r="H154" s="11" t="s">
        <v>58</v>
      </c>
      <c r="I154" s="11">
        <v>90703</v>
      </c>
      <c r="J154" s="11" t="s">
        <v>70</v>
      </c>
      <c r="K154" s="11"/>
      <c r="L154" s="11"/>
      <c r="M154" s="11"/>
      <c r="N154" s="11"/>
      <c r="O154" s="13">
        <v>295</v>
      </c>
      <c r="P154" s="13">
        <v>295</v>
      </c>
      <c r="Q154" s="13">
        <v>0</v>
      </c>
      <c r="R154" s="13">
        <v>20425.8616</v>
      </c>
      <c r="S154" s="13">
        <v>2368.1988999999999</v>
      </c>
      <c r="T154" s="13">
        <v>18057.662700000001</v>
      </c>
      <c r="U154" s="13">
        <v>21</v>
      </c>
      <c r="V154" s="13">
        <v>21</v>
      </c>
      <c r="W154" s="13">
        <v>0</v>
      </c>
      <c r="X154" s="13">
        <v>1699.4403</v>
      </c>
      <c r="Y154" s="13">
        <v>131.892</v>
      </c>
      <c r="Z154" s="13">
        <v>1567.5482999999999</v>
      </c>
      <c r="AA154" s="13">
        <v>7</v>
      </c>
      <c r="AB154" s="13">
        <v>7</v>
      </c>
      <c r="AC154" s="13">
        <v>0</v>
      </c>
      <c r="AD154" s="13">
        <v>3059.9375</v>
      </c>
      <c r="AE154" s="13">
        <v>159.35599999999999</v>
      </c>
      <c r="AF154" s="13">
        <v>2900.5814999999998</v>
      </c>
      <c r="AG154" s="13">
        <v>0</v>
      </c>
      <c r="AH154" s="13">
        <v>0</v>
      </c>
      <c r="AI154" s="13">
        <v>0</v>
      </c>
      <c r="AJ154" s="13">
        <v>858.02250000000004</v>
      </c>
      <c r="AK154" s="13">
        <v>166.8201</v>
      </c>
      <c r="AL154" s="13">
        <v>691.20240000000001</v>
      </c>
      <c r="AM154" s="13">
        <v>0</v>
      </c>
      <c r="AN154" s="13">
        <v>0</v>
      </c>
      <c r="AO154" s="13">
        <v>0</v>
      </c>
      <c r="AP154" s="13">
        <v>1409.5968</v>
      </c>
      <c r="AQ154" s="13">
        <v>101.24939999999999</v>
      </c>
      <c r="AR154" s="13">
        <v>1308.3474000000001</v>
      </c>
      <c r="AS154" s="13">
        <v>30</v>
      </c>
      <c r="AT154" s="13">
        <v>30</v>
      </c>
      <c r="AU154" s="13">
        <v>0</v>
      </c>
      <c r="AV154" s="13">
        <v>1942.3767</v>
      </c>
      <c r="AW154" s="13">
        <v>164.9991</v>
      </c>
      <c r="AX154" s="13">
        <v>1777.3776</v>
      </c>
      <c r="AY154" s="13">
        <v>0</v>
      </c>
      <c r="AZ154" s="13">
        <v>0</v>
      </c>
      <c r="BA154" s="13">
        <v>0</v>
      </c>
      <c r="BB154" s="13">
        <v>998.81009999999992</v>
      </c>
      <c r="BC154" s="13">
        <v>60.749699999999997</v>
      </c>
      <c r="BD154" s="13">
        <v>938.06039999999996</v>
      </c>
      <c r="BE154" s="13">
        <v>32</v>
      </c>
      <c r="BF154" s="13">
        <v>32</v>
      </c>
      <c r="BG154" s="13">
        <v>0</v>
      </c>
      <c r="BH154" s="13">
        <v>1447.7670000000001</v>
      </c>
      <c r="BI154" s="13">
        <v>225.81989999999999</v>
      </c>
      <c r="BJ154" s="13">
        <v>1221.9471000000001</v>
      </c>
      <c r="BK154" s="13">
        <v>20</v>
      </c>
      <c r="BL154" s="13">
        <v>20</v>
      </c>
      <c r="BM154" s="13">
        <v>0</v>
      </c>
      <c r="BN154" s="13">
        <v>1486.1036000000001</v>
      </c>
      <c r="BO154" s="13">
        <v>153.07040000000001</v>
      </c>
      <c r="BP154" s="13">
        <v>1333.0332000000001</v>
      </c>
      <c r="BQ154" s="13">
        <v>21</v>
      </c>
      <c r="BR154" s="13">
        <v>21</v>
      </c>
      <c r="BS154" s="13">
        <v>0</v>
      </c>
      <c r="BT154" s="13">
        <v>1239.4740999999999</v>
      </c>
      <c r="BU154" s="13">
        <v>165.64179999999999</v>
      </c>
      <c r="BV154" s="13">
        <v>1073.8323</v>
      </c>
      <c r="BW154" s="13">
        <v>57</v>
      </c>
      <c r="BX154" s="13">
        <v>57</v>
      </c>
      <c r="BY154" s="13">
        <v>0</v>
      </c>
      <c r="BZ154" s="13">
        <v>1319.0600999999999</v>
      </c>
      <c r="CA154" s="13">
        <v>195.8562</v>
      </c>
      <c r="CB154" s="13">
        <v>1123.2039</v>
      </c>
      <c r="CC154" s="13">
        <v>24</v>
      </c>
      <c r="CD154" s="13">
        <v>24</v>
      </c>
      <c r="CE154" s="13">
        <v>0</v>
      </c>
      <c r="CF154" s="13">
        <v>1602.1534000000001</v>
      </c>
      <c r="CG154" s="13">
        <v>219.74860000000001</v>
      </c>
      <c r="CH154" s="13">
        <v>1382.4048</v>
      </c>
      <c r="CI154" s="13">
        <v>50</v>
      </c>
      <c r="CJ154" s="13">
        <v>50</v>
      </c>
      <c r="CK154" s="13">
        <v>0</v>
      </c>
      <c r="CL154" s="13">
        <v>1473.866</v>
      </c>
      <c r="CM154" s="13">
        <v>338.31920000000002</v>
      </c>
      <c r="CN154" s="13">
        <v>1135.5468000000001</v>
      </c>
      <c r="CO154" s="13">
        <v>33</v>
      </c>
      <c r="CP154" s="13">
        <v>33</v>
      </c>
      <c r="CQ154" s="13">
        <v>0</v>
      </c>
      <c r="CR154" s="13">
        <v>1889.2535</v>
      </c>
      <c r="CS154" s="13">
        <v>284.67650000000003</v>
      </c>
      <c r="CT154" s="13">
        <v>1604.577</v>
      </c>
      <c r="CU154" s="13">
        <f t="shared" si="16"/>
        <v>274</v>
      </c>
      <c r="CV154" s="13">
        <f t="shared" si="16"/>
        <v>274</v>
      </c>
      <c r="CW154" s="13">
        <f t="shared" si="16"/>
        <v>0</v>
      </c>
      <c r="CX154" s="13">
        <f t="shared" si="12"/>
        <v>18726.421300000002</v>
      </c>
      <c r="CY154" s="13">
        <f t="shared" si="12"/>
        <v>2236.3069</v>
      </c>
      <c r="CZ154" s="13">
        <f t="shared" si="12"/>
        <v>16490.114400000002</v>
      </c>
      <c r="DA154" s="13">
        <f t="shared" si="17"/>
        <v>107</v>
      </c>
      <c r="DB154" s="13">
        <f t="shared" si="17"/>
        <v>107</v>
      </c>
      <c r="DC154" s="13">
        <f t="shared" si="17"/>
        <v>0</v>
      </c>
      <c r="DD154" s="13">
        <f t="shared" si="13"/>
        <v>4965.2728999999999</v>
      </c>
      <c r="DE154" s="13">
        <f t="shared" si="13"/>
        <v>842.74430000000007</v>
      </c>
      <c r="DF154" s="13">
        <f t="shared" si="13"/>
        <v>4122.5286000000006</v>
      </c>
      <c r="DG154" s="13">
        <f t="shared" si="18"/>
        <v>98</v>
      </c>
      <c r="DH154" s="13">
        <f t="shared" si="18"/>
        <v>98</v>
      </c>
      <c r="DI154" s="13">
        <f t="shared" si="18"/>
        <v>0</v>
      </c>
      <c r="DJ154" s="13">
        <f t="shared" si="14"/>
        <v>4044.6377999999995</v>
      </c>
      <c r="DK154" s="13">
        <f t="shared" si="14"/>
        <v>514.5684</v>
      </c>
      <c r="DL154" s="13">
        <f t="shared" si="14"/>
        <v>3530.0693999999999</v>
      </c>
      <c r="DM154" s="13">
        <f t="shared" si="19"/>
        <v>83</v>
      </c>
      <c r="DN154" s="13">
        <f t="shared" si="19"/>
        <v>83</v>
      </c>
      <c r="DO154" s="13">
        <f t="shared" si="19"/>
        <v>0</v>
      </c>
      <c r="DP154" s="13">
        <f t="shared" si="15"/>
        <v>3363.1194999999998</v>
      </c>
      <c r="DQ154" s="13">
        <f t="shared" si="15"/>
        <v>622.99570000000006</v>
      </c>
      <c r="DR154" s="13">
        <f t="shared" si="15"/>
        <v>2740.1238000000003</v>
      </c>
      <c r="DS154" s="14" t="s">
        <v>60</v>
      </c>
      <c r="DT154" s="14" t="s">
        <v>61</v>
      </c>
      <c r="DU154" s="14" t="s">
        <v>73</v>
      </c>
      <c r="DV154" s="14" t="s">
        <v>63</v>
      </c>
      <c r="DW154" s="14" t="s">
        <v>64</v>
      </c>
    </row>
    <row r="155" spans="2:127" x14ac:dyDescent="0.3">
      <c r="B155" s="11" t="s">
        <v>65</v>
      </c>
      <c r="C155" s="14">
        <v>5001339388</v>
      </c>
      <c r="D155" s="11" t="s">
        <v>555</v>
      </c>
      <c r="E155" s="11" t="s">
        <v>522</v>
      </c>
      <c r="F155" s="11" t="s">
        <v>556</v>
      </c>
      <c r="G155" s="11" t="s">
        <v>557</v>
      </c>
      <c r="H155" s="11" t="s">
        <v>150</v>
      </c>
      <c r="I155" s="11">
        <v>46307</v>
      </c>
      <c r="J155" s="11" t="s">
        <v>70</v>
      </c>
      <c r="K155" s="11"/>
      <c r="L155" s="11"/>
      <c r="M155" s="11"/>
      <c r="N155" s="11"/>
      <c r="O155" s="13">
        <v>0</v>
      </c>
      <c r="P155" s="13">
        <v>0</v>
      </c>
      <c r="Q155" s="13">
        <v>0</v>
      </c>
      <c r="R155" s="13">
        <v>20721.407200000001</v>
      </c>
      <c r="S155" s="13">
        <v>590.13729999999998</v>
      </c>
      <c r="T155" s="13">
        <v>20131.269899999999</v>
      </c>
      <c r="U155" s="13">
        <v>0</v>
      </c>
      <c r="V155" s="13">
        <v>0</v>
      </c>
      <c r="W155" s="13">
        <v>0</v>
      </c>
      <c r="X155" s="13">
        <v>1272.6676</v>
      </c>
      <c r="Y155" s="13">
        <v>87.749200000000002</v>
      </c>
      <c r="Z155" s="13">
        <v>1184.9184</v>
      </c>
      <c r="AA155" s="13">
        <v>0</v>
      </c>
      <c r="AB155" s="13">
        <v>0</v>
      </c>
      <c r="AC155" s="13">
        <v>0</v>
      </c>
      <c r="AD155" s="13">
        <v>1866.0919000000001</v>
      </c>
      <c r="AE155" s="13">
        <v>26.9998</v>
      </c>
      <c r="AF155" s="13">
        <v>1839.0921000000001</v>
      </c>
      <c r="AG155" s="13">
        <v>0</v>
      </c>
      <c r="AH155" s="13">
        <v>0</v>
      </c>
      <c r="AI155" s="13">
        <v>0</v>
      </c>
      <c r="AJ155" s="13">
        <v>1505.2548999999999</v>
      </c>
      <c r="AK155" s="13">
        <v>24.1069</v>
      </c>
      <c r="AL155" s="13">
        <v>1481.1479999999999</v>
      </c>
      <c r="AM155" s="13">
        <v>0</v>
      </c>
      <c r="AN155" s="13">
        <v>0</v>
      </c>
      <c r="AO155" s="13">
        <v>0</v>
      </c>
      <c r="AP155" s="13">
        <v>1316.6396999999999</v>
      </c>
      <c r="AQ155" s="13">
        <v>45.320999999999998</v>
      </c>
      <c r="AR155" s="13">
        <v>1271.3187</v>
      </c>
      <c r="AS155" s="13">
        <v>0</v>
      </c>
      <c r="AT155" s="13">
        <v>0</v>
      </c>
      <c r="AU155" s="13">
        <v>0</v>
      </c>
      <c r="AV155" s="13">
        <v>1884.4131</v>
      </c>
      <c r="AW155" s="13">
        <v>45.320999999999998</v>
      </c>
      <c r="AX155" s="13">
        <v>1839.0921000000001</v>
      </c>
      <c r="AY155" s="13">
        <v>0</v>
      </c>
      <c r="AZ155" s="13">
        <v>0</v>
      </c>
      <c r="BA155" s="13">
        <v>0</v>
      </c>
      <c r="BB155" s="13">
        <v>1614.0263</v>
      </c>
      <c r="BC155" s="13">
        <v>58.820900000000002</v>
      </c>
      <c r="BD155" s="13">
        <v>1555.2054000000001</v>
      </c>
      <c r="BE155" s="13">
        <v>0</v>
      </c>
      <c r="BF155" s="13">
        <v>0</v>
      </c>
      <c r="BG155" s="13">
        <v>0</v>
      </c>
      <c r="BH155" s="13">
        <v>1562.3407000000002</v>
      </c>
      <c r="BI155" s="13">
        <v>31.821100000000001</v>
      </c>
      <c r="BJ155" s="13">
        <v>1530.5196000000001</v>
      </c>
      <c r="BK155" s="13">
        <v>0</v>
      </c>
      <c r="BL155" s="13">
        <v>0</v>
      </c>
      <c r="BM155" s="13">
        <v>0</v>
      </c>
      <c r="BN155" s="13">
        <v>1934.9416999999999</v>
      </c>
      <c r="BO155" s="13">
        <v>58.820900000000002</v>
      </c>
      <c r="BP155" s="13">
        <v>1876.1207999999999</v>
      </c>
      <c r="BQ155" s="13">
        <v>0</v>
      </c>
      <c r="BR155" s="13">
        <v>0</v>
      </c>
      <c r="BS155" s="13">
        <v>0</v>
      </c>
      <c r="BT155" s="13">
        <v>1625.2121999999999</v>
      </c>
      <c r="BU155" s="13">
        <v>45.320999999999998</v>
      </c>
      <c r="BV155" s="13">
        <v>1579.8912</v>
      </c>
      <c r="BW155" s="13">
        <v>0</v>
      </c>
      <c r="BX155" s="13">
        <v>0</v>
      </c>
      <c r="BY155" s="13">
        <v>0</v>
      </c>
      <c r="BZ155" s="13">
        <v>1415.3828999999998</v>
      </c>
      <c r="CA155" s="13">
        <v>45.320999999999998</v>
      </c>
      <c r="CB155" s="13">
        <v>1370.0618999999999</v>
      </c>
      <c r="CC155" s="13">
        <v>0</v>
      </c>
      <c r="CD155" s="13">
        <v>0</v>
      </c>
      <c r="CE155" s="13">
        <v>0</v>
      </c>
      <c r="CF155" s="13">
        <v>1896.7559999999999</v>
      </c>
      <c r="CG155" s="13">
        <v>45.320999999999998</v>
      </c>
      <c r="CH155" s="13">
        <v>1851.4349999999999</v>
      </c>
      <c r="CI155" s="13">
        <v>0</v>
      </c>
      <c r="CJ155" s="13">
        <v>0</v>
      </c>
      <c r="CK155" s="13">
        <v>0</v>
      </c>
      <c r="CL155" s="13">
        <v>1648.9337</v>
      </c>
      <c r="CM155" s="13">
        <v>44.356699999999996</v>
      </c>
      <c r="CN155" s="13">
        <v>1604.577</v>
      </c>
      <c r="CO155" s="13">
        <v>0</v>
      </c>
      <c r="CP155" s="13">
        <v>0</v>
      </c>
      <c r="CQ155" s="13">
        <v>0</v>
      </c>
      <c r="CR155" s="13">
        <v>1178.7465</v>
      </c>
      <c r="CS155" s="13">
        <v>30.8568</v>
      </c>
      <c r="CT155" s="13">
        <v>1147.8896999999999</v>
      </c>
      <c r="CU155" s="13">
        <f t="shared" si="16"/>
        <v>0</v>
      </c>
      <c r="CV155" s="13">
        <f t="shared" si="16"/>
        <v>0</v>
      </c>
      <c r="CW155" s="13">
        <f t="shared" si="16"/>
        <v>0</v>
      </c>
      <c r="CX155" s="13">
        <f t="shared" si="12"/>
        <v>19448.739600000004</v>
      </c>
      <c r="CY155" s="13">
        <f t="shared" si="12"/>
        <v>502.38810000000007</v>
      </c>
      <c r="CZ155" s="13">
        <f t="shared" si="12"/>
        <v>18946.351500000001</v>
      </c>
      <c r="DA155" s="13">
        <f t="shared" si="17"/>
        <v>0</v>
      </c>
      <c r="DB155" s="13">
        <f t="shared" si="17"/>
        <v>0</v>
      </c>
      <c r="DC155" s="13">
        <f t="shared" si="17"/>
        <v>0</v>
      </c>
      <c r="DD155" s="13">
        <f t="shared" si="13"/>
        <v>4724.4362000000001</v>
      </c>
      <c r="DE155" s="13">
        <f t="shared" si="13"/>
        <v>120.53449999999998</v>
      </c>
      <c r="DF155" s="13">
        <f t="shared" si="13"/>
        <v>4603.9016999999994</v>
      </c>
      <c r="DG155" s="13">
        <f t="shared" si="18"/>
        <v>0</v>
      </c>
      <c r="DH155" s="13">
        <f t="shared" si="18"/>
        <v>0</v>
      </c>
      <c r="DI155" s="13">
        <f t="shared" si="18"/>
        <v>0</v>
      </c>
      <c r="DJ155" s="13">
        <f t="shared" si="14"/>
        <v>4975.5367999999999</v>
      </c>
      <c r="DK155" s="13">
        <f t="shared" si="14"/>
        <v>149.46289999999999</v>
      </c>
      <c r="DL155" s="13">
        <f t="shared" si="14"/>
        <v>4826.0738999999994</v>
      </c>
      <c r="DM155" s="13">
        <f t="shared" si="19"/>
        <v>0</v>
      </c>
      <c r="DN155" s="13">
        <f t="shared" si="19"/>
        <v>0</v>
      </c>
      <c r="DO155" s="13">
        <f t="shared" si="19"/>
        <v>0</v>
      </c>
      <c r="DP155" s="13">
        <f t="shared" si="15"/>
        <v>2827.6801999999998</v>
      </c>
      <c r="DQ155" s="13">
        <f t="shared" si="15"/>
        <v>75.213499999999996</v>
      </c>
      <c r="DR155" s="13">
        <f t="shared" si="15"/>
        <v>2752.4666999999999</v>
      </c>
      <c r="DS155" s="14" t="s">
        <v>138</v>
      </c>
      <c r="DT155" s="14" t="s">
        <v>81</v>
      </c>
      <c r="DU155" s="14" t="s">
        <v>73</v>
      </c>
      <c r="DV155" s="14" t="s">
        <v>63</v>
      </c>
      <c r="DW155" s="14" t="s">
        <v>74</v>
      </c>
    </row>
    <row r="156" spans="2:127" x14ac:dyDescent="0.3">
      <c r="B156" s="11" t="s">
        <v>75</v>
      </c>
      <c r="C156" s="14">
        <v>5001339493</v>
      </c>
      <c r="D156" s="11" t="s">
        <v>558</v>
      </c>
      <c r="E156" s="11" t="s">
        <v>522</v>
      </c>
      <c r="F156" s="11" t="s">
        <v>559</v>
      </c>
      <c r="G156" s="11" t="s">
        <v>132</v>
      </c>
      <c r="H156" s="11" t="s">
        <v>133</v>
      </c>
      <c r="I156" s="11">
        <v>39216</v>
      </c>
      <c r="J156" s="11" t="s">
        <v>80</v>
      </c>
      <c r="K156" s="11"/>
      <c r="L156" s="11"/>
      <c r="M156" s="11"/>
      <c r="N156" s="11"/>
      <c r="O156" s="13">
        <v>1157</v>
      </c>
      <c r="P156" s="13">
        <v>1157</v>
      </c>
      <c r="Q156" s="13">
        <v>0</v>
      </c>
      <c r="R156" s="13">
        <v>15072.8477</v>
      </c>
      <c r="S156" s="13">
        <v>1199.4281000000001</v>
      </c>
      <c r="T156" s="13">
        <v>13873.419599999999</v>
      </c>
      <c r="U156" s="13">
        <v>97</v>
      </c>
      <c r="V156" s="13">
        <v>97</v>
      </c>
      <c r="W156" s="13">
        <v>0</v>
      </c>
      <c r="X156" s="13">
        <v>1182.4036000000001</v>
      </c>
      <c r="Y156" s="13">
        <v>108.57130000000001</v>
      </c>
      <c r="Z156" s="13">
        <v>1073.8323</v>
      </c>
      <c r="AA156" s="13">
        <v>80</v>
      </c>
      <c r="AB156" s="13">
        <v>80</v>
      </c>
      <c r="AC156" s="13">
        <v>0</v>
      </c>
      <c r="AD156" s="13">
        <v>1260.2896999999998</v>
      </c>
      <c r="AE156" s="13">
        <v>87.714200000000005</v>
      </c>
      <c r="AF156" s="13">
        <v>1172.5754999999999</v>
      </c>
      <c r="AG156" s="13">
        <v>90</v>
      </c>
      <c r="AH156" s="13">
        <v>90</v>
      </c>
      <c r="AI156" s="13">
        <v>0</v>
      </c>
      <c r="AJ156" s="13">
        <v>929.31719999999996</v>
      </c>
      <c r="AK156" s="13">
        <v>90</v>
      </c>
      <c r="AL156" s="13">
        <v>839.31719999999996</v>
      </c>
      <c r="AM156" s="13">
        <v>65</v>
      </c>
      <c r="AN156" s="13">
        <v>65</v>
      </c>
      <c r="AO156" s="13">
        <v>0</v>
      </c>
      <c r="AP156" s="13">
        <v>1084.8319999999999</v>
      </c>
      <c r="AQ156" s="13">
        <v>72.714200000000005</v>
      </c>
      <c r="AR156" s="13">
        <v>1012.1178</v>
      </c>
      <c r="AS156" s="13">
        <v>72</v>
      </c>
      <c r="AT156" s="13">
        <v>72</v>
      </c>
      <c r="AU156" s="13">
        <v>0</v>
      </c>
      <c r="AV156" s="13">
        <v>1269.2612999999999</v>
      </c>
      <c r="AW156" s="13">
        <v>72</v>
      </c>
      <c r="AX156" s="13">
        <v>1197.2612999999999</v>
      </c>
      <c r="AY156" s="13">
        <v>25</v>
      </c>
      <c r="AZ156" s="13">
        <v>25</v>
      </c>
      <c r="BA156" s="13">
        <v>0</v>
      </c>
      <c r="BB156" s="13">
        <v>790.25980000000004</v>
      </c>
      <c r="BC156" s="13">
        <v>25</v>
      </c>
      <c r="BD156" s="13">
        <v>765.25980000000004</v>
      </c>
      <c r="BE156" s="13">
        <v>55</v>
      </c>
      <c r="BF156" s="13">
        <v>55</v>
      </c>
      <c r="BG156" s="13">
        <v>0</v>
      </c>
      <c r="BH156" s="13">
        <v>852.65980000000002</v>
      </c>
      <c r="BI156" s="13">
        <v>62.714199999999998</v>
      </c>
      <c r="BJ156" s="13">
        <v>789.94560000000001</v>
      </c>
      <c r="BK156" s="13">
        <v>139</v>
      </c>
      <c r="BL156" s="13">
        <v>139</v>
      </c>
      <c r="BM156" s="13">
        <v>0</v>
      </c>
      <c r="BN156" s="13">
        <v>1237.5181</v>
      </c>
      <c r="BO156" s="13">
        <v>139</v>
      </c>
      <c r="BP156" s="13">
        <v>1098.5181</v>
      </c>
      <c r="BQ156" s="13">
        <v>86</v>
      </c>
      <c r="BR156" s="13">
        <v>86</v>
      </c>
      <c r="BS156" s="13">
        <v>0</v>
      </c>
      <c r="BT156" s="13">
        <v>1061.0891000000001</v>
      </c>
      <c r="BU156" s="13">
        <v>86</v>
      </c>
      <c r="BV156" s="13">
        <v>975.08910000000003</v>
      </c>
      <c r="BW156" s="13">
        <v>100</v>
      </c>
      <c r="BX156" s="13">
        <v>100</v>
      </c>
      <c r="BY156" s="13">
        <v>0</v>
      </c>
      <c r="BZ156" s="13">
        <v>1206.2323000000001</v>
      </c>
      <c r="CA156" s="13">
        <v>107.71420000000001</v>
      </c>
      <c r="CB156" s="13">
        <v>1098.5181</v>
      </c>
      <c r="CC156" s="13">
        <v>151</v>
      </c>
      <c r="CD156" s="13">
        <v>151</v>
      </c>
      <c r="CE156" s="13">
        <v>0</v>
      </c>
      <c r="CF156" s="13">
        <v>1681.5196000000001</v>
      </c>
      <c r="CG156" s="13">
        <v>151</v>
      </c>
      <c r="CH156" s="13">
        <v>1530.5196000000001</v>
      </c>
      <c r="CI156" s="13">
        <v>94</v>
      </c>
      <c r="CJ156" s="13">
        <v>94</v>
      </c>
      <c r="CK156" s="13">
        <v>0</v>
      </c>
      <c r="CL156" s="13">
        <v>1352.9757999999999</v>
      </c>
      <c r="CM156" s="13">
        <v>94</v>
      </c>
      <c r="CN156" s="13">
        <v>1258.9757999999999</v>
      </c>
      <c r="CO156" s="13">
        <v>103</v>
      </c>
      <c r="CP156" s="13">
        <v>103</v>
      </c>
      <c r="CQ156" s="13">
        <v>0</v>
      </c>
      <c r="CR156" s="13">
        <v>1164.4893999999999</v>
      </c>
      <c r="CS156" s="13">
        <v>103</v>
      </c>
      <c r="CT156" s="13">
        <v>1061.4893999999999</v>
      </c>
      <c r="CU156" s="13">
        <f t="shared" si="16"/>
        <v>1060</v>
      </c>
      <c r="CV156" s="13">
        <f t="shared" si="16"/>
        <v>1060</v>
      </c>
      <c r="CW156" s="13">
        <f t="shared" si="16"/>
        <v>0</v>
      </c>
      <c r="CX156" s="13">
        <f t="shared" si="12"/>
        <v>13890.444099999999</v>
      </c>
      <c r="CY156" s="13">
        <f t="shared" si="12"/>
        <v>1090.8568</v>
      </c>
      <c r="CZ156" s="13">
        <f t="shared" si="12"/>
        <v>12799.587299999999</v>
      </c>
      <c r="DA156" s="13">
        <f t="shared" si="17"/>
        <v>348</v>
      </c>
      <c r="DB156" s="13">
        <f t="shared" si="17"/>
        <v>348</v>
      </c>
      <c r="DC156" s="13">
        <f t="shared" si="17"/>
        <v>0</v>
      </c>
      <c r="DD156" s="13">
        <f t="shared" si="13"/>
        <v>4198.9848000000002</v>
      </c>
      <c r="DE156" s="13">
        <f t="shared" si="13"/>
        <v>348</v>
      </c>
      <c r="DF156" s="13">
        <f t="shared" si="13"/>
        <v>3850.9847999999997</v>
      </c>
      <c r="DG156" s="13">
        <f t="shared" si="18"/>
        <v>325</v>
      </c>
      <c r="DH156" s="13">
        <f t="shared" si="18"/>
        <v>325</v>
      </c>
      <c r="DI156" s="13">
        <f t="shared" si="18"/>
        <v>0</v>
      </c>
      <c r="DJ156" s="13">
        <f t="shared" si="14"/>
        <v>3504.8395000000005</v>
      </c>
      <c r="DK156" s="13">
        <f t="shared" si="14"/>
        <v>332.71420000000001</v>
      </c>
      <c r="DL156" s="13">
        <f t="shared" si="14"/>
        <v>3172.1252999999997</v>
      </c>
      <c r="DM156" s="13">
        <f t="shared" si="19"/>
        <v>197</v>
      </c>
      <c r="DN156" s="13">
        <f t="shared" si="19"/>
        <v>197</v>
      </c>
      <c r="DO156" s="13">
        <f t="shared" si="19"/>
        <v>0</v>
      </c>
      <c r="DP156" s="13">
        <f t="shared" si="15"/>
        <v>2517.4651999999996</v>
      </c>
      <c r="DQ156" s="13">
        <f t="shared" si="15"/>
        <v>197</v>
      </c>
      <c r="DR156" s="13">
        <f t="shared" si="15"/>
        <v>2320.4651999999996</v>
      </c>
      <c r="DS156" s="14" t="s">
        <v>81</v>
      </c>
      <c r="DT156" s="14" t="s">
        <v>81</v>
      </c>
      <c r="DU156" s="14" t="s">
        <v>73</v>
      </c>
      <c r="DV156" s="14" t="s">
        <v>82</v>
      </c>
      <c r="DW156" s="14" t="s">
        <v>74</v>
      </c>
    </row>
    <row r="157" spans="2:127" x14ac:dyDescent="0.3">
      <c r="B157" s="11" t="s">
        <v>75</v>
      </c>
      <c r="C157" s="14">
        <v>5001339814</v>
      </c>
      <c r="D157" s="11" t="s">
        <v>560</v>
      </c>
      <c r="E157" s="11" t="s">
        <v>522</v>
      </c>
      <c r="F157" s="11" t="s">
        <v>561</v>
      </c>
      <c r="G157" s="11" t="s">
        <v>562</v>
      </c>
      <c r="H157" s="11" t="s">
        <v>157</v>
      </c>
      <c r="I157" s="11">
        <v>30607</v>
      </c>
      <c r="J157" s="11" t="s">
        <v>80</v>
      </c>
      <c r="K157" s="11"/>
      <c r="L157" s="11"/>
      <c r="M157" s="11"/>
      <c r="N157" s="11"/>
      <c r="O157" s="13">
        <v>145</v>
      </c>
      <c r="P157" s="13">
        <v>145</v>
      </c>
      <c r="Q157" s="13">
        <v>0</v>
      </c>
      <c r="R157" s="13">
        <v>19560.381700000002</v>
      </c>
      <c r="S157" s="13">
        <v>145</v>
      </c>
      <c r="T157" s="13">
        <v>19415.381700000002</v>
      </c>
      <c r="U157" s="13">
        <v>25</v>
      </c>
      <c r="V157" s="13">
        <v>25</v>
      </c>
      <c r="W157" s="13">
        <v>0</v>
      </c>
      <c r="X157" s="13">
        <v>1520.4195</v>
      </c>
      <c r="Y157" s="13">
        <v>26.928599999999999</v>
      </c>
      <c r="Z157" s="13">
        <v>1493.4909</v>
      </c>
      <c r="AA157" s="13">
        <v>47</v>
      </c>
      <c r="AB157" s="13">
        <v>47</v>
      </c>
      <c r="AC157" s="13">
        <v>0</v>
      </c>
      <c r="AD157" s="13">
        <v>1847.1348</v>
      </c>
      <c r="AE157" s="13">
        <v>45.071399999999997</v>
      </c>
      <c r="AF157" s="13">
        <v>1802.0634</v>
      </c>
      <c r="AG157" s="13">
        <v>18</v>
      </c>
      <c r="AH157" s="13">
        <v>18</v>
      </c>
      <c r="AI157" s="13">
        <v>0</v>
      </c>
      <c r="AJ157" s="13">
        <v>1338.6903</v>
      </c>
      <c r="AK157" s="13">
        <v>18</v>
      </c>
      <c r="AL157" s="13">
        <v>1320.6903</v>
      </c>
      <c r="AM157" s="13">
        <v>22</v>
      </c>
      <c r="AN157" s="13">
        <v>22</v>
      </c>
      <c r="AO157" s="13">
        <v>0</v>
      </c>
      <c r="AP157" s="13">
        <v>1379.7190000000001</v>
      </c>
      <c r="AQ157" s="13">
        <v>22</v>
      </c>
      <c r="AR157" s="13">
        <v>1357.7190000000001</v>
      </c>
      <c r="AS157" s="13">
        <v>30</v>
      </c>
      <c r="AT157" s="13">
        <v>30</v>
      </c>
      <c r="AU157" s="13">
        <v>0</v>
      </c>
      <c r="AV157" s="13">
        <v>1288.9757999999999</v>
      </c>
      <c r="AW157" s="13">
        <v>30</v>
      </c>
      <c r="AX157" s="13">
        <v>1258.9757999999999</v>
      </c>
      <c r="AY157" s="13">
        <v>6</v>
      </c>
      <c r="AZ157" s="13">
        <v>6</v>
      </c>
      <c r="BA157" s="13">
        <v>0</v>
      </c>
      <c r="BB157" s="13">
        <v>1314.3474000000001</v>
      </c>
      <c r="BC157" s="13">
        <v>6</v>
      </c>
      <c r="BD157" s="13">
        <v>1308.3474000000001</v>
      </c>
      <c r="BE157" s="13">
        <v>-6</v>
      </c>
      <c r="BF157" s="13">
        <v>-6</v>
      </c>
      <c r="BG157" s="13">
        <v>0</v>
      </c>
      <c r="BH157" s="13">
        <v>1277.6615999999999</v>
      </c>
      <c r="BI157" s="13">
        <v>-6</v>
      </c>
      <c r="BJ157" s="13">
        <v>1283.6615999999999</v>
      </c>
      <c r="BK157" s="13">
        <v>3</v>
      </c>
      <c r="BL157" s="13">
        <v>3</v>
      </c>
      <c r="BM157" s="13">
        <v>0</v>
      </c>
      <c r="BN157" s="13">
        <v>2014.8927000000001</v>
      </c>
      <c r="BO157" s="13">
        <v>3</v>
      </c>
      <c r="BP157" s="13">
        <v>2011.8927000000001</v>
      </c>
      <c r="BQ157" s="13">
        <v>0</v>
      </c>
      <c r="BR157" s="13">
        <v>0</v>
      </c>
      <c r="BS157" s="13">
        <v>0</v>
      </c>
      <c r="BT157" s="13">
        <v>1394.7476999999999</v>
      </c>
      <c r="BU157" s="13">
        <v>0</v>
      </c>
      <c r="BV157" s="13">
        <v>1394.7476999999999</v>
      </c>
      <c r="BW157" s="13">
        <v>0</v>
      </c>
      <c r="BX157" s="13">
        <v>0</v>
      </c>
      <c r="BY157" s="13">
        <v>0</v>
      </c>
      <c r="BZ157" s="13">
        <v>1456.4621999999999</v>
      </c>
      <c r="CA157" s="13">
        <v>0</v>
      </c>
      <c r="CB157" s="13">
        <v>1456.4621999999999</v>
      </c>
      <c r="CC157" s="13">
        <v>0</v>
      </c>
      <c r="CD157" s="13">
        <v>0</v>
      </c>
      <c r="CE157" s="13">
        <v>0</v>
      </c>
      <c r="CF157" s="13">
        <v>1876.1207999999999</v>
      </c>
      <c r="CG157" s="13">
        <v>0</v>
      </c>
      <c r="CH157" s="13">
        <v>1876.1207999999999</v>
      </c>
      <c r="CI157" s="13">
        <v>0</v>
      </c>
      <c r="CJ157" s="13">
        <v>0</v>
      </c>
      <c r="CK157" s="13">
        <v>0</v>
      </c>
      <c r="CL157" s="13">
        <v>1382.4048</v>
      </c>
      <c r="CM157" s="13">
        <v>0</v>
      </c>
      <c r="CN157" s="13">
        <v>1382.4048</v>
      </c>
      <c r="CO157" s="13">
        <v>0</v>
      </c>
      <c r="CP157" s="13">
        <v>0</v>
      </c>
      <c r="CQ157" s="13">
        <v>0</v>
      </c>
      <c r="CR157" s="13">
        <v>1468.8051</v>
      </c>
      <c r="CS157" s="13">
        <v>0</v>
      </c>
      <c r="CT157" s="13">
        <v>1468.8051</v>
      </c>
      <c r="CU157" s="13">
        <f t="shared" si="16"/>
        <v>120</v>
      </c>
      <c r="CV157" s="13">
        <f t="shared" si="16"/>
        <v>120</v>
      </c>
      <c r="CW157" s="13">
        <f t="shared" si="16"/>
        <v>0</v>
      </c>
      <c r="CX157" s="13">
        <f t="shared" si="12"/>
        <v>18039.962200000002</v>
      </c>
      <c r="CY157" s="13">
        <f t="shared" si="12"/>
        <v>118.0714</v>
      </c>
      <c r="CZ157" s="13">
        <f t="shared" si="12"/>
        <v>17921.890800000001</v>
      </c>
      <c r="DA157" s="13">
        <f t="shared" si="17"/>
        <v>0</v>
      </c>
      <c r="DB157" s="13">
        <f t="shared" si="17"/>
        <v>0</v>
      </c>
      <c r="DC157" s="13">
        <f t="shared" si="17"/>
        <v>0</v>
      </c>
      <c r="DD157" s="13">
        <f t="shared" si="13"/>
        <v>4727.3307000000004</v>
      </c>
      <c r="DE157" s="13">
        <f t="shared" si="13"/>
        <v>0</v>
      </c>
      <c r="DF157" s="13">
        <f t="shared" si="13"/>
        <v>4727.3307000000004</v>
      </c>
      <c r="DG157" s="13">
        <f t="shared" si="18"/>
        <v>3</v>
      </c>
      <c r="DH157" s="13">
        <f t="shared" si="18"/>
        <v>3</v>
      </c>
      <c r="DI157" s="13">
        <f t="shared" si="18"/>
        <v>0</v>
      </c>
      <c r="DJ157" s="13">
        <f t="shared" si="14"/>
        <v>4866.1026000000002</v>
      </c>
      <c r="DK157" s="13">
        <f t="shared" si="14"/>
        <v>3</v>
      </c>
      <c r="DL157" s="13">
        <f t="shared" si="14"/>
        <v>4863.1026000000002</v>
      </c>
      <c r="DM157" s="13">
        <f t="shared" si="19"/>
        <v>0</v>
      </c>
      <c r="DN157" s="13">
        <f t="shared" si="19"/>
        <v>0</v>
      </c>
      <c r="DO157" s="13">
        <f t="shared" si="19"/>
        <v>0</v>
      </c>
      <c r="DP157" s="13">
        <f t="shared" si="15"/>
        <v>2851.2098999999998</v>
      </c>
      <c r="DQ157" s="13">
        <f t="shared" si="15"/>
        <v>0</v>
      </c>
      <c r="DR157" s="13">
        <f t="shared" si="15"/>
        <v>2851.2098999999998</v>
      </c>
      <c r="DS157" s="14" t="s">
        <v>71</v>
      </c>
      <c r="DT157" s="14" t="s">
        <v>125</v>
      </c>
      <c r="DU157" s="14" t="s">
        <v>73</v>
      </c>
      <c r="DV157" s="14" t="s">
        <v>63</v>
      </c>
      <c r="DW157" s="14" t="s">
        <v>74</v>
      </c>
    </row>
    <row r="158" spans="2:127" x14ac:dyDescent="0.3">
      <c r="B158" s="11" t="s">
        <v>65</v>
      </c>
      <c r="C158" s="14">
        <v>5001340192</v>
      </c>
      <c r="D158" s="11" t="s">
        <v>563</v>
      </c>
      <c r="E158" s="11" t="s">
        <v>522</v>
      </c>
      <c r="F158" s="11" t="s">
        <v>564</v>
      </c>
      <c r="G158" s="11" t="s">
        <v>232</v>
      </c>
      <c r="H158" s="11" t="s">
        <v>206</v>
      </c>
      <c r="I158" s="11">
        <v>10016</v>
      </c>
      <c r="J158" s="11" t="s">
        <v>59</v>
      </c>
      <c r="K158" s="11"/>
      <c r="L158" s="11"/>
      <c r="M158" s="11"/>
      <c r="N158" s="11"/>
      <c r="O158" s="13">
        <v>244</v>
      </c>
      <c r="P158" s="13">
        <v>244</v>
      </c>
      <c r="Q158" s="13">
        <v>0</v>
      </c>
      <c r="R158" s="13">
        <v>93385.813999999998</v>
      </c>
      <c r="S158" s="13">
        <v>2245.8404</v>
      </c>
      <c r="T158" s="13">
        <v>91139.973599999998</v>
      </c>
      <c r="U158" s="13">
        <v>5</v>
      </c>
      <c r="V158" s="13">
        <v>5</v>
      </c>
      <c r="W158" s="13">
        <v>0</v>
      </c>
      <c r="X158" s="13">
        <v>5919.5617999999995</v>
      </c>
      <c r="Y158" s="13">
        <v>155.42750000000001</v>
      </c>
      <c r="Z158" s="13">
        <v>5764.1342999999997</v>
      </c>
      <c r="AA158" s="13">
        <v>10</v>
      </c>
      <c r="AB158" s="13">
        <v>10</v>
      </c>
      <c r="AC158" s="13">
        <v>0</v>
      </c>
      <c r="AD158" s="13">
        <v>7459.5165000000006</v>
      </c>
      <c r="AE158" s="13">
        <v>201.8913</v>
      </c>
      <c r="AF158" s="13">
        <v>7257.6252000000004</v>
      </c>
      <c r="AG158" s="13">
        <v>10</v>
      </c>
      <c r="AH158" s="13">
        <v>10</v>
      </c>
      <c r="AI158" s="13">
        <v>0</v>
      </c>
      <c r="AJ158" s="13">
        <v>6587.2210999999998</v>
      </c>
      <c r="AK158" s="13">
        <v>156.5702</v>
      </c>
      <c r="AL158" s="13">
        <v>6430.6508999999996</v>
      </c>
      <c r="AM158" s="13">
        <v>15</v>
      </c>
      <c r="AN158" s="13">
        <v>15</v>
      </c>
      <c r="AO158" s="13">
        <v>0</v>
      </c>
      <c r="AP158" s="13">
        <v>6589.1356999999998</v>
      </c>
      <c r="AQ158" s="13">
        <v>146.14189999999999</v>
      </c>
      <c r="AR158" s="13">
        <v>6442.9938000000002</v>
      </c>
      <c r="AS158" s="13">
        <v>10</v>
      </c>
      <c r="AT158" s="13">
        <v>10</v>
      </c>
      <c r="AU158" s="13">
        <v>0</v>
      </c>
      <c r="AV158" s="13">
        <v>7607.2466999999997</v>
      </c>
      <c r="AW158" s="13">
        <v>115.10639999999999</v>
      </c>
      <c r="AX158" s="13">
        <v>7492.1403</v>
      </c>
      <c r="AY158" s="13">
        <v>10</v>
      </c>
      <c r="AZ158" s="13">
        <v>10</v>
      </c>
      <c r="BA158" s="13">
        <v>0</v>
      </c>
      <c r="BB158" s="13">
        <v>7271.0938000000006</v>
      </c>
      <c r="BC158" s="13">
        <v>235.64080000000001</v>
      </c>
      <c r="BD158" s="13">
        <v>7035.4530000000004</v>
      </c>
      <c r="BE158" s="13">
        <v>0</v>
      </c>
      <c r="BF158" s="13">
        <v>0</v>
      </c>
      <c r="BG158" s="13">
        <v>0</v>
      </c>
      <c r="BH158" s="13">
        <v>5668.2817999999997</v>
      </c>
      <c r="BI158" s="13">
        <v>188.0342</v>
      </c>
      <c r="BJ158" s="13">
        <v>5480.2475999999997</v>
      </c>
      <c r="BK158" s="13">
        <v>15</v>
      </c>
      <c r="BL158" s="13">
        <v>15</v>
      </c>
      <c r="BM158" s="13">
        <v>0</v>
      </c>
      <c r="BN158" s="13">
        <v>8002.7826000000005</v>
      </c>
      <c r="BO158" s="13">
        <v>202.06979999999999</v>
      </c>
      <c r="BP158" s="13">
        <v>7800.7128000000002</v>
      </c>
      <c r="BQ158" s="13">
        <v>26</v>
      </c>
      <c r="BR158" s="13">
        <v>26</v>
      </c>
      <c r="BS158" s="13">
        <v>0</v>
      </c>
      <c r="BT158" s="13">
        <v>7207.2515999999996</v>
      </c>
      <c r="BU158" s="13">
        <v>184.14150000000001</v>
      </c>
      <c r="BV158" s="13">
        <v>7023.1100999999999</v>
      </c>
      <c r="BW158" s="13">
        <v>108</v>
      </c>
      <c r="BX158" s="13">
        <v>108</v>
      </c>
      <c r="BY158" s="13">
        <v>0</v>
      </c>
      <c r="BZ158" s="13">
        <v>7338.4313000000002</v>
      </c>
      <c r="CA158" s="13">
        <v>191.8922</v>
      </c>
      <c r="CB158" s="13">
        <v>7146.5391</v>
      </c>
      <c r="CC158" s="13">
        <v>15</v>
      </c>
      <c r="CD158" s="13">
        <v>15</v>
      </c>
      <c r="CE158" s="13">
        <v>0</v>
      </c>
      <c r="CF158" s="13">
        <v>8872.5712999999996</v>
      </c>
      <c r="CG158" s="13">
        <v>207.85550000000001</v>
      </c>
      <c r="CH158" s="13">
        <v>8664.7157999999999</v>
      </c>
      <c r="CI158" s="13">
        <v>10</v>
      </c>
      <c r="CJ158" s="13">
        <v>10</v>
      </c>
      <c r="CK158" s="13">
        <v>0</v>
      </c>
      <c r="CL158" s="13">
        <v>7308.3158999999996</v>
      </c>
      <c r="CM158" s="13">
        <v>186.46260000000001</v>
      </c>
      <c r="CN158" s="13">
        <v>7121.8532999999998</v>
      </c>
      <c r="CO158" s="13">
        <v>10</v>
      </c>
      <c r="CP158" s="13">
        <v>10</v>
      </c>
      <c r="CQ158" s="13">
        <v>0</v>
      </c>
      <c r="CR158" s="13">
        <v>7554.4039000000002</v>
      </c>
      <c r="CS158" s="13">
        <v>74.606499999999997</v>
      </c>
      <c r="CT158" s="13">
        <v>7479.7974000000004</v>
      </c>
      <c r="CU158" s="13">
        <f t="shared" si="16"/>
        <v>239</v>
      </c>
      <c r="CV158" s="13">
        <f t="shared" si="16"/>
        <v>239</v>
      </c>
      <c r="CW158" s="13">
        <f t="shared" si="16"/>
        <v>0</v>
      </c>
      <c r="CX158" s="13">
        <f t="shared" si="12"/>
        <v>87466.252199999988</v>
      </c>
      <c r="CY158" s="13">
        <f t="shared" si="12"/>
        <v>2090.4129000000003</v>
      </c>
      <c r="CZ158" s="13">
        <f t="shared" si="12"/>
        <v>85375.839300000007</v>
      </c>
      <c r="DA158" s="13">
        <f t="shared" si="17"/>
        <v>35</v>
      </c>
      <c r="DB158" s="13">
        <f t="shared" si="17"/>
        <v>35</v>
      </c>
      <c r="DC158" s="13">
        <f t="shared" si="17"/>
        <v>0</v>
      </c>
      <c r="DD158" s="13">
        <f t="shared" si="13"/>
        <v>23735.291099999999</v>
      </c>
      <c r="DE158" s="13">
        <f t="shared" si="13"/>
        <v>468.9246</v>
      </c>
      <c r="DF158" s="13">
        <f t="shared" si="13"/>
        <v>23266.3665</v>
      </c>
      <c r="DG158" s="13">
        <f t="shared" si="18"/>
        <v>149</v>
      </c>
      <c r="DH158" s="13">
        <f t="shared" si="18"/>
        <v>149</v>
      </c>
      <c r="DI158" s="13">
        <f t="shared" si="18"/>
        <v>0</v>
      </c>
      <c r="DJ158" s="13">
        <f t="shared" si="14"/>
        <v>22548.465499999998</v>
      </c>
      <c r="DK158" s="13">
        <f t="shared" si="14"/>
        <v>578.10349999999994</v>
      </c>
      <c r="DL158" s="13">
        <f t="shared" si="14"/>
        <v>21970.362000000001</v>
      </c>
      <c r="DM158" s="13">
        <f t="shared" si="19"/>
        <v>20</v>
      </c>
      <c r="DN158" s="13">
        <f t="shared" si="19"/>
        <v>20</v>
      </c>
      <c r="DO158" s="13">
        <f t="shared" si="19"/>
        <v>0</v>
      </c>
      <c r="DP158" s="13">
        <f t="shared" si="15"/>
        <v>14862.719799999999</v>
      </c>
      <c r="DQ158" s="13">
        <f t="shared" si="15"/>
        <v>261.06909999999999</v>
      </c>
      <c r="DR158" s="13">
        <f t="shared" si="15"/>
        <v>14601.6507</v>
      </c>
      <c r="DS158" s="14" t="s">
        <v>60</v>
      </c>
      <c r="DT158" s="14" t="s">
        <v>92</v>
      </c>
      <c r="DU158" s="14" t="s">
        <v>254</v>
      </c>
      <c r="DV158" s="14" t="s">
        <v>82</v>
      </c>
      <c r="DW158" s="14" t="s">
        <v>126</v>
      </c>
    </row>
    <row r="159" spans="2:127" x14ac:dyDescent="0.3">
      <c r="B159" s="11" t="s">
        <v>83</v>
      </c>
      <c r="C159" s="14">
        <v>5001340506</v>
      </c>
      <c r="D159" s="11" t="s">
        <v>565</v>
      </c>
      <c r="E159" s="11" t="s">
        <v>522</v>
      </c>
      <c r="F159" s="11" t="s">
        <v>566</v>
      </c>
      <c r="G159" s="11" t="s">
        <v>567</v>
      </c>
      <c r="H159" s="11" t="s">
        <v>296</v>
      </c>
      <c r="I159" s="11">
        <v>61615</v>
      </c>
      <c r="J159" s="11" t="s">
        <v>70</v>
      </c>
      <c r="K159" s="11"/>
      <c r="L159" s="11"/>
      <c r="M159" s="11"/>
      <c r="N159" s="11"/>
      <c r="O159" s="13">
        <v>266</v>
      </c>
      <c r="P159" s="13">
        <v>266</v>
      </c>
      <c r="Q159" s="13">
        <v>0</v>
      </c>
      <c r="R159" s="13">
        <v>44858.192000000003</v>
      </c>
      <c r="S159" s="13">
        <v>769.35320000000002</v>
      </c>
      <c r="T159" s="13">
        <v>44088.838799999998</v>
      </c>
      <c r="U159" s="13">
        <v>6</v>
      </c>
      <c r="V159" s="13">
        <v>6</v>
      </c>
      <c r="W159" s="13">
        <v>0</v>
      </c>
      <c r="X159" s="13">
        <v>2877.8452000000002</v>
      </c>
      <c r="Y159" s="13">
        <v>51.321100000000001</v>
      </c>
      <c r="Z159" s="13">
        <v>2826.5241000000001</v>
      </c>
      <c r="AA159" s="13">
        <v>47</v>
      </c>
      <c r="AB159" s="13">
        <v>47</v>
      </c>
      <c r="AC159" s="13">
        <v>0</v>
      </c>
      <c r="AD159" s="13">
        <v>3231.2747999999997</v>
      </c>
      <c r="AE159" s="13">
        <v>96.178200000000004</v>
      </c>
      <c r="AF159" s="13">
        <v>3135.0965999999999</v>
      </c>
      <c r="AG159" s="13">
        <v>16</v>
      </c>
      <c r="AH159" s="13">
        <v>16</v>
      </c>
      <c r="AI159" s="13">
        <v>0</v>
      </c>
      <c r="AJ159" s="13">
        <v>2786.9807000000001</v>
      </c>
      <c r="AK159" s="13">
        <v>46.856899999999996</v>
      </c>
      <c r="AL159" s="13">
        <v>2740.1237999999998</v>
      </c>
      <c r="AM159" s="13">
        <v>23</v>
      </c>
      <c r="AN159" s="13">
        <v>23</v>
      </c>
      <c r="AO159" s="13">
        <v>0</v>
      </c>
      <c r="AP159" s="13">
        <v>2653.5801000000001</v>
      </c>
      <c r="AQ159" s="13">
        <v>61.571100000000001</v>
      </c>
      <c r="AR159" s="13">
        <v>2592.009</v>
      </c>
      <c r="AS159" s="13">
        <v>23</v>
      </c>
      <c r="AT159" s="13">
        <v>23</v>
      </c>
      <c r="AU159" s="13">
        <v>0</v>
      </c>
      <c r="AV159" s="13">
        <v>3511.7975000000001</v>
      </c>
      <c r="AW159" s="13">
        <v>55.785499999999999</v>
      </c>
      <c r="AX159" s="13">
        <v>3456.0120000000002</v>
      </c>
      <c r="AY159" s="13">
        <v>15</v>
      </c>
      <c r="AZ159" s="13">
        <v>15</v>
      </c>
      <c r="BA159" s="13">
        <v>0</v>
      </c>
      <c r="BB159" s="13">
        <v>3096.6745000000001</v>
      </c>
      <c r="BC159" s="13">
        <v>60.321100000000001</v>
      </c>
      <c r="BD159" s="13">
        <v>3036.3534</v>
      </c>
      <c r="BE159" s="13">
        <v>7</v>
      </c>
      <c r="BF159" s="13">
        <v>7</v>
      </c>
      <c r="BG159" s="13">
        <v>0</v>
      </c>
      <c r="BH159" s="13">
        <v>3081.7318</v>
      </c>
      <c r="BI159" s="13">
        <v>33.035499999999999</v>
      </c>
      <c r="BJ159" s="13">
        <v>3048.6963000000001</v>
      </c>
      <c r="BK159" s="13">
        <v>23</v>
      </c>
      <c r="BL159" s="13">
        <v>23</v>
      </c>
      <c r="BM159" s="13">
        <v>0</v>
      </c>
      <c r="BN159" s="13">
        <v>3936.0848000000001</v>
      </c>
      <c r="BO159" s="13">
        <v>48.071300000000001</v>
      </c>
      <c r="BP159" s="13">
        <v>3888.0135</v>
      </c>
      <c r="BQ159" s="13">
        <v>16</v>
      </c>
      <c r="BR159" s="13">
        <v>16</v>
      </c>
      <c r="BS159" s="13">
        <v>0</v>
      </c>
      <c r="BT159" s="13">
        <v>3489.5617000000002</v>
      </c>
      <c r="BU159" s="13">
        <v>45.892600000000002</v>
      </c>
      <c r="BV159" s="13">
        <v>3443.6691000000001</v>
      </c>
      <c r="BW159" s="13">
        <v>23</v>
      </c>
      <c r="BX159" s="13">
        <v>23</v>
      </c>
      <c r="BY159" s="13">
        <v>0</v>
      </c>
      <c r="BZ159" s="13">
        <v>3756.7268999999997</v>
      </c>
      <c r="CA159" s="13">
        <v>53.856899999999996</v>
      </c>
      <c r="CB159" s="13">
        <v>3702.87</v>
      </c>
      <c r="CC159" s="13">
        <v>30</v>
      </c>
      <c r="CD159" s="13">
        <v>30</v>
      </c>
      <c r="CE159" s="13">
        <v>0</v>
      </c>
      <c r="CF159" s="13">
        <v>4457.0506000000005</v>
      </c>
      <c r="CG159" s="13">
        <v>75.321100000000001</v>
      </c>
      <c r="CH159" s="13">
        <v>4381.7295000000004</v>
      </c>
      <c r="CI159" s="13">
        <v>30</v>
      </c>
      <c r="CJ159" s="13">
        <v>30</v>
      </c>
      <c r="CK159" s="13">
        <v>0</v>
      </c>
      <c r="CL159" s="13">
        <v>4014.442</v>
      </c>
      <c r="CM159" s="13">
        <v>64.713999999999999</v>
      </c>
      <c r="CN159" s="13">
        <v>3949.7280000000001</v>
      </c>
      <c r="CO159" s="13">
        <v>7</v>
      </c>
      <c r="CP159" s="13">
        <v>7</v>
      </c>
      <c r="CQ159" s="13">
        <v>0</v>
      </c>
      <c r="CR159" s="13">
        <v>3964.4414000000002</v>
      </c>
      <c r="CS159" s="13">
        <v>76.427899999999994</v>
      </c>
      <c r="CT159" s="13">
        <v>3888.0135</v>
      </c>
      <c r="CU159" s="13">
        <f t="shared" si="16"/>
        <v>260</v>
      </c>
      <c r="CV159" s="13">
        <f t="shared" si="16"/>
        <v>260</v>
      </c>
      <c r="CW159" s="13">
        <f t="shared" si="16"/>
        <v>0</v>
      </c>
      <c r="CX159" s="13">
        <f t="shared" si="12"/>
        <v>41980.346800000014</v>
      </c>
      <c r="CY159" s="13">
        <f t="shared" si="12"/>
        <v>718.03210000000001</v>
      </c>
      <c r="CZ159" s="13">
        <f t="shared" si="12"/>
        <v>41262.314700000003</v>
      </c>
      <c r="DA159" s="13">
        <f t="shared" si="17"/>
        <v>67</v>
      </c>
      <c r="DB159" s="13">
        <f t="shared" si="17"/>
        <v>67</v>
      </c>
      <c r="DC159" s="13">
        <f t="shared" si="17"/>
        <v>0</v>
      </c>
      <c r="DD159" s="13">
        <f t="shared" si="13"/>
        <v>12435.934000000001</v>
      </c>
      <c r="DE159" s="13">
        <f t="shared" si="13"/>
        <v>216.46299999999999</v>
      </c>
      <c r="DF159" s="13">
        <f t="shared" si="13"/>
        <v>12219.471000000001</v>
      </c>
      <c r="DG159" s="13">
        <f t="shared" si="18"/>
        <v>62</v>
      </c>
      <c r="DH159" s="13">
        <f t="shared" si="18"/>
        <v>62</v>
      </c>
      <c r="DI159" s="13">
        <f t="shared" si="18"/>
        <v>0</v>
      </c>
      <c r="DJ159" s="13">
        <f t="shared" si="14"/>
        <v>11182.3734</v>
      </c>
      <c r="DK159" s="13">
        <f t="shared" si="14"/>
        <v>147.82079999999999</v>
      </c>
      <c r="DL159" s="13">
        <f t="shared" si="14"/>
        <v>11034.552599999999</v>
      </c>
      <c r="DM159" s="13">
        <f t="shared" si="19"/>
        <v>37</v>
      </c>
      <c r="DN159" s="13">
        <f t="shared" si="19"/>
        <v>37</v>
      </c>
      <c r="DO159" s="13">
        <f t="shared" si="19"/>
        <v>0</v>
      </c>
      <c r="DP159" s="13">
        <f t="shared" si="15"/>
        <v>7978.8834000000006</v>
      </c>
      <c r="DQ159" s="13">
        <f t="shared" si="15"/>
        <v>141.14189999999999</v>
      </c>
      <c r="DR159" s="13">
        <f t="shared" si="15"/>
        <v>7837.7415000000001</v>
      </c>
      <c r="DS159" s="14" t="s">
        <v>71</v>
      </c>
      <c r="DT159" s="14" t="s">
        <v>72</v>
      </c>
      <c r="DU159" s="14" t="s">
        <v>73</v>
      </c>
      <c r="DV159" s="14" t="s">
        <v>63</v>
      </c>
      <c r="DW159" s="14" t="s">
        <v>74</v>
      </c>
    </row>
    <row r="160" spans="2:127" x14ac:dyDescent="0.3">
      <c r="B160" s="11" t="s">
        <v>65</v>
      </c>
      <c r="C160" s="14">
        <v>5001340515</v>
      </c>
      <c r="D160" s="11" t="s">
        <v>568</v>
      </c>
      <c r="E160" s="11" t="s">
        <v>522</v>
      </c>
      <c r="F160" s="11" t="s">
        <v>569</v>
      </c>
      <c r="G160" s="11" t="s">
        <v>570</v>
      </c>
      <c r="H160" s="11" t="s">
        <v>571</v>
      </c>
      <c r="I160" s="11">
        <v>3756</v>
      </c>
      <c r="J160" s="11" t="s">
        <v>59</v>
      </c>
      <c r="K160" s="11"/>
      <c r="L160" s="11"/>
      <c r="M160" s="11"/>
      <c r="N160" s="11"/>
      <c r="O160" s="13">
        <v>924</v>
      </c>
      <c r="P160" s="13">
        <v>924</v>
      </c>
      <c r="Q160" s="13">
        <v>0</v>
      </c>
      <c r="R160" s="13">
        <v>27252.553500000002</v>
      </c>
      <c r="S160" s="13">
        <v>1616.3501999999999</v>
      </c>
      <c r="T160" s="13">
        <v>25636.203300000001</v>
      </c>
      <c r="U160" s="13">
        <v>37</v>
      </c>
      <c r="V160" s="13">
        <v>37</v>
      </c>
      <c r="W160" s="13">
        <v>0</v>
      </c>
      <c r="X160" s="13">
        <v>2026.1346000000001</v>
      </c>
      <c r="Y160" s="13">
        <v>100.6422</v>
      </c>
      <c r="Z160" s="13">
        <v>1925.4924000000001</v>
      </c>
      <c r="AA160" s="13">
        <v>75</v>
      </c>
      <c r="AB160" s="13">
        <v>75</v>
      </c>
      <c r="AC160" s="13">
        <v>0</v>
      </c>
      <c r="AD160" s="13">
        <v>1951.1200000000001</v>
      </c>
      <c r="AE160" s="13">
        <v>136.71370000000002</v>
      </c>
      <c r="AF160" s="13">
        <v>1814.4063000000001</v>
      </c>
      <c r="AG160" s="13">
        <v>119</v>
      </c>
      <c r="AH160" s="13">
        <v>119</v>
      </c>
      <c r="AI160" s="13">
        <v>0</v>
      </c>
      <c r="AJ160" s="13">
        <v>2447.3714</v>
      </c>
      <c r="AK160" s="13">
        <v>200.96359999999999</v>
      </c>
      <c r="AL160" s="13">
        <v>2246.4078</v>
      </c>
      <c r="AM160" s="13">
        <v>75</v>
      </c>
      <c r="AN160" s="13">
        <v>75</v>
      </c>
      <c r="AO160" s="13">
        <v>0</v>
      </c>
      <c r="AP160" s="13">
        <v>1855.2696000000001</v>
      </c>
      <c r="AQ160" s="13">
        <v>139.60649999999998</v>
      </c>
      <c r="AR160" s="13">
        <v>1715.6631</v>
      </c>
      <c r="AS160" s="13">
        <v>134</v>
      </c>
      <c r="AT160" s="13">
        <v>134</v>
      </c>
      <c r="AU160" s="13">
        <v>0</v>
      </c>
      <c r="AV160" s="13">
        <v>2315.607</v>
      </c>
      <c r="AW160" s="13">
        <v>180.28530000000001</v>
      </c>
      <c r="AX160" s="13">
        <v>2135.3217</v>
      </c>
      <c r="AY160" s="13">
        <v>93</v>
      </c>
      <c r="AZ160" s="13">
        <v>93</v>
      </c>
      <c r="BA160" s="13">
        <v>0</v>
      </c>
      <c r="BB160" s="13">
        <v>1647.0476000000001</v>
      </c>
      <c r="BC160" s="13">
        <v>141.21379999999999</v>
      </c>
      <c r="BD160" s="13">
        <v>1505.8338000000001</v>
      </c>
      <c r="BE160" s="13">
        <v>58</v>
      </c>
      <c r="BF160" s="13">
        <v>58</v>
      </c>
      <c r="BG160" s="13">
        <v>0</v>
      </c>
      <c r="BH160" s="13">
        <v>2184.4497000000001</v>
      </c>
      <c r="BI160" s="13">
        <v>98.499600000000001</v>
      </c>
      <c r="BJ160" s="13">
        <v>2085.9501</v>
      </c>
      <c r="BK160" s="13">
        <v>58</v>
      </c>
      <c r="BL160" s="13">
        <v>58</v>
      </c>
      <c r="BM160" s="13">
        <v>0</v>
      </c>
      <c r="BN160" s="13">
        <v>2070.6633999999999</v>
      </c>
      <c r="BO160" s="13">
        <v>108.14230000000001</v>
      </c>
      <c r="BP160" s="13">
        <v>1962.5210999999999</v>
      </c>
      <c r="BQ160" s="13">
        <v>63</v>
      </c>
      <c r="BR160" s="13">
        <v>63</v>
      </c>
      <c r="BS160" s="13">
        <v>0</v>
      </c>
      <c r="BT160" s="13">
        <v>1854.2628</v>
      </c>
      <c r="BU160" s="13">
        <v>101.571</v>
      </c>
      <c r="BV160" s="13">
        <v>1752.6918000000001</v>
      </c>
      <c r="BW160" s="13">
        <v>54</v>
      </c>
      <c r="BX160" s="13">
        <v>54</v>
      </c>
      <c r="BY160" s="13">
        <v>0</v>
      </c>
      <c r="BZ160" s="13">
        <v>1871.1055999999999</v>
      </c>
      <c r="CA160" s="13">
        <v>106.07089999999999</v>
      </c>
      <c r="CB160" s="13">
        <v>1765.0346999999999</v>
      </c>
      <c r="CC160" s="13">
        <v>45</v>
      </c>
      <c r="CD160" s="13">
        <v>45</v>
      </c>
      <c r="CE160" s="13">
        <v>0</v>
      </c>
      <c r="CF160" s="13">
        <v>2716.0796</v>
      </c>
      <c r="CG160" s="13">
        <v>124.0706</v>
      </c>
      <c r="CH160" s="13">
        <v>2592.009</v>
      </c>
      <c r="CI160" s="13">
        <v>56</v>
      </c>
      <c r="CJ160" s="13">
        <v>56</v>
      </c>
      <c r="CK160" s="13">
        <v>0</v>
      </c>
      <c r="CL160" s="13">
        <v>2243.7787999999996</v>
      </c>
      <c r="CM160" s="13">
        <v>71.428399999999996</v>
      </c>
      <c r="CN160" s="13">
        <v>2172.3503999999998</v>
      </c>
      <c r="CO160" s="13">
        <v>57</v>
      </c>
      <c r="CP160" s="13">
        <v>57</v>
      </c>
      <c r="CQ160" s="13">
        <v>0</v>
      </c>
      <c r="CR160" s="13">
        <v>2069.6633999999999</v>
      </c>
      <c r="CS160" s="13">
        <v>107.14230000000001</v>
      </c>
      <c r="CT160" s="13">
        <v>1962.5210999999999</v>
      </c>
      <c r="CU160" s="13">
        <f t="shared" si="16"/>
        <v>887</v>
      </c>
      <c r="CV160" s="13">
        <f t="shared" si="16"/>
        <v>887</v>
      </c>
      <c r="CW160" s="13">
        <f t="shared" si="16"/>
        <v>0</v>
      </c>
      <c r="CX160" s="13">
        <f t="shared" si="12"/>
        <v>25226.418900000004</v>
      </c>
      <c r="CY160" s="13">
        <f t="shared" si="12"/>
        <v>1515.7079999999999</v>
      </c>
      <c r="CZ160" s="13">
        <f t="shared" si="12"/>
        <v>23710.710899999998</v>
      </c>
      <c r="DA160" s="13">
        <f t="shared" si="17"/>
        <v>158</v>
      </c>
      <c r="DB160" s="13">
        <f t="shared" si="17"/>
        <v>158</v>
      </c>
      <c r="DC160" s="13">
        <f t="shared" si="17"/>
        <v>0</v>
      </c>
      <c r="DD160" s="13">
        <f t="shared" si="13"/>
        <v>7029.5217999999986</v>
      </c>
      <c r="DE160" s="13">
        <f t="shared" si="13"/>
        <v>302.6413</v>
      </c>
      <c r="DF160" s="13">
        <f t="shared" si="13"/>
        <v>6726.8804999999993</v>
      </c>
      <c r="DG160" s="13">
        <f t="shared" si="18"/>
        <v>175</v>
      </c>
      <c r="DH160" s="13">
        <f t="shared" si="18"/>
        <v>175</v>
      </c>
      <c r="DI160" s="13">
        <f t="shared" si="18"/>
        <v>0</v>
      </c>
      <c r="DJ160" s="13">
        <f t="shared" si="14"/>
        <v>5796.0317999999997</v>
      </c>
      <c r="DK160" s="13">
        <f t="shared" si="14"/>
        <v>315.7842</v>
      </c>
      <c r="DL160" s="13">
        <f t="shared" si="14"/>
        <v>5480.2475999999997</v>
      </c>
      <c r="DM160" s="13">
        <f t="shared" si="19"/>
        <v>113</v>
      </c>
      <c r="DN160" s="13">
        <f t="shared" si="19"/>
        <v>113</v>
      </c>
      <c r="DO160" s="13">
        <f t="shared" si="19"/>
        <v>0</v>
      </c>
      <c r="DP160" s="13">
        <f t="shared" si="15"/>
        <v>4313.4421999999995</v>
      </c>
      <c r="DQ160" s="13">
        <f t="shared" si="15"/>
        <v>178.57069999999999</v>
      </c>
      <c r="DR160" s="13">
        <f t="shared" si="15"/>
        <v>4134.8714999999993</v>
      </c>
      <c r="DS160" s="14" t="s">
        <v>81</v>
      </c>
      <c r="DT160" s="14" t="s">
        <v>72</v>
      </c>
      <c r="DU160" s="14" t="s">
        <v>73</v>
      </c>
      <c r="DV160" s="14" t="s">
        <v>82</v>
      </c>
      <c r="DW160" s="14" t="s">
        <v>64</v>
      </c>
    </row>
    <row r="161" spans="2:127" x14ac:dyDescent="0.3">
      <c r="B161" s="11" t="s">
        <v>83</v>
      </c>
      <c r="C161" s="14">
        <v>5001340741</v>
      </c>
      <c r="D161" s="11" t="s">
        <v>572</v>
      </c>
      <c r="E161" s="11" t="s">
        <v>522</v>
      </c>
      <c r="F161" s="11" t="s">
        <v>573</v>
      </c>
      <c r="G161" s="11" t="s">
        <v>574</v>
      </c>
      <c r="H161" s="11" t="s">
        <v>309</v>
      </c>
      <c r="I161" s="11">
        <v>55114</v>
      </c>
      <c r="J161" s="11" t="s">
        <v>70</v>
      </c>
      <c r="K161" s="11"/>
      <c r="L161" s="11"/>
      <c r="M161" s="11"/>
      <c r="N161" s="11"/>
      <c r="O161" s="13">
        <v>526</v>
      </c>
      <c r="P161" s="13">
        <v>526</v>
      </c>
      <c r="Q161" s="13">
        <v>0</v>
      </c>
      <c r="R161" s="13">
        <v>40194.336900000002</v>
      </c>
      <c r="S161" s="13">
        <v>1153.7442000000001</v>
      </c>
      <c r="T161" s="13">
        <v>39040.592700000001</v>
      </c>
      <c r="U161" s="13">
        <v>31</v>
      </c>
      <c r="V161" s="13">
        <v>31</v>
      </c>
      <c r="W161" s="13">
        <v>0</v>
      </c>
      <c r="X161" s="13">
        <v>2828.5950000000003</v>
      </c>
      <c r="Y161" s="13">
        <v>63.785400000000003</v>
      </c>
      <c r="Z161" s="13">
        <v>2764.8096</v>
      </c>
      <c r="AA161" s="13">
        <v>51</v>
      </c>
      <c r="AB161" s="13">
        <v>51</v>
      </c>
      <c r="AC161" s="13">
        <v>0</v>
      </c>
      <c r="AD161" s="13">
        <v>3676.9189000000001</v>
      </c>
      <c r="AE161" s="13">
        <v>109.82079999999999</v>
      </c>
      <c r="AF161" s="13">
        <v>3567.0981000000002</v>
      </c>
      <c r="AG161" s="13">
        <v>45</v>
      </c>
      <c r="AH161" s="13">
        <v>45</v>
      </c>
      <c r="AI161" s="13">
        <v>0</v>
      </c>
      <c r="AJ161" s="13">
        <v>2720.7092000000002</v>
      </c>
      <c r="AK161" s="13">
        <v>54.642800000000001</v>
      </c>
      <c r="AL161" s="13">
        <v>2666.0664000000002</v>
      </c>
      <c r="AM161" s="13">
        <v>32</v>
      </c>
      <c r="AN161" s="13">
        <v>32</v>
      </c>
      <c r="AO161" s="13">
        <v>0</v>
      </c>
      <c r="AP161" s="13">
        <v>2841.9379000000004</v>
      </c>
      <c r="AQ161" s="13">
        <v>64.78540000000001</v>
      </c>
      <c r="AR161" s="13">
        <v>2777.1525000000001</v>
      </c>
      <c r="AS161" s="13">
        <v>25</v>
      </c>
      <c r="AT161" s="13">
        <v>25</v>
      </c>
      <c r="AU161" s="13">
        <v>0</v>
      </c>
      <c r="AV161" s="13">
        <v>4559.6648999999998</v>
      </c>
      <c r="AW161" s="13">
        <v>91.5351</v>
      </c>
      <c r="AX161" s="13">
        <v>4468.1297999999997</v>
      </c>
      <c r="AY161" s="13">
        <v>20</v>
      </c>
      <c r="AZ161" s="13">
        <v>20</v>
      </c>
      <c r="BA161" s="13">
        <v>0</v>
      </c>
      <c r="BB161" s="13">
        <v>2077.0210000000002</v>
      </c>
      <c r="BC161" s="13">
        <v>52.785400000000003</v>
      </c>
      <c r="BD161" s="13">
        <v>2024.2356</v>
      </c>
      <c r="BE161" s="13">
        <v>15</v>
      </c>
      <c r="BF161" s="13">
        <v>15</v>
      </c>
      <c r="BG161" s="13">
        <v>0</v>
      </c>
      <c r="BH161" s="13">
        <v>2887.8094000000001</v>
      </c>
      <c r="BI161" s="13">
        <v>61.285299999999999</v>
      </c>
      <c r="BJ161" s="13">
        <v>2826.5241000000001</v>
      </c>
      <c r="BK161" s="13">
        <v>47</v>
      </c>
      <c r="BL161" s="13">
        <v>47</v>
      </c>
      <c r="BM161" s="13">
        <v>0</v>
      </c>
      <c r="BN161" s="13">
        <v>4091.4205999999999</v>
      </c>
      <c r="BO161" s="13">
        <v>92.320999999999998</v>
      </c>
      <c r="BP161" s="13">
        <v>3999.0996</v>
      </c>
      <c r="BQ161" s="13">
        <v>37</v>
      </c>
      <c r="BR161" s="13">
        <v>37</v>
      </c>
      <c r="BS161" s="13">
        <v>0</v>
      </c>
      <c r="BT161" s="13">
        <v>2342.0360000000001</v>
      </c>
      <c r="BU161" s="13">
        <v>83.285300000000007</v>
      </c>
      <c r="BV161" s="13">
        <v>2258.7507000000001</v>
      </c>
      <c r="BW161" s="13">
        <v>50</v>
      </c>
      <c r="BX161" s="13">
        <v>50</v>
      </c>
      <c r="BY161" s="13">
        <v>0</v>
      </c>
      <c r="BZ161" s="13">
        <v>2909.5021999999999</v>
      </c>
      <c r="CA161" s="13">
        <v>95.320999999999998</v>
      </c>
      <c r="CB161" s="13">
        <v>2814.1812</v>
      </c>
      <c r="CC161" s="13">
        <v>50</v>
      </c>
      <c r="CD161" s="13">
        <v>50</v>
      </c>
      <c r="CE161" s="13">
        <v>0</v>
      </c>
      <c r="CF161" s="13">
        <v>4030.1987000000004</v>
      </c>
      <c r="CG161" s="13">
        <v>117.49939999999999</v>
      </c>
      <c r="CH161" s="13">
        <v>3912.6993000000002</v>
      </c>
      <c r="CI161" s="13">
        <v>55</v>
      </c>
      <c r="CJ161" s="13">
        <v>55</v>
      </c>
      <c r="CK161" s="13">
        <v>0</v>
      </c>
      <c r="CL161" s="13">
        <v>2376.4286999999999</v>
      </c>
      <c r="CM161" s="13">
        <v>117.678</v>
      </c>
      <c r="CN161" s="13">
        <v>2258.7507000000001</v>
      </c>
      <c r="CO161" s="13">
        <v>68</v>
      </c>
      <c r="CP161" s="13">
        <v>68</v>
      </c>
      <c r="CQ161" s="13">
        <v>0</v>
      </c>
      <c r="CR161" s="13">
        <v>2852.0944</v>
      </c>
      <c r="CS161" s="13">
        <v>148.99930000000001</v>
      </c>
      <c r="CT161" s="13">
        <v>2703.0951</v>
      </c>
      <c r="CU161" s="13">
        <f t="shared" si="16"/>
        <v>495</v>
      </c>
      <c r="CV161" s="13">
        <f t="shared" si="16"/>
        <v>495</v>
      </c>
      <c r="CW161" s="13">
        <f t="shared" si="16"/>
        <v>0</v>
      </c>
      <c r="CX161" s="13">
        <f t="shared" si="12"/>
        <v>37365.741900000001</v>
      </c>
      <c r="CY161" s="13">
        <f t="shared" si="12"/>
        <v>1089.9588000000001</v>
      </c>
      <c r="CZ161" s="13">
        <f t="shared" si="12"/>
        <v>36275.783100000001</v>
      </c>
      <c r="DA161" s="13">
        <f t="shared" si="17"/>
        <v>173</v>
      </c>
      <c r="DB161" s="13">
        <f t="shared" si="17"/>
        <v>173</v>
      </c>
      <c r="DC161" s="13">
        <f t="shared" si="17"/>
        <v>0</v>
      </c>
      <c r="DD161" s="13">
        <f t="shared" si="13"/>
        <v>9258.7217999999993</v>
      </c>
      <c r="DE161" s="13">
        <f t="shared" si="13"/>
        <v>384.17669999999998</v>
      </c>
      <c r="DF161" s="13">
        <f t="shared" si="13"/>
        <v>8874.5451000000012</v>
      </c>
      <c r="DG161" s="13">
        <f t="shared" si="18"/>
        <v>134</v>
      </c>
      <c r="DH161" s="13">
        <f t="shared" si="18"/>
        <v>134</v>
      </c>
      <c r="DI161" s="13">
        <f t="shared" si="18"/>
        <v>0</v>
      </c>
      <c r="DJ161" s="13">
        <f t="shared" si="14"/>
        <v>9342.9588000000003</v>
      </c>
      <c r="DK161" s="13">
        <f t="shared" si="14"/>
        <v>270.9273</v>
      </c>
      <c r="DL161" s="13">
        <f t="shared" si="14"/>
        <v>9072.031500000001</v>
      </c>
      <c r="DM161" s="13">
        <f t="shared" si="19"/>
        <v>123</v>
      </c>
      <c r="DN161" s="13">
        <f t="shared" si="19"/>
        <v>123</v>
      </c>
      <c r="DO161" s="13">
        <f t="shared" si="19"/>
        <v>0</v>
      </c>
      <c r="DP161" s="13">
        <f t="shared" si="15"/>
        <v>5228.5231000000003</v>
      </c>
      <c r="DQ161" s="13">
        <f t="shared" si="15"/>
        <v>266.6773</v>
      </c>
      <c r="DR161" s="13">
        <f t="shared" si="15"/>
        <v>4961.8458000000001</v>
      </c>
      <c r="DS161" s="14" t="s">
        <v>71</v>
      </c>
      <c r="DT161" s="14" t="s">
        <v>72</v>
      </c>
      <c r="DU161" s="14" t="s">
        <v>187</v>
      </c>
      <c r="DV161" s="14" t="s">
        <v>63</v>
      </c>
      <c r="DW161" s="14" t="s">
        <v>74</v>
      </c>
    </row>
    <row r="162" spans="2:127" x14ac:dyDescent="0.3">
      <c r="B162" s="11" t="s">
        <v>75</v>
      </c>
      <c r="C162" s="14">
        <v>5001340822</v>
      </c>
      <c r="D162" s="11" t="s">
        <v>575</v>
      </c>
      <c r="E162" s="11" t="s">
        <v>522</v>
      </c>
      <c r="F162" s="11" t="s">
        <v>576</v>
      </c>
      <c r="G162" s="11" t="s">
        <v>577</v>
      </c>
      <c r="H162" s="11" t="s">
        <v>169</v>
      </c>
      <c r="I162" s="11">
        <v>24014</v>
      </c>
      <c r="J162" s="11" t="s">
        <v>70</v>
      </c>
      <c r="K162" s="11"/>
      <c r="L162" s="11"/>
      <c r="M162" s="11"/>
      <c r="N162" s="11"/>
      <c r="O162" s="13">
        <v>210</v>
      </c>
      <c r="P162" s="13">
        <v>210</v>
      </c>
      <c r="Q162" s="13">
        <v>0</v>
      </c>
      <c r="R162" s="13">
        <v>26158.051599999999</v>
      </c>
      <c r="S162" s="13">
        <v>423.10509999999999</v>
      </c>
      <c r="T162" s="13">
        <v>25734.946499999998</v>
      </c>
      <c r="U162" s="13">
        <v>9</v>
      </c>
      <c r="V162" s="13">
        <v>9</v>
      </c>
      <c r="W162" s="13">
        <v>0</v>
      </c>
      <c r="X162" s="13">
        <v>1708.0769</v>
      </c>
      <c r="Y162" s="13">
        <v>41.785400000000003</v>
      </c>
      <c r="Z162" s="13">
        <v>1666.2915</v>
      </c>
      <c r="AA162" s="13">
        <v>36</v>
      </c>
      <c r="AB162" s="13">
        <v>36</v>
      </c>
      <c r="AC162" s="13">
        <v>0</v>
      </c>
      <c r="AD162" s="13">
        <v>2187.7143999999998</v>
      </c>
      <c r="AE162" s="13">
        <v>52.392700000000005</v>
      </c>
      <c r="AF162" s="13">
        <v>2135.3217</v>
      </c>
      <c r="AG162" s="13">
        <v>18</v>
      </c>
      <c r="AH162" s="13">
        <v>18</v>
      </c>
      <c r="AI162" s="13">
        <v>0</v>
      </c>
      <c r="AJ162" s="13">
        <v>1877.5346</v>
      </c>
      <c r="AK162" s="13">
        <v>50.785400000000003</v>
      </c>
      <c r="AL162" s="13">
        <v>1826.7492</v>
      </c>
      <c r="AM162" s="13">
        <v>9</v>
      </c>
      <c r="AN162" s="13">
        <v>9</v>
      </c>
      <c r="AO162" s="13">
        <v>0</v>
      </c>
      <c r="AP162" s="13">
        <v>2078.3639000000003</v>
      </c>
      <c r="AQ162" s="13">
        <v>41.785400000000003</v>
      </c>
      <c r="AR162" s="13">
        <v>2036.5785000000001</v>
      </c>
      <c r="AS162" s="13">
        <v>19</v>
      </c>
      <c r="AT162" s="13">
        <v>19</v>
      </c>
      <c r="AU162" s="13">
        <v>0</v>
      </c>
      <c r="AV162" s="13">
        <v>2397.9006999999997</v>
      </c>
      <c r="AW162" s="13">
        <v>52.749699999999997</v>
      </c>
      <c r="AX162" s="13">
        <v>2345.1509999999998</v>
      </c>
      <c r="AY162" s="13">
        <v>18</v>
      </c>
      <c r="AZ162" s="13">
        <v>18</v>
      </c>
      <c r="BA162" s="13">
        <v>0</v>
      </c>
      <c r="BB162" s="13">
        <v>1847.8347000000001</v>
      </c>
      <c r="BC162" s="13">
        <v>33.428399999999996</v>
      </c>
      <c r="BD162" s="13">
        <v>1814.4063000000001</v>
      </c>
      <c r="BE162" s="13">
        <v>18</v>
      </c>
      <c r="BF162" s="13">
        <v>18</v>
      </c>
      <c r="BG162" s="13">
        <v>0</v>
      </c>
      <c r="BH162" s="13">
        <v>1725.3700000000001</v>
      </c>
      <c r="BI162" s="13">
        <v>34.392700000000005</v>
      </c>
      <c r="BJ162" s="13">
        <v>1690.9773</v>
      </c>
      <c r="BK162" s="13">
        <v>9</v>
      </c>
      <c r="BL162" s="13">
        <v>9</v>
      </c>
      <c r="BM162" s="13">
        <v>0</v>
      </c>
      <c r="BN162" s="13">
        <v>2333.5149999999999</v>
      </c>
      <c r="BO162" s="13">
        <v>25.392700000000001</v>
      </c>
      <c r="BP162" s="13">
        <v>2308.1223</v>
      </c>
      <c r="BQ162" s="13">
        <v>18</v>
      </c>
      <c r="BR162" s="13">
        <v>18</v>
      </c>
      <c r="BS162" s="13">
        <v>0</v>
      </c>
      <c r="BT162" s="13">
        <v>1898.1706000000001</v>
      </c>
      <c r="BU162" s="13">
        <v>34.392700000000005</v>
      </c>
      <c r="BV162" s="13">
        <v>1863.7779</v>
      </c>
      <c r="BW162" s="13">
        <v>9</v>
      </c>
      <c r="BX162" s="13">
        <v>9</v>
      </c>
      <c r="BY162" s="13">
        <v>0</v>
      </c>
      <c r="BZ162" s="13">
        <v>1749.3489</v>
      </c>
      <c r="CA162" s="13">
        <v>9</v>
      </c>
      <c r="CB162" s="13">
        <v>1740.3489</v>
      </c>
      <c r="CC162" s="13">
        <v>0</v>
      </c>
      <c r="CD162" s="13">
        <v>0</v>
      </c>
      <c r="CE162" s="13">
        <v>0</v>
      </c>
      <c r="CF162" s="13">
        <v>2369.8368</v>
      </c>
      <c r="CG162" s="13">
        <v>0</v>
      </c>
      <c r="CH162" s="13">
        <v>2369.8368</v>
      </c>
      <c r="CI162" s="13">
        <v>9</v>
      </c>
      <c r="CJ162" s="13">
        <v>9</v>
      </c>
      <c r="CK162" s="13">
        <v>0</v>
      </c>
      <c r="CL162" s="13">
        <v>1860.4349999999999</v>
      </c>
      <c r="CM162" s="13">
        <v>9</v>
      </c>
      <c r="CN162" s="13">
        <v>1851.4349999999999</v>
      </c>
      <c r="CO162" s="13">
        <v>38</v>
      </c>
      <c r="CP162" s="13">
        <v>38</v>
      </c>
      <c r="CQ162" s="13">
        <v>0</v>
      </c>
      <c r="CR162" s="13">
        <v>2123.9501</v>
      </c>
      <c r="CS162" s="13">
        <v>38</v>
      </c>
      <c r="CT162" s="13">
        <v>2085.9501</v>
      </c>
      <c r="CU162" s="13">
        <f t="shared" si="16"/>
        <v>201</v>
      </c>
      <c r="CV162" s="13">
        <f t="shared" si="16"/>
        <v>201</v>
      </c>
      <c r="CW162" s="13">
        <f t="shared" si="16"/>
        <v>0</v>
      </c>
      <c r="CX162" s="13">
        <f t="shared" si="12"/>
        <v>24449.974699999999</v>
      </c>
      <c r="CY162" s="13">
        <f t="shared" si="12"/>
        <v>381.31969999999995</v>
      </c>
      <c r="CZ162" s="13">
        <f t="shared" si="12"/>
        <v>24068.655000000006</v>
      </c>
      <c r="DA162" s="13">
        <f t="shared" si="17"/>
        <v>47</v>
      </c>
      <c r="DB162" s="13">
        <f t="shared" si="17"/>
        <v>47</v>
      </c>
      <c r="DC162" s="13">
        <f t="shared" si="17"/>
        <v>0</v>
      </c>
      <c r="DD162" s="13">
        <f t="shared" si="13"/>
        <v>6354.2219000000005</v>
      </c>
      <c r="DE162" s="13">
        <f t="shared" si="13"/>
        <v>47</v>
      </c>
      <c r="DF162" s="13">
        <f t="shared" si="13"/>
        <v>6307.2219000000005</v>
      </c>
      <c r="DG162" s="13">
        <f t="shared" si="18"/>
        <v>36</v>
      </c>
      <c r="DH162" s="13">
        <f t="shared" si="18"/>
        <v>36</v>
      </c>
      <c r="DI162" s="13">
        <f t="shared" si="18"/>
        <v>0</v>
      </c>
      <c r="DJ162" s="13">
        <f t="shared" si="14"/>
        <v>5981.0344999999998</v>
      </c>
      <c r="DK162" s="13">
        <f t="shared" si="14"/>
        <v>68.78540000000001</v>
      </c>
      <c r="DL162" s="13">
        <f t="shared" si="14"/>
        <v>5912.2491</v>
      </c>
      <c r="DM162" s="13">
        <f t="shared" si="19"/>
        <v>47</v>
      </c>
      <c r="DN162" s="13">
        <f t="shared" si="19"/>
        <v>47</v>
      </c>
      <c r="DO162" s="13">
        <f t="shared" si="19"/>
        <v>0</v>
      </c>
      <c r="DP162" s="13">
        <f t="shared" si="15"/>
        <v>3984.3851</v>
      </c>
      <c r="DQ162" s="13">
        <f t="shared" si="15"/>
        <v>47</v>
      </c>
      <c r="DR162" s="13">
        <f t="shared" si="15"/>
        <v>3937.3851</v>
      </c>
      <c r="DS162" s="14" t="s">
        <v>71</v>
      </c>
      <c r="DT162" s="14" t="s">
        <v>81</v>
      </c>
      <c r="DU162" s="14" t="s">
        <v>73</v>
      </c>
      <c r="DV162" s="14" t="s">
        <v>63</v>
      </c>
      <c r="DW162" s="14" t="s">
        <v>74</v>
      </c>
    </row>
    <row r="163" spans="2:127" x14ac:dyDescent="0.3">
      <c r="B163" s="11" t="s">
        <v>75</v>
      </c>
      <c r="C163" s="14">
        <v>5001340825</v>
      </c>
      <c r="D163" s="11" t="s">
        <v>578</v>
      </c>
      <c r="E163" s="11" t="s">
        <v>522</v>
      </c>
      <c r="F163" s="11" t="s">
        <v>579</v>
      </c>
      <c r="G163" s="11" t="s">
        <v>580</v>
      </c>
      <c r="H163" s="11" t="s">
        <v>169</v>
      </c>
      <c r="I163" s="11">
        <v>22031</v>
      </c>
      <c r="J163" s="11" t="s">
        <v>70</v>
      </c>
      <c r="K163" s="11"/>
      <c r="L163" s="11"/>
      <c r="M163" s="11"/>
      <c r="N163" s="11"/>
      <c r="O163" s="13">
        <v>50</v>
      </c>
      <c r="P163" s="13">
        <v>50</v>
      </c>
      <c r="Q163" s="13">
        <v>0</v>
      </c>
      <c r="R163" s="13">
        <v>59042.882799999999</v>
      </c>
      <c r="S163" s="13">
        <v>697.99450000000002</v>
      </c>
      <c r="T163" s="13">
        <v>58344.888299999999</v>
      </c>
      <c r="U163" s="13">
        <v>0</v>
      </c>
      <c r="V163" s="13">
        <v>0</v>
      </c>
      <c r="W163" s="13">
        <v>0</v>
      </c>
      <c r="X163" s="13">
        <v>3888.0128</v>
      </c>
      <c r="Y163" s="13">
        <v>61.713799999999999</v>
      </c>
      <c r="Z163" s="13">
        <v>3826.299</v>
      </c>
      <c r="AA163" s="13">
        <v>0</v>
      </c>
      <c r="AB163" s="13">
        <v>0</v>
      </c>
      <c r="AC163" s="13">
        <v>0</v>
      </c>
      <c r="AD163" s="13">
        <v>5163.96</v>
      </c>
      <c r="AE163" s="13">
        <v>53.999400000000001</v>
      </c>
      <c r="AF163" s="13">
        <v>5109.9606000000003</v>
      </c>
      <c r="AG163" s="13">
        <v>0</v>
      </c>
      <c r="AH163" s="13">
        <v>0</v>
      </c>
      <c r="AI163" s="13">
        <v>0</v>
      </c>
      <c r="AJ163" s="13">
        <v>4159.942</v>
      </c>
      <c r="AK163" s="13">
        <v>86.784999999999997</v>
      </c>
      <c r="AL163" s="13">
        <v>4073.1570000000002</v>
      </c>
      <c r="AM163" s="13">
        <v>0</v>
      </c>
      <c r="AN163" s="13">
        <v>0</v>
      </c>
      <c r="AO163" s="13">
        <v>0</v>
      </c>
      <c r="AP163" s="13">
        <v>4220.6930000000002</v>
      </c>
      <c r="AQ163" s="13">
        <v>24.106999999999999</v>
      </c>
      <c r="AR163" s="13">
        <v>4196.5860000000002</v>
      </c>
      <c r="AS163" s="13">
        <v>0</v>
      </c>
      <c r="AT163" s="13">
        <v>0</v>
      </c>
      <c r="AU163" s="13">
        <v>0</v>
      </c>
      <c r="AV163" s="13">
        <v>6441.8361999999997</v>
      </c>
      <c r="AW163" s="13">
        <v>48.213999999999999</v>
      </c>
      <c r="AX163" s="13">
        <v>6393.6221999999998</v>
      </c>
      <c r="AY163" s="13">
        <v>0</v>
      </c>
      <c r="AZ163" s="13">
        <v>0</v>
      </c>
      <c r="BA163" s="13">
        <v>0</v>
      </c>
      <c r="BB163" s="13">
        <v>2755.1653000000001</v>
      </c>
      <c r="BC163" s="13">
        <v>113.7847</v>
      </c>
      <c r="BD163" s="13">
        <v>2641.3806</v>
      </c>
      <c r="BE163" s="13">
        <v>0</v>
      </c>
      <c r="BF163" s="13">
        <v>0</v>
      </c>
      <c r="BG163" s="13">
        <v>0</v>
      </c>
      <c r="BH163" s="13">
        <v>4144.8995999999997</v>
      </c>
      <c r="BI163" s="13">
        <v>34.713900000000002</v>
      </c>
      <c r="BJ163" s="13">
        <v>4110.1857</v>
      </c>
      <c r="BK163" s="13">
        <v>0</v>
      </c>
      <c r="BL163" s="13">
        <v>0</v>
      </c>
      <c r="BM163" s="13">
        <v>0</v>
      </c>
      <c r="BN163" s="13">
        <v>6154.0923999999995</v>
      </c>
      <c r="BO163" s="13">
        <v>44.356900000000003</v>
      </c>
      <c r="BP163" s="13">
        <v>6109.7354999999998</v>
      </c>
      <c r="BQ163" s="13">
        <v>0</v>
      </c>
      <c r="BR163" s="13">
        <v>0</v>
      </c>
      <c r="BS163" s="13">
        <v>0</v>
      </c>
      <c r="BT163" s="13">
        <v>3342.8039999999996</v>
      </c>
      <c r="BU163" s="13">
        <v>47.249699999999997</v>
      </c>
      <c r="BV163" s="13">
        <v>3295.5542999999998</v>
      </c>
      <c r="BW163" s="13">
        <v>0</v>
      </c>
      <c r="BX163" s="13">
        <v>0</v>
      </c>
      <c r="BY163" s="13">
        <v>0</v>
      </c>
      <c r="BZ163" s="13">
        <v>4214.3283000000001</v>
      </c>
      <c r="CA163" s="13">
        <v>42.428100000000001</v>
      </c>
      <c r="CB163" s="13">
        <v>4171.9002</v>
      </c>
      <c r="CC163" s="13">
        <v>20</v>
      </c>
      <c r="CD163" s="13">
        <v>20</v>
      </c>
      <c r="CE163" s="13">
        <v>0</v>
      </c>
      <c r="CF163" s="13">
        <v>6243.9070999999994</v>
      </c>
      <c r="CG163" s="13">
        <v>35.428399999999996</v>
      </c>
      <c r="CH163" s="13">
        <v>6208.4786999999997</v>
      </c>
      <c r="CI163" s="13">
        <v>14</v>
      </c>
      <c r="CJ163" s="13">
        <v>14</v>
      </c>
      <c r="CK163" s="13">
        <v>0</v>
      </c>
      <c r="CL163" s="13">
        <v>3263.6536999999998</v>
      </c>
      <c r="CM163" s="13">
        <v>54.499699999999997</v>
      </c>
      <c r="CN163" s="13">
        <v>3209.154</v>
      </c>
      <c r="CO163" s="13">
        <v>16</v>
      </c>
      <c r="CP163" s="13">
        <v>16</v>
      </c>
      <c r="CQ163" s="13">
        <v>0</v>
      </c>
      <c r="CR163" s="13">
        <v>5049.5883999999996</v>
      </c>
      <c r="CS163" s="13">
        <v>50.713900000000002</v>
      </c>
      <c r="CT163" s="13">
        <v>4998.8744999999999</v>
      </c>
      <c r="CU163" s="13">
        <f t="shared" si="16"/>
        <v>50</v>
      </c>
      <c r="CV163" s="13">
        <f t="shared" si="16"/>
        <v>50</v>
      </c>
      <c r="CW163" s="13">
        <f t="shared" si="16"/>
        <v>0</v>
      </c>
      <c r="CX163" s="13">
        <f t="shared" si="12"/>
        <v>55154.869999999995</v>
      </c>
      <c r="CY163" s="13">
        <f t="shared" si="12"/>
        <v>636.28070000000002</v>
      </c>
      <c r="CZ163" s="13">
        <f t="shared" si="12"/>
        <v>54518.5893</v>
      </c>
      <c r="DA163" s="13">
        <f t="shared" si="17"/>
        <v>50</v>
      </c>
      <c r="DB163" s="13">
        <f t="shared" si="17"/>
        <v>50</v>
      </c>
      <c r="DC163" s="13">
        <f t="shared" si="17"/>
        <v>0</v>
      </c>
      <c r="DD163" s="13">
        <f t="shared" si="13"/>
        <v>14557.1492</v>
      </c>
      <c r="DE163" s="13">
        <f t="shared" si="13"/>
        <v>140.642</v>
      </c>
      <c r="DF163" s="13">
        <f t="shared" si="13"/>
        <v>14416.5072</v>
      </c>
      <c r="DG163" s="13">
        <f t="shared" si="18"/>
        <v>0</v>
      </c>
      <c r="DH163" s="13">
        <f t="shared" si="18"/>
        <v>0</v>
      </c>
      <c r="DI163" s="13">
        <f t="shared" si="18"/>
        <v>0</v>
      </c>
      <c r="DJ163" s="13">
        <f t="shared" si="14"/>
        <v>13711.224699999999</v>
      </c>
      <c r="DK163" s="13">
        <f t="shared" si="14"/>
        <v>134.03469999999999</v>
      </c>
      <c r="DL163" s="13">
        <f t="shared" si="14"/>
        <v>13577.189999999999</v>
      </c>
      <c r="DM163" s="13">
        <f t="shared" si="19"/>
        <v>30</v>
      </c>
      <c r="DN163" s="13">
        <f t="shared" si="19"/>
        <v>30</v>
      </c>
      <c r="DO163" s="13">
        <f t="shared" si="19"/>
        <v>0</v>
      </c>
      <c r="DP163" s="13">
        <f t="shared" si="15"/>
        <v>8313.2420999999995</v>
      </c>
      <c r="DQ163" s="13">
        <f t="shared" si="15"/>
        <v>105.2136</v>
      </c>
      <c r="DR163" s="13">
        <f t="shared" si="15"/>
        <v>8208.0285000000003</v>
      </c>
      <c r="DS163" s="14" t="s">
        <v>71</v>
      </c>
      <c r="DT163" s="14" t="s">
        <v>92</v>
      </c>
      <c r="DU163" s="14" t="s">
        <v>113</v>
      </c>
      <c r="DV163" s="14" t="s">
        <v>63</v>
      </c>
      <c r="DW163" s="14" t="s">
        <v>74</v>
      </c>
    </row>
    <row r="164" spans="2:127" x14ac:dyDescent="0.3">
      <c r="B164" s="11" t="s">
        <v>65</v>
      </c>
      <c r="C164" s="14">
        <v>5001340912</v>
      </c>
      <c r="D164" s="11" t="s">
        <v>581</v>
      </c>
      <c r="E164" s="11" t="s">
        <v>522</v>
      </c>
      <c r="F164" s="11" t="s">
        <v>582</v>
      </c>
      <c r="G164" s="11" t="s">
        <v>215</v>
      </c>
      <c r="H164" s="11" t="s">
        <v>216</v>
      </c>
      <c r="I164" s="11">
        <v>45237</v>
      </c>
      <c r="J164" s="11" t="s">
        <v>80</v>
      </c>
      <c r="K164" s="11"/>
      <c r="L164" s="11"/>
      <c r="M164" s="11"/>
      <c r="N164" s="11"/>
      <c r="O164" s="13">
        <v>3648</v>
      </c>
      <c r="P164" s="13">
        <v>3648</v>
      </c>
      <c r="Q164" s="13">
        <v>0</v>
      </c>
      <c r="R164" s="13">
        <v>76813.226200000005</v>
      </c>
      <c r="S164" s="13">
        <v>4965.2052999999996</v>
      </c>
      <c r="T164" s="13">
        <v>71848.020900000003</v>
      </c>
      <c r="U164" s="13">
        <v>225</v>
      </c>
      <c r="V164" s="13">
        <v>225</v>
      </c>
      <c r="W164" s="13">
        <v>0</v>
      </c>
      <c r="X164" s="13">
        <v>5163.3163000000004</v>
      </c>
      <c r="Y164" s="13">
        <v>300.21370000000002</v>
      </c>
      <c r="Z164" s="13">
        <v>4863.1026000000002</v>
      </c>
      <c r="AA164" s="13">
        <v>240</v>
      </c>
      <c r="AB164" s="13">
        <v>240</v>
      </c>
      <c r="AC164" s="13">
        <v>0</v>
      </c>
      <c r="AD164" s="13">
        <v>5723.1389999999992</v>
      </c>
      <c r="AE164" s="13">
        <v>366.32040000000001</v>
      </c>
      <c r="AF164" s="13">
        <v>5356.8185999999996</v>
      </c>
      <c r="AG164" s="13">
        <v>205</v>
      </c>
      <c r="AH164" s="13">
        <v>205</v>
      </c>
      <c r="AI164" s="13">
        <v>0</v>
      </c>
      <c r="AJ164" s="13">
        <v>4804.0798000000004</v>
      </c>
      <c r="AK164" s="13">
        <v>261.89260000000002</v>
      </c>
      <c r="AL164" s="13">
        <v>4542.1872000000003</v>
      </c>
      <c r="AM164" s="13">
        <v>245</v>
      </c>
      <c r="AN164" s="13">
        <v>245</v>
      </c>
      <c r="AO164" s="13">
        <v>0</v>
      </c>
      <c r="AP164" s="13">
        <v>5350.3312999999998</v>
      </c>
      <c r="AQ164" s="13">
        <v>314.42809999999997</v>
      </c>
      <c r="AR164" s="13">
        <v>5035.9031999999997</v>
      </c>
      <c r="AS164" s="13">
        <v>322</v>
      </c>
      <c r="AT164" s="13">
        <v>322</v>
      </c>
      <c r="AU164" s="13">
        <v>0</v>
      </c>
      <c r="AV164" s="13">
        <v>6976.9431999999997</v>
      </c>
      <c r="AW164" s="13">
        <v>459.892</v>
      </c>
      <c r="AX164" s="13">
        <v>6517.0511999999999</v>
      </c>
      <c r="AY164" s="13">
        <v>316</v>
      </c>
      <c r="AZ164" s="13">
        <v>316</v>
      </c>
      <c r="BA164" s="13">
        <v>0</v>
      </c>
      <c r="BB164" s="13">
        <v>5390.8591000000006</v>
      </c>
      <c r="BC164" s="13">
        <v>441.3562</v>
      </c>
      <c r="BD164" s="13">
        <v>4949.5029000000004</v>
      </c>
      <c r="BE164" s="13">
        <v>314</v>
      </c>
      <c r="BF164" s="13">
        <v>314</v>
      </c>
      <c r="BG164" s="13">
        <v>0</v>
      </c>
      <c r="BH164" s="13">
        <v>5214.9023999999999</v>
      </c>
      <c r="BI164" s="13">
        <v>364.14269999999999</v>
      </c>
      <c r="BJ164" s="13">
        <v>4850.7596999999996</v>
      </c>
      <c r="BK164" s="13">
        <v>398</v>
      </c>
      <c r="BL164" s="13">
        <v>398</v>
      </c>
      <c r="BM164" s="13">
        <v>0</v>
      </c>
      <c r="BN164" s="13">
        <v>7159.4012000000002</v>
      </c>
      <c r="BO164" s="13">
        <v>481.89229999999998</v>
      </c>
      <c r="BP164" s="13">
        <v>6677.5088999999998</v>
      </c>
      <c r="BQ164" s="13">
        <v>232</v>
      </c>
      <c r="BR164" s="13">
        <v>232</v>
      </c>
      <c r="BS164" s="13">
        <v>0</v>
      </c>
      <c r="BT164" s="13">
        <v>5603.0895</v>
      </c>
      <c r="BU164" s="13">
        <v>295.64249999999998</v>
      </c>
      <c r="BV164" s="13">
        <v>5307.4470000000001</v>
      </c>
      <c r="BW164" s="13">
        <v>317</v>
      </c>
      <c r="BX164" s="13">
        <v>317</v>
      </c>
      <c r="BY164" s="13">
        <v>0</v>
      </c>
      <c r="BZ164" s="13">
        <v>5350.5878999999995</v>
      </c>
      <c r="CA164" s="13">
        <v>413.42790000000002</v>
      </c>
      <c r="CB164" s="13">
        <v>4937.16</v>
      </c>
      <c r="CC164" s="13">
        <v>337</v>
      </c>
      <c r="CD164" s="13">
        <v>337</v>
      </c>
      <c r="CE164" s="13">
        <v>0</v>
      </c>
      <c r="CF164" s="13">
        <v>7752.3815999999997</v>
      </c>
      <c r="CG164" s="13">
        <v>470.07060000000001</v>
      </c>
      <c r="CH164" s="13">
        <v>7282.3109999999997</v>
      </c>
      <c r="CI164" s="13">
        <v>228</v>
      </c>
      <c r="CJ164" s="13">
        <v>228</v>
      </c>
      <c r="CK164" s="13">
        <v>0</v>
      </c>
      <c r="CL164" s="13">
        <v>6406.7767000000003</v>
      </c>
      <c r="CM164" s="13">
        <v>395.78440000000001</v>
      </c>
      <c r="CN164" s="13">
        <v>6010.9922999999999</v>
      </c>
      <c r="CO164" s="13">
        <v>269</v>
      </c>
      <c r="CP164" s="13">
        <v>269</v>
      </c>
      <c r="CQ164" s="13">
        <v>0</v>
      </c>
      <c r="CR164" s="13">
        <v>5917.4182000000001</v>
      </c>
      <c r="CS164" s="13">
        <v>400.14189999999996</v>
      </c>
      <c r="CT164" s="13">
        <v>5517.2763000000004</v>
      </c>
      <c r="CU164" s="13">
        <f t="shared" si="16"/>
        <v>3423</v>
      </c>
      <c r="CV164" s="13">
        <f t="shared" si="16"/>
        <v>3423</v>
      </c>
      <c r="CW164" s="13">
        <f t="shared" si="16"/>
        <v>0</v>
      </c>
      <c r="CX164" s="13">
        <f t="shared" si="12"/>
        <v>71649.909899999999</v>
      </c>
      <c r="CY164" s="13">
        <f t="shared" si="12"/>
        <v>4664.9915999999994</v>
      </c>
      <c r="CZ164" s="13">
        <f t="shared" si="12"/>
        <v>66984.91829999999</v>
      </c>
      <c r="DA164" s="13">
        <f t="shared" si="17"/>
        <v>834</v>
      </c>
      <c r="DB164" s="13">
        <f t="shared" si="17"/>
        <v>834</v>
      </c>
      <c r="DC164" s="13">
        <f t="shared" si="17"/>
        <v>0</v>
      </c>
      <c r="DD164" s="13">
        <f t="shared" si="13"/>
        <v>20076.576499999999</v>
      </c>
      <c r="DE164" s="13">
        <f t="shared" si="13"/>
        <v>1265.9969000000001</v>
      </c>
      <c r="DF164" s="13">
        <f t="shared" si="13"/>
        <v>18810.579600000001</v>
      </c>
      <c r="DG164" s="13">
        <f t="shared" si="18"/>
        <v>947</v>
      </c>
      <c r="DH164" s="13">
        <f t="shared" si="18"/>
        <v>947</v>
      </c>
      <c r="DI164" s="13">
        <f t="shared" si="18"/>
        <v>0</v>
      </c>
      <c r="DJ164" s="13">
        <f t="shared" si="14"/>
        <v>18113.078600000001</v>
      </c>
      <c r="DK164" s="13">
        <f t="shared" si="14"/>
        <v>1190.9627</v>
      </c>
      <c r="DL164" s="13">
        <f t="shared" si="14"/>
        <v>16922.115900000001</v>
      </c>
      <c r="DM164" s="13">
        <f t="shared" si="19"/>
        <v>497</v>
      </c>
      <c r="DN164" s="13">
        <f t="shared" si="19"/>
        <v>497</v>
      </c>
      <c r="DO164" s="13">
        <f t="shared" si="19"/>
        <v>0</v>
      </c>
      <c r="DP164" s="13">
        <f t="shared" si="15"/>
        <v>12324.1949</v>
      </c>
      <c r="DQ164" s="13">
        <f t="shared" si="15"/>
        <v>795.92629999999997</v>
      </c>
      <c r="DR164" s="13">
        <f t="shared" si="15"/>
        <v>11528.268599999999</v>
      </c>
      <c r="DS164" s="14" t="s">
        <v>71</v>
      </c>
      <c r="DT164" s="14" t="s">
        <v>192</v>
      </c>
      <c r="DU164" s="14" t="s">
        <v>73</v>
      </c>
      <c r="DV164" s="14" t="s">
        <v>82</v>
      </c>
      <c r="DW164" s="14" t="s">
        <v>74</v>
      </c>
    </row>
    <row r="165" spans="2:127" x14ac:dyDescent="0.3">
      <c r="B165" s="11" t="s">
        <v>53</v>
      </c>
      <c r="C165" s="14">
        <v>5001340983</v>
      </c>
      <c r="D165" s="11" t="s">
        <v>583</v>
      </c>
      <c r="E165" s="11" t="s">
        <v>522</v>
      </c>
      <c r="F165" s="11" t="s">
        <v>584</v>
      </c>
      <c r="G165" s="11" t="s">
        <v>585</v>
      </c>
      <c r="H165" s="11" t="s">
        <v>586</v>
      </c>
      <c r="I165" s="11">
        <v>80111</v>
      </c>
      <c r="J165" s="11" t="s">
        <v>70</v>
      </c>
      <c r="K165" s="11"/>
      <c r="L165" s="11"/>
      <c r="M165" s="11"/>
      <c r="N165" s="11"/>
      <c r="O165" s="13">
        <v>186</v>
      </c>
      <c r="P165" s="13">
        <v>186</v>
      </c>
      <c r="Q165" s="13">
        <v>0</v>
      </c>
      <c r="R165" s="13">
        <v>84125.583700000003</v>
      </c>
      <c r="S165" s="13">
        <v>3970.7910999999999</v>
      </c>
      <c r="T165" s="13">
        <v>80154.792600000001</v>
      </c>
      <c r="U165" s="13">
        <v>18</v>
      </c>
      <c r="V165" s="13">
        <v>18</v>
      </c>
      <c r="W165" s="13">
        <v>0</v>
      </c>
      <c r="X165" s="13">
        <v>5959.5594999999994</v>
      </c>
      <c r="Y165" s="13">
        <v>380.56869999999998</v>
      </c>
      <c r="Z165" s="13">
        <v>5578.9907999999996</v>
      </c>
      <c r="AA165" s="13">
        <v>12</v>
      </c>
      <c r="AB165" s="13">
        <v>12</v>
      </c>
      <c r="AC165" s="13">
        <v>0</v>
      </c>
      <c r="AD165" s="13">
        <v>7176.6628000000001</v>
      </c>
      <c r="AE165" s="13">
        <v>449.78230000000002</v>
      </c>
      <c r="AF165" s="13">
        <v>6726.8805000000002</v>
      </c>
      <c r="AG165" s="13">
        <v>6</v>
      </c>
      <c r="AH165" s="13">
        <v>6</v>
      </c>
      <c r="AI165" s="13">
        <v>0</v>
      </c>
      <c r="AJ165" s="13">
        <v>5756.4377000000004</v>
      </c>
      <c r="AK165" s="13">
        <v>350.2475</v>
      </c>
      <c r="AL165" s="13">
        <v>5406.1902</v>
      </c>
      <c r="AM165" s="13">
        <v>4</v>
      </c>
      <c r="AN165" s="13">
        <v>4</v>
      </c>
      <c r="AO165" s="13">
        <v>0</v>
      </c>
      <c r="AP165" s="13">
        <v>5774.6886000000004</v>
      </c>
      <c r="AQ165" s="13">
        <v>245.0694</v>
      </c>
      <c r="AR165" s="13">
        <v>5529.6192000000001</v>
      </c>
      <c r="AS165" s="13">
        <v>0</v>
      </c>
      <c r="AT165" s="13">
        <v>0</v>
      </c>
      <c r="AU165" s="13">
        <v>0</v>
      </c>
      <c r="AV165" s="13">
        <v>7314.5142999999998</v>
      </c>
      <c r="AW165" s="13">
        <v>365.46159999999998</v>
      </c>
      <c r="AX165" s="13">
        <v>6949.0527000000002</v>
      </c>
      <c r="AY165" s="13">
        <v>12</v>
      </c>
      <c r="AZ165" s="13">
        <v>12</v>
      </c>
      <c r="BA165" s="13">
        <v>0</v>
      </c>
      <c r="BB165" s="13">
        <v>5853.4661999999998</v>
      </c>
      <c r="BC165" s="13">
        <v>348.53280000000001</v>
      </c>
      <c r="BD165" s="13">
        <v>5504.9333999999999</v>
      </c>
      <c r="BE165" s="13">
        <v>26</v>
      </c>
      <c r="BF165" s="13">
        <v>26</v>
      </c>
      <c r="BG165" s="13">
        <v>0</v>
      </c>
      <c r="BH165" s="13">
        <v>5725.3312000000005</v>
      </c>
      <c r="BI165" s="13">
        <v>257.42650000000003</v>
      </c>
      <c r="BJ165" s="13">
        <v>5467.9047</v>
      </c>
      <c r="BK165" s="13">
        <v>42</v>
      </c>
      <c r="BL165" s="13">
        <v>42</v>
      </c>
      <c r="BM165" s="13">
        <v>0</v>
      </c>
      <c r="BN165" s="13">
        <v>8312.3181999999997</v>
      </c>
      <c r="BO165" s="13">
        <v>326.46190000000001</v>
      </c>
      <c r="BP165" s="13">
        <v>7985.8563000000004</v>
      </c>
      <c r="BQ165" s="13">
        <v>0</v>
      </c>
      <c r="BR165" s="13">
        <v>0</v>
      </c>
      <c r="BS165" s="13">
        <v>0</v>
      </c>
      <c r="BT165" s="13">
        <v>6412.7120999999997</v>
      </c>
      <c r="BU165" s="13">
        <v>253.60499999999999</v>
      </c>
      <c r="BV165" s="13">
        <v>6159.1071000000002</v>
      </c>
      <c r="BW165" s="13">
        <v>0</v>
      </c>
      <c r="BX165" s="13">
        <v>0</v>
      </c>
      <c r="BY165" s="13">
        <v>0</v>
      </c>
      <c r="BZ165" s="13">
        <v>5580.7245000000003</v>
      </c>
      <c r="CA165" s="13">
        <v>174.5343</v>
      </c>
      <c r="CB165" s="13">
        <v>5406.1902</v>
      </c>
      <c r="CC165" s="13">
        <v>0</v>
      </c>
      <c r="CD165" s="13">
        <v>0</v>
      </c>
      <c r="CE165" s="13">
        <v>0</v>
      </c>
      <c r="CF165" s="13">
        <v>8250.8394000000008</v>
      </c>
      <c r="CG165" s="13">
        <v>314.35469999999998</v>
      </c>
      <c r="CH165" s="13">
        <v>7936.4847</v>
      </c>
      <c r="CI165" s="13">
        <v>36</v>
      </c>
      <c r="CJ165" s="13">
        <v>36</v>
      </c>
      <c r="CK165" s="13">
        <v>0</v>
      </c>
      <c r="CL165" s="13">
        <v>5639.4809999999998</v>
      </c>
      <c r="CM165" s="13">
        <v>270.31950000000001</v>
      </c>
      <c r="CN165" s="13">
        <v>5369.1615000000002</v>
      </c>
      <c r="CO165" s="13">
        <v>30</v>
      </c>
      <c r="CP165" s="13">
        <v>30</v>
      </c>
      <c r="CQ165" s="13">
        <v>0</v>
      </c>
      <c r="CR165" s="13">
        <v>6368.8482000000004</v>
      </c>
      <c r="CS165" s="13">
        <v>234.42689999999999</v>
      </c>
      <c r="CT165" s="13">
        <v>6134.4213</v>
      </c>
      <c r="CU165" s="13">
        <f t="shared" si="16"/>
        <v>168</v>
      </c>
      <c r="CV165" s="13">
        <f t="shared" si="16"/>
        <v>168</v>
      </c>
      <c r="CW165" s="13">
        <f t="shared" si="16"/>
        <v>0</v>
      </c>
      <c r="CX165" s="13">
        <f t="shared" si="12"/>
        <v>78166.024199999985</v>
      </c>
      <c r="CY165" s="13">
        <f t="shared" si="12"/>
        <v>3590.2223999999997</v>
      </c>
      <c r="CZ165" s="13">
        <f t="shared" si="12"/>
        <v>74575.801800000001</v>
      </c>
      <c r="DA165" s="13">
        <f t="shared" si="17"/>
        <v>66</v>
      </c>
      <c r="DB165" s="13">
        <f t="shared" si="17"/>
        <v>66</v>
      </c>
      <c r="DC165" s="13">
        <f t="shared" si="17"/>
        <v>0</v>
      </c>
      <c r="DD165" s="13">
        <f t="shared" si="13"/>
        <v>20259.168600000001</v>
      </c>
      <c r="DE165" s="13">
        <f t="shared" si="13"/>
        <v>819.10109999999986</v>
      </c>
      <c r="DF165" s="13">
        <f t="shared" si="13"/>
        <v>19440.067499999997</v>
      </c>
      <c r="DG165" s="13">
        <f t="shared" si="18"/>
        <v>42</v>
      </c>
      <c r="DH165" s="13">
        <f t="shared" si="18"/>
        <v>42</v>
      </c>
      <c r="DI165" s="13">
        <f t="shared" si="18"/>
        <v>0</v>
      </c>
      <c r="DJ165" s="13">
        <f t="shared" si="14"/>
        <v>20305.754799999999</v>
      </c>
      <c r="DK165" s="13">
        <f t="shared" si="14"/>
        <v>754.60120000000006</v>
      </c>
      <c r="DL165" s="13">
        <f t="shared" si="14"/>
        <v>19551.153600000001</v>
      </c>
      <c r="DM165" s="13">
        <f t="shared" si="19"/>
        <v>66</v>
      </c>
      <c r="DN165" s="13">
        <f t="shared" si="19"/>
        <v>66</v>
      </c>
      <c r="DO165" s="13">
        <f t="shared" si="19"/>
        <v>0</v>
      </c>
      <c r="DP165" s="13">
        <f t="shared" si="15"/>
        <v>12008.3292</v>
      </c>
      <c r="DQ165" s="13">
        <f t="shared" si="15"/>
        <v>504.74639999999999</v>
      </c>
      <c r="DR165" s="13">
        <f t="shared" si="15"/>
        <v>11503.5828</v>
      </c>
      <c r="DS165" s="14" t="s">
        <v>71</v>
      </c>
      <c r="DT165" s="14" t="s">
        <v>72</v>
      </c>
      <c r="DU165" s="14" t="s">
        <v>113</v>
      </c>
      <c r="DV165" s="14" t="s">
        <v>63</v>
      </c>
      <c r="DW165" s="14" t="s">
        <v>74</v>
      </c>
    </row>
    <row r="166" spans="2:127" x14ac:dyDescent="0.3">
      <c r="B166" s="11" t="s">
        <v>65</v>
      </c>
      <c r="C166" s="14">
        <v>5001341222</v>
      </c>
      <c r="D166" s="11" t="s">
        <v>587</v>
      </c>
      <c r="E166" s="11" t="s">
        <v>522</v>
      </c>
      <c r="F166" s="11" t="s">
        <v>588</v>
      </c>
      <c r="G166" s="11" t="s">
        <v>290</v>
      </c>
      <c r="H166" s="11" t="s">
        <v>291</v>
      </c>
      <c r="I166" s="11">
        <v>2111</v>
      </c>
      <c r="J166" s="11" t="s">
        <v>80</v>
      </c>
      <c r="K166" s="11"/>
      <c r="L166" s="11"/>
      <c r="M166" s="11"/>
      <c r="N166" s="11"/>
      <c r="O166" s="13">
        <v>0</v>
      </c>
      <c r="P166" s="13">
        <v>0</v>
      </c>
      <c r="Q166" s="13">
        <v>0</v>
      </c>
      <c r="R166" s="13">
        <v>12448.583000000001</v>
      </c>
      <c r="S166" s="13">
        <v>266.14069999999998</v>
      </c>
      <c r="T166" s="13">
        <v>12182.442300000001</v>
      </c>
      <c r="U166" s="13">
        <v>0</v>
      </c>
      <c r="V166" s="13">
        <v>0</v>
      </c>
      <c r="W166" s="13">
        <v>0</v>
      </c>
      <c r="X166" s="13">
        <v>987.81740000000002</v>
      </c>
      <c r="Y166" s="13">
        <v>25.071200000000001</v>
      </c>
      <c r="Z166" s="13">
        <v>962.74620000000004</v>
      </c>
      <c r="AA166" s="13">
        <v>0</v>
      </c>
      <c r="AB166" s="13">
        <v>0</v>
      </c>
      <c r="AC166" s="13">
        <v>0</v>
      </c>
      <c r="AD166" s="13">
        <v>913.18110000000001</v>
      </c>
      <c r="AE166" s="13">
        <v>49.178100000000001</v>
      </c>
      <c r="AF166" s="13">
        <v>864.00300000000004</v>
      </c>
      <c r="AG166" s="13">
        <v>0</v>
      </c>
      <c r="AH166" s="13">
        <v>0</v>
      </c>
      <c r="AI166" s="13">
        <v>0</v>
      </c>
      <c r="AJ166" s="13">
        <v>913.76</v>
      </c>
      <c r="AK166" s="13">
        <v>25.071200000000001</v>
      </c>
      <c r="AL166" s="13">
        <v>888.68880000000001</v>
      </c>
      <c r="AM166" s="13">
        <v>0</v>
      </c>
      <c r="AN166" s="13">
        <v>0</v>
      </c>
      <c r="AO166" s="13">
        <v>0</v>
      </c>
      <c r="AP166" s="13">
        <v>681.1735000000001</v>
      </c>
      <c r="AQ166" s="13">
        <v>26.9998</v>
      </c>
      <c r="AR166" s="13">
        <v>654.17370000000005</v>
      </c>
      <c r="AS166" s="13">
        <v>0</v>
      </c>
      <c r="AT166" s="13">
        <v>0</v>
      </c>
      <c r="AU166" s="13">
        <v>0</v>
      </c>
      <c r="AV166" s="13">
        <v>901.22440000000006</v>
      </c>
      <c r="AW166" s="13">
        <v>12.535600000000001</v>
      </c>
      <c r="AX166" s="13">
        <v>888.68880000000001</v>
      </c>
      <c r="AY166" s="13">
        <v>0</v>
      </c>
      <c r="AZ166" s="13">
        <v>0</v>
      </c>
      <c r="BA166" s="13">
        <v>0</v>
      </c>
      <c r="BB166" s="13">
        <v>833.91700000000003</v>
      </c>
      <c r="BC166" s="13">
        <v>19.285599999999999</v>
      </c>
      <c r="BD166" s="13">
        <v>814.63139999999999</v>
      </c>
      <c r="BE166" s="13">
        <v>0</v>
      </c>
      <c r="BF166" s="13">
        <v>0</v>
      </c>
      <c r="BG166" s="13">
        <v>0</v>
      </c>
      <c r="BH166" s="13">
        <v>913.56730000000005</v>
      </c>
      <c r="BI166" s="13">
        <v>12.535600000000001</v>
      </c>
      <c r="BJ166" s="13">
        <v>901.0317</v>
      </c>
      <c r="BK166" s="13">
        <v>0</v>
      </c>
      <c r="BL166" s="13">
        <v>0</v>
      </c>
      <c r="BM166" s="13">
        <v>0</v>
      </c>
      <c r="BN166" s="13">
        <v>1167.3680000000002</v>
      </c>
      <c r="BO166" s="13">
        <v>31.821200000000001</v>
      </c>
      <c r="BP166" s="13">
        <v>1135.5468000000001</v>
      </c>
      <c r="BQ166" s="13">
        <v>0</v>
      </c>
      <c r="BR166" s="13">
        <v>0</v>
      </c>
      <c r="BS166" s="13">
        <v>0</v>
      </c>
      <c r="BT166" s="13">
        <v>982.03180000000009</v>
      </c>
      <c r="BU166" s="13">
        <v>19.285599999999999</v>
      </c>
      <c r="BV166" s="13">
        <v>962.74620000000004</v>
      </c>
      <c r="BW166" s="13">
        <v>0</v>
      </c>
      <c r="BX166" s="13">
        <v>0</v>
      </c>
      <c r="BY166" s="13">
        <v>0</v>
      </c>
      <c r="BZ166" s="13">
        <v>938.06039999999996</v>
      </c>
      <c r="CA166" s="13">
        <v>0</v>
      </c>
      <c r="CB166" s="13">
        <v>938.06039999999996</v>
      </c>
      <c r="CC166" s="13">
        <v>0</v>
      </c>
      <c r="CD166" s="13">
        <v>0</v>
      </c>
      <c r="CE166" s="13">
        <v>0</v>
      </c>
      <c r="CF166" s="13">
        <v>1327.633</v>
      </c>
      <c r="CG166" s="13">
        <v>19.285599999999999</v>
      </c>
      <c r="CH166" s="13">
        <v>1308.3474000000001</v>
      </c>
      <c r="CI166" s="13">
        <v>0</v>
      </c>
      <c r="CJ166" s="13">
        <v>0</v>
      </c>
      <c r="CK166" s="13">
        <v>0</v>
      </c>
      <c r="CL166" s="13">
        <v>864.1957000000001</v>
      </c>
      <c r="CM166" s="13">
        <v>12.535600000000001</v>
      </c>
      <c r="CN166" s="13">
        <v>851.66010000000006</v>
      </c>
      <c r="CO166" s="13">
        <v>0</v>
      </c>
      <c r="CP166" s="13">
        <v>0</v>
      </c>
      <c r="CQ166" s="13">
        <v>0</v>
      </c>
      <c r="CR166" s="13">
        <v>1024.6533999999999</v>
      </c>
      <c r="CS166" s="13">
        <v>12.535600000000001</v>
      </c>
      <c r="CT166" s="13">
        <v>1012.1178</v>
      </c>
      <c r="CU166" s="13">
        <f t="shared" si="16"/>
        <v>0</v>
      </c>
      <c r="CV166" s="13">
        <f t="shared" si="16"/>
        <v>0</v>
      </c>
      <c r="CW166" s="13">
        <f t="shared" si="16"/>
        <v>0</v>
      </c>
      <c r="CX166" s="13">
        <f t="shared" si="12"/>
        <v>11460.765599999999</v>
      </c>
      <c r="CY166" s="13">
        <f t="shared" si="12"/>
        <v>241.06949999999995</v>
      </c>
      <c r="CZ166" s="13">
        <f t="shared" si="12"/>
        <v>11219.696100000001</v>
      </c>
      <c r="DA166" s="13">
        <f t="shared" si="17"/>
        <v>0</v>
      </c>
      <c r="DB166" s="13">
        <f t="shared" si="17"/>
        <v>0</v>
      </c>
      <c r="DC166" s="13">
        <f t="shared" si="17"/>
        <v>0</v>
      </c>
      <c r="DD166" s="13">
        <f t="shared" si="13"/>
        <v>3216.4821000000002</v>
      </c>
      <c r="DE166" s="13">
        <f t="shared" si="13"/>
        <v>44.3568</v>
      </c>
      <c r="DF166" s="13">
        <f t="shared" si="13"/>
        <v>3172.1253000000002</v>
      </c>
      <c r="DG166" s="13">
        <f t="shared" si="18"/>
        <v>0</v>
      </c>
      <c r="DH166" s="13">
        <f t="shared" si="18"/>
        <v>0</v>
      </c>
      <c r="DI166" s="13">
        <f t="shared" si="18"/>
        <v>0</v>
      </c>
      <c r="DJ166" s="13">
        <f t="shared" si="14"/>
        <v>3087.4602</v>
      </c>
      <c r="DK166" s="13">
        <f t="shared" si="14"/>
        <v>51.1068</v>
      </c>
      <c r="DL166" s="13">
        <f t="shared" si="14"/>
        <v>3036.3534</v>
      </c>
      <c r="DM166" s="13">
        <f t="shared" si="19"/>
        <v>0</v>
      </c>
      <c r="DN166" s="13">
        <f t="shared" si="19"/>
        <v>0</v>
      </c>
      <c r="DO166" s="13">
        <f t="shared" si="19"/>
        <v>0</v>
      </c>
      <c r="DP166" s="13">
        <f t="shared" si="15"/>
        <v>1888.8490999999999</v>
      </c>
      <c r="DQ166" s="13">
        <f t="shared" si="15"/>
        <v>25.071200000000001</v>
      </c>
      <c r="DR166" s="13">
        <f t="shared" si="15"/>
        <v>1863.7779</v>
      </c>
      <c r="DS166" s="14" t="s">
        <v>81</v>
      </c>
      <c r="DT166" s="14" t="s">
        <v>81</v>
      </c>
      <c r="DU166" s="14" t="s">
        <v>73</v>
      </c>
      <c r="DV166" s="14" t="s">
        <v>82</v>
      </c>
      <c r="DW166" s="14" t="s">
        <v>74</v>
      </c>
    </row>
    <row r="167" spans="2:127" x14ac:dyDescent="0.3">
      <c r="B167" s="11" t="s">
        <v>65</v>
      </c>
      <c r="C167" s="14">
        <v>5001341247</v>
      </c>
      <c r="D167" s="11" t="s">
        <v>589</v>
      </c>
      <c r="E167" s="11" t="s">
        <v>522</v>
      </c>
      <c r="F167" s="11" t="s">
        <v>590</v>
      </c>
      <c r="G167" s="11" t="s">
        <v>591</v>
      </c>
      <c r="H167" s="11" t="s">
        <v>69</v>
      </c>
      <c r="I167" s="11">
        <v>21801</v>
      </c>
      <c r="J167" s="11" t="s">
        <v>80</v>
      </c>
      <c r="K167" s="11"/>
      <c r="L167" s="11"/>
      <c r="M167" s="11"/>
      <c r="N167" s="11"/>
      <c r="O167" s="13">
        <v>0</v>
      </c>
      <c r="P167" s="13">
        <v>0</v>
      </c>
      <c r="Q167" s="13">
        <v>0</v>
      </c>
      <c r="R167" s="13">
        <v>9002.9856999999993</v>
      </c>
      <c r="S167" s="13">
        <v>264.21249999999998</v>
      </c>
      <c r="T167" s="13">
        <v>8738.7731999999996</v>
      </c>
      <c r="U167" s="13">
        <v>0</v>
      </c>
      <c r="V167" s="13">
        <v>0</v>
      </c>
      <c r="W167" s="13">
        <v>0</v>
      </c>
      <c r="X167" s="13">
        <v>717.4307</v>
      </c>
      <c r="Y167" s="13">
        <v>38.571199999999997</v>
      </c>
      <c r="Z167" s="13">
        <v>678.85950000000003</v>
      </c>
      <c r="AA167" s="13">
        <v>0</v>
      </c>
      <c r="AB167" s="13">
        <v>0</v>
      </c>
      <c r="AC167" s="13">
        <v>0</v>
      </c>
      <c r="AD167" s="13">
        <v>758.31650000000002</v>
      </c>
      <c r="AE167" s="13">
        <v>42.4283</v>
      </c>
      <c r="AF167" s="13">
        <v>715.88819999999998</v>
      </c>
      <c r="AG167" s="13">
        <v>0</v>
      </c>
      <c r="AH167" s="13">
        <v>0</v>
      </c>
      <c r="AI167" s="13">
        <v>0</v>
      </c>
      <c r="AJ167" s="13">
        <v>846.45259999999996</v>
      </c>
      <c r="AK167" s="13">
        <v>31.821200000000001</v>
      </c>
      <c r="AL167" s="13">
        <v>814.63139999999999</v>
      </c>
      <c r="AM167" s="13">
        <v>0</v>
      </c>
      <c r="AN167" s="13">
        <v>0</v>
      </c>
      <c r="AO167" s="13">
        <v>0</v>
      </c>
      <c r="AP167" s="13">
        <v>766.41680000000008</v>
      </c>
      <c r="AQ167" s="13">
        <v>13.4999</v>
      </c>
      <c r="AR167" s="13">
        <v>752.91690000000006</v>
      </c>
      <c r="AS167" s="13">
        <v>0</v>
      </c>
      <c r="AT167" s="13">
        <v>0</v>
      </c>
      <c r="AU167" s="13">
        <v>0</v>
      </c>
      <c r="AV167" s="13">
        <v>429.68690000000004</v>
      </c>
      <c r="AW167" s="13">
        <v>34.714100000000002</v>
      </c>
      <c r="AX167" s="13">
        <v>394.97280000000001</v>
      </c>
      <c r="AY167" s="13">
        <v>0</v>
      </c>
      <c r="AZ167" s="13">
        <v>0</v>
      </c>
      <c r="BA167" s="13">
        <v>0</v>
      </c>
      <c r="BB167" s="13">
        <v>488.31579999999997</v>
      </c>
      <c r="BC167" s="13">
        <v>19.285599999999999</v>
      </c>
      <c r="BD167" s="13">
        <v>469.03019999999998</v>
      </c>
      <c r="BE167" s="13">
        <v>0</v>
      </c>
      <c r="BF167" s="13">
        <v>0</v>
      </c>
      <c r="BG167" s="13">
        <v>0</v>
      </c>
      <c r="BH167" s="13">
        <v>576.06589999999994</v>
      </c>
      <c r="BI167" s="13">
        <v>45.321199999999997</v>
      </c>
      <c r="BJ167" s="13">
        <v>530.74469999999997</v>
      </c>
      <c r="BK167" s="13">
        <v>0</v>
      </c>
      <c r="BL167" s="13">
        <v>0</v>
      </c>
      <c r="BM167" s="13">
        <v>0</v>
      </c>
      <c r="BN167" s="13">
        <v>703.5453</v>
      </c>
      <c r="BO167" s="13">
        <v>0</v>
      </c>
      <c r="BP167" s="13">
        <v>703.5453</v>
      </c>
      <c r="BQ167" s="13">
        <v>0</v>
      </c>
      <c r="BR167" s="13">
        <v>0</v>
      </c>
      <c r="BS167" s="13">
        <v>0</v>
      </c>
      <c r="BT167" s="13">
        <v>555.43050000000005</v>
      </c>
      <c r="BU167" s="13">
        <v>0</v>
      </c>
      <c r="BV167" s="13">
        <v>555.43050000000005</v>
      </c>
      <c r="BW167" s="13">
        <v>0</v>
      </c>
      <c r="BX167" s="13">
        <v>0</v>
      </c>
      <c r="BY167" s="13">
        <v>0</v>
      </c>
      <c r="BZ167" s="13">
        <v>546.17309999999998</v>
      </c>
      <c r="CA167" s="13">
        <v>15.4284</v>
      </c>
      <c r="CB167" s="13">
        <v>530.74469999999997</v>
      </c>
      <c r="CC167" s="13">
        <v>0</v>
      </c>
      <c r="CD167" s="13">
        <v>0</v>
      </c>
      <c r="CE167" s="13">
        <v>0</v>
      </c>
      <c r="CF167" s="13">
        <v>985.88880000000006</v>
      </c>
      <c r="CG167" s="13">
        <v>23.142600000000002</v>
      </c>
      <c r="CH167" s="13">
        <v>962.74620000000004</v>
      </c>
      <c r="CI167" s="13">
        <v>0</v>
      </c>
      <c r="CJ167" s="13">
        <v>0</v>
      </c>
      <c r="CK167" s="13">
        <v>0</v>
      </c>
      <c r="CL167" s="13">
        <v>777.60270000000003</v>
      </c>
      <c r="CM167" s="13">
        <v>0</v>
      </c>
      <c r="CN167" s="13">
        <v>777.60270000000003</v>
      </c>
      <c r="CO167" s="13">
        <v>0</v>
      </c>
      <c r="CP167" s="13">
        <v>0</v>
      </c>
      <c r="CQ167" s="13">
        <v>0</v>
      </c>
      <c r="CR167" s="13">
        <v>851.66010000000006</v>
      </c>
      <c r="CS167" s="13">
        <v>0</v>
      </c>
      <c r="CT167" s="13">
        <v>851.66010000000006</v>
      </c>
      <c r="CU167" s="13">
        <f t="shared" si="16"/>
        <v>0</v>
      </c>
      <c r="CV167" s="13">
        <f t="shared" si="16"/>
        <v>0</v>
      </c>
      <c r="CW167" s="13">
        <f t="shared" si="16"/>
        <v>0</v>
      </c>
      <c r="CX167" s="13">
        <f t="shared" si="12"/>
        <v>8285.5550000000003</v>
      </c>
      <c r="CY167" s="13">
        <f t="shared" si="12"/>
        <v>225.6413</v>
      </c>
      <c r="CZ167" s="13">
        <f t="shared" si="12"/>
        <v>8059.913700000001</v>
      </c>
      <c r="DA167" s="13">
        <f t="shared" si="17"/>
        <v>0</v>
      </c>
      <c r="DB167" s="13">
        <f t="shared" si="17"/>
        <v>0</v>
      </c>
      <c r="DC167" s="13">
        <f t="shared" si="17"/>
        <v>0</v>
      </c>
      <c r="DD167" s="13">
        <f t="shared" si="13"/>
        <v>2615.1516000000001</v>
      </c>
      <c r="DE167" s="13">
        <f t="shared" si="13"/>
        <v>23.142600000000002</v>
      </c>
      <c r="DF167" s="13">
        <f t="shared" si="13"/>
        <v>2592.009</v>
      </c>
      <c r="DG167" s="13">
        <f t="shared" si="18"/>
        <v>0</v>
      </c>
      <c r="DH167" s="13">
        <f t="shared" si="18"/>
        <v>0</v>
      </c>
      <c r="DI167" s="13">
        <f t="shared" si="18"/>
        <v>0</v>
      </c>
      <c r="DJ167" s="13">
        <f t="shared" si="14"/>
        <v>1805.1489000000001</v>
      </c>
      <c r="DK167" s="13">
        <f t="shared" si="14"/>
        <v>15.4284</v>
      </c>
      <c r="DL167" s="13">
        <f t="shared" si="14"/>
        <v>1789.7205000000001</v>
      </c>
      <c r="DM167" s="13">
        <f t="shared" si="19"/>
        <v>0</v>
      </c>
      <c r="DN167" s="13">
        <f t="shared" si="19"/>
        <v>0</v>
      </c>
      <c r="DO167" s="13">
        <f t="shared" si="19"/>
        <v>0</v>
      </c>
      <c r="DP167" s="13">
        <f t="shared" si="15"/>
        <v>1629.2628</v>
      </c>
      <c r="DQ167" s="13">
        <f t="shared" si="15"/>
        <v>0</v>
      </c>
      <c r="DR167" s="13">
        <f t="shared" si="15"/>
        <v>1629.2628</v>
      </c>
      <c r="DS167" s="14" t="s">
        <v>60</v>
      </c>
      <c r="DT167" s="14" t="s">
        <v>81</v>
      </c>
      <c r="DU167" s="14" t="s">
        <v>73</v>
      </c>
      <c r="DV167" s="14" t="s">
        <v>82</v>
      </c>
      <c r="DW167" s="14" t="s">
        <v>74</v>
      </c>
    </row>
    <row r="168" spans="2:127" x14ac:dyDescent="0.3">
      <c r="B168" s="11" t="s">
        <v>83</v>
      </c>
      <c r="C168" s="14">
        <v>5001341301</v>
      </c>
      <c r="D168" s="11" t="s">
        <v>592</v>
      </c>
      <c r="E168" s="11" t="s">
        <v>522</v>
      </c>
      <c r="F168" s="11" t="s">
        <v>593</v>
      </c>
      <c r="G168" s="11" t="s">
        <v>594</v>
      </c>
      <c r="H168" s="11" t="s">
        <v>296</v>
      </c>
      <c r="I168" s="11">
        <v>60015</v>
      </c>
      <c r="J168" s="11" t="s">
        <v>109</v>
      </c>
      <c r="K168" s="11"/>
      <c r="L168" s="11"/>
      <c r="M168" s="11"/>
      <c r="N168" s="11"/>
      <c r="O168" s="13">
        <v>154</v>
      </c>
      <c r="P168" s="13">
        <v>154</v>
      </c>
      <c r="Q168" s="13">
        <v>0</v>
      </c>
      <c r="R168" s="13">
        <v>14989.776599999999</v>
      </c>
      <c r="S168" s="13">
        <v>560.92650000000003</v>
      </c>
      <c r="T168" s="13">
        <v>14428.8501</v>
      </c>
      <c r="U168" s="13">
        <v>30</v>
      </c>
      <c r="V168" s="13">
        <v>30</v>
      </c>
      <c r="W168" s="13">
        <v>0</v>
      </c>
      <c r="X168" s="13">
        <v>1075.6748</v>
      </c>
      <c r="Y168" s="13">
        <v>51.214100000000002</v>
      </c>
      <c r="Z168" s="13">
        <v>1024.4607000000001</v>
      </c>
      <c r="AA168" s="13">
        <v>48</v>
      </c>
      <c r="AB168" s="13">
        <v>48</v>
      </c>
      <c r="AC168" s="13">
        <v>0</v>
      </c>
      <c r="AD168" s="13">
        <v>1796.4485</v>
      </c>
      <c r="AE168" s="13">
        <v>80.78540000000001</v>
      </c>
      <c r="AF168" s="13">
        <v>1715.6631</v>
      </c>
      <c r="AG168" s="13">
        <v>18</v>
      </c>
      <c r="AH168" s="13">
        <v>18</v>
      </c>
      <c r="AI168" s="13">
        <v>0</v>
      </c>
      <c r="AJ168" s="13">
        <v>585.38720000000001</v>
      </c>
      <c r="AK168" s="13">
        <v>54.642499999999998</v>
      </c>
      <c r="AL168" s="13">
        <v>530.74469999999997</v>
      </c>
      <c r="AM168" s="13">
        <v>18</v>
      </c>
      <c r="AN168" s="13">
        <v>18</v>
      </c>
      <c r="AO168" s="13">
        <v>0</v>
      </c>
      <c r="AP168" s="13">
        <v>1325.7684999999999</v>
      </c>
      <c r="AQ168" s="13">
        <v>42.106899999999996</v>
      </c>
      <c r="AR168" s="13">
        <v>1283.6615999999999</v>
      </c>
      <c r="AS168" s="13">
        <v>14</v>
      </c>
      <c r="AT168" s="13">
        <v>14</v>
      </c>
      <c r="AU168" s="13">
        <v>0</v>
      </c>
      <c r="AV168" s="13">
        <v>1210.8751</v>
      </c>
      <c r="AW168" s="13">
        <v>50.642499999999998</v>
      </c>
      <c r="AX168" s="13">
        <v>1160.2326</v>
      </c>
      <c r="AY168" s="13">
        <v>10</v>
      </c>
      <c r="AZ168" s="13">
        <v>10</v>
      </c>
      <c r="BA168" s="13">
        <v>0</v>
      </c>
      <c r="BB168" s="13">
        <v>1129.1535000000001</v>
      </c>
      <c r="BC168" s="13">
        <v>55.321199999999997</v>
      </c>
      <c r="BD168" s="13">
        <v>1073.8323</v>
      </c>
      <c r="BE168" s="13">
        <v>14</v>
      </c>
      <c r="BF168" s="13">
        <v>14</v>
      </c>
      <c r="BG168" s="13">
        <v>0</v>
      </c>
      <c r="BH168" s="13">
        <v>997.76780000000008</v>
      </c>
      <c r="BI168" s="13">
        <v>22.678699999999999</v>
      </c>
      <c r="BJ168" s="13">
        <v>975.08910000000003</v>
      </c>
      <c r="BK168" s="13">
        <v>2</v>
      </c>
      <c r="BL168" s="13">
        <v>2</v>
      </c>
      <c r="BM168" s="13">
        <v>0</v>
      </c>
      <c r="BN168" s="13">
        <v>1765.6844000000001</v>
      </c>
      <c r="BO168" s="13">
        <v>37.678400000000003</v>
      </c>
      <c r="BP168" s="13">
        <v>1728.0060000000001</v>
      </c>
      <c r="BQ168" s="13">
        <v>0</v>
      </c>
      <c r="BR168" s="13">
        <v>0</v>
      </c>
      <c r="BS168" s="13">
        <v>0</v>
      </c>
      <c r="BT168" s="13">
        <v>764.6810999999999</v>
      </c>
      <c r="BU168" s="13">
        <v>24.107099999999999</v>
      </c>
      <c r="BV168" s="13">
        <v>740.57399999999996</v>
      </c>
      <c r="BW168" s="13">
        <v>0</v>
      </c>
      <c r="BX168" s="13">
        <v>0</v>
      </c>
      <c r="BY168" s="13">
        <v>0</v>
      </c>
      <c r="BZ168" s="13">
        <v>1006.9104</v>
      </c>
      <c r="CA168" s="13">
        <v>31.821300000000001</v>
      </c>
      <c r="CB168" s="13">
        <v>975.08910000000003</v>
      </c>
      <c r="CC168" s="13">
        <v>0</v>
      </c>
      <c r="CD168" s="13">
        <v>0</v>
      </c>
      <c r="CE168" s="13">
        <v>0</v>
      </c>
      <c r="CF168" s="13">
        <v>1172.1895000000002</v>
      </c>
      <c r="CG168" s="13">
        <v>36.642699999999998</v>
      </c>
      <c r="CH168" s="13">
        <v>1135.5468000000001</v>
      </c>
      <c r="CI168" s="13">
        <v>0</v>
      </c>
      <c r="CJ168" s="13">
        <v>0</v>
      </c>
      <c r="CK168" s="13">
        <v>0</v>
      </c>
      <c r="CL168" s="13">
        <v>1048.7605000000001</v>
      </c>
      <c r="CM168" s="13">
        <v>36.642699999999998</v>
      </c>
      <c r="CN168" s="13">
        <v>1012.1178</v>
      </c>
      <c r="CO168" s="13">
        <v>0</v>
      </c>
      <c r="CP168" s="13">
        <v>0</v>
      </c>
      <c r="CQ168" s="13">
        <v>0</v>
      </c>
      <c r="CR168" s="13">
        <v>1110.4753000000001</v>
      </c>
      <c r="CS168" s="13">
        <v>36.643000000000001</v>
      </c>
      <c r="CT168" s="13">
        <v>1073.8323</v>
      </c>
      <c r="CU168" s="13">
        <f t="shared" si="16"/>
        <v>124</v>
      </c>
      <c r="CV168" s="13">
        <f t="shared" si="16"/>
        <v>124</v>
      </c>
      <c r="CW168" s="13">
        <f t="shared" si="16"/>
        <v>0</v>
      </c>
      <c r="CX168" s="13">
        <f t="shared" si="16"/>
        <v>13914.101800000002</v>
      </c>
      <c r="CY168" s="13">
        <f t="shared" si="16"/>
        <v>509.7124</v>
      </c>
      <c r="CZ168" s="13">
        <f t="shared" si="16"/>
        <v>13404.3894</v>
      </c>
      <c r="DA168" s="13">
        <f t="shared" si="17"/>
        <v>0</v>
      </c>
      <c r="DB168" s="13">
        <f t="shared" si="17"/>
        <v>0</v>
      </c>
      <c r="DC168" s="13">
        <f t="shared" si="17"/>
        <v>0</v>
      </c>
      <c r="DD168" s="13">
        <f t="shared" si="17"/>
        <v>3331.4253000000003</v>
      </c>
      <c r="DE168" s="13">
        <f t="shared" si="17"/>
        <v>109.9284</v>
      </c>
      <c r="DF168" s="13">
        <f t="shared" si="17"/>
        <v>3221.4969000000001</v>
      </c>
      <c r="DG168" s="13">
        <f t="shared" si="18"/>
        <v>2</v>
      </c>
      <c r="DH168" s="13">
        <f t="shared" si="18"/>
        <v>2</v>
      </c>
      <c r="DI168" s="13">
        <f t="shared" si="18"/>
        <v>0</v>
      </c>
      <c r="DJ168" s="13">
        <f t="shared" si="18"/>
        <v>3537.2758999999996</v>
      </c>
      <c r="DK168" s="13">
        <f t="shared" si="18"/>
        <v>93.606799999999993</v>
      </c>
      <c r="DL168" s="13">
        <f t="shared" si="18"/>
        <v>3443.6691000000001</v>
      </c>
      <c r="DM168" s="13">
        <f t="shared" si="19"/>
        <v>0</v>
      </c>
      <c r="DN168" s="13">
        <f t="shared" si="19"/>
        <v>0</v>
      </c>
      <c r="DO168" s="13">
        <f t="shared" si="19"/>
        <v>0</v>
      </c>
      <c r="DP168" s="13">
        <f t="shared" si="19"/>
        <v>2159.2358000000004</v>
      </c>
      <c r="DQ168" s="13">
        <f t="shared" si="19"/>
        <v>73.285699999999991</v>
      </c>
      <c r="DR168" s="13">
        <f t="shared" si="19"/>
        <v>2085.9501</v>
      </c>
      <c r="DS168" s="14" t="s">
        <v>81</v>
      </c>
      <c r="DT168" s="14" t="s">
        <v>81</v>
      </c>
      <c r="DU168" s="14" t="s">
        <v>73</v>
      </c>
      <c r="DV168" s="14" t="s">
        <v>63</v>
      </c>
      <c r="DW168" s="14" t="s">
        <v>372</v>
      </c>
    </row>
    <row r="169" spans="2:127" x14ac:dyDescent="0.3">
      <c r="B169" s="11" t="s">
        <v>65</v>
      </c>
      <c r="C169" s="14">
        <v>5001341388</v>
      </c>
      <c r="D169" s="11" t="s">
        <v>595</v>
      </c>
      <c r="E169" s="11" t="s">
        <v>522</v>
      </c>
      <c r="F169" s="11" t="s">
        <v>596</v>
      </c>
      <c r="G169" s="11" t="s">
        <v>597</v>
      </c>
      <c r="H169" s="11" t="s">
        <v>239</v>
      </c>
      <c r="I169" s="11">
        <v>18101</v>
      </c>
      <c r="J169" s="11" t="s">
        <v>80</v>
      </c>
      <c r="K169" s="11"/>
      <c r="L169" s="11"/>
      <c r="M169" s="11"/>
      <c r="N169" s="11"/>
      <c r="O169" s="13">
        <v>149</v>
      </c>
      <c r="P169" s="13">
        <v>149</v>
      </c>
      <c r="Q169" s="13">
        <v>0</v>
      </c>
      <c r="R169" s="13">
        <v>30573.663700000001</v>
      </c>
      <c r="S169" s="13">
        <v>666.81700000000001</v>
      </c>
      <c r="T169" s="13">
        <v>29906.846699999998</v>
      </c>
      <c r="U169" s="13">
        <v>0</v>
      </c>
      <c r="V169" s="13">
        <v>0</v>
      </c>
      <c r="W169" s="13">
        <v>0</v>
      </c>
      <c r="X169" s="13">
        <v>2164.6355000000003</v>
      </c>
      <c r="Y169" s="13">
        <v>53.999600000000001</v>
      </c>
      <c r="Z169" s="13">
        <v>2110.6359000000002</v>
      </c>
      <c r="AA169" s="13">
        <v>0</v>
      </c>
      <c r="AB169" s="13">
        <v>0</v>
      </c>
      <c r="AC169" s="13">
        <v>0</v>
      </c>
      <c r="AD169" s="13">
        <v>2751.6944999999996</v>
      </c>
      <c r="AE169" s="13">
        <v>73.285200000000003</v>
      </c>
      <c r="AF169" s="13">
        <v>2678.4092999999998</v>
      </c>
      <c r="AG169" s="13">
        <v>11</v>
      </c>
      <c r="AH169" s="13">
        <v>11</v>
      </c>
      <c r="AI169" s="13">
        <v>0</v>
      </c>
      <c r="AJ169" s="13">
        <v>2207.8427999999999</v>
      </c>
      <c r="AK169" s="13">
        <v>60.178199999999997</v>
      </c>
      <c r="AL169" s="13">
        <v>2147.6646000000001</v>
      </c>
      <c r="AM169" s="13">
        <v>30</v>
      </c>
      <c r="AN169" s="13">
        <v>30</v>
      </c>
      <c r="AO169" s="13">
        <v>0</v>
      </c>
      <c r="AP169" s="13">
        <v>2291.4501</v>
      </c>
      <c r="AQ169" s="13">
        <v>82.070999999999998</v>
      </c>
      <c r="AR169" s="13">
        <v>2209.3791000000001</v>
      </c>
      <c r="AS169" s="13">
        <v>12</v>
      </c>
      <c r="AT169" s="13">
        <v>12</v>
      </c>
      <c r="AU169" s="13">
        <v>0</v>
      </c>
      <c r="AV169" s="13">
        <v>2665.1446999999998</v>
      </c>
      <c r="AW169" s="13">
        <v>36.106999999999999</v>
      </c>
      <c r="AX169" s="13">
        <v>2629.0376999999999</v>
      </c>
      <c r="AY169" s="13">
        <v>0</v>
      </c>
      <c r="AZ169" s="13">
        <v>0</v>
      </c>
      <c r="BA169" s="13">
        <v>0</v>
      </c>
      <c r="BB169" s="13">
        <v>1887.6921</v>
      </c>
      <c r="BC169" s="13">
        <v>11.571300000000001</v>
      </c>
      <c r="BD169" s="13">
        <v>1876.1207999999999</v>
      </c>
      <c r="BE169" s="13">
        <v>0</v>
      </c>
      <c r="BF169" s="13">
        <v>0</v>
      </c>
      <c r="BG169" s="13">
        <v>0</v>
      </c>
      <c r="BH169" s="13">
        <v>1986.4353000000001</v>
      </c>
      <c r="BI169" s="13">
        <v>11.571300000000001</v>
      </c>
      <c r="BJ169" s="13">
        <v>1974.864</v>
      </c>
      <c r="BK169" s="13">
        <v>60</v>
      </c>
      <c r="BL169" s="13">
        <v>60</v>
      </c>
      <c r="BM169" s="13">
        <v>0</v>
      </c>
      <c r="BN169" s="13">
        <v>2701.5733</v>
      </c>
      <c r="BO169" s="13">
        <v>72.535600000000002</v>
      </c>
      <c r="BP169" s="13">
        <v>2629.0376999999999</v>
      </c>
      <c r="BQ169" s="13">
        <v>12</v>
      </c>
      <c r="BR169" s="13">
        <v>12</v>
      </c>
      <c r="BS169" s="13">
        <v>0</v>
      </c>
      <c r="BT169" s="13">
        <v>2277.6934000000001</v>
      </c>
      <c r="BU169" s="13">
        <v>31.285599999999999</v>
      </c>
      <c r="BV169" s="13">
        <v>2246.4078</v>
      </c>
      <c r="BW169" s="13">
        <v>24</v>
      </c>
      <c r="BX169" s="13">
        <v>24</v>
      </c>
      <c r="BY169" s="13">
        <v>0</v>
      </c>
      <c r="BZ169" s="13">
        <v>2154.8857000000003</v>
      </c>
      <c r="CA169" s="13">
        <v>44.2498</v>
      </c>
      <c r="CB169" s="13">
        <v>2110.6359000000002</v>
      </c>
      <c r="CC169" s="13">
        <v>0</v>
      </c>
      <c r="CD169" s="13">
        <v>0</v>
      </c>
      <c r="CE169" s="13">
        <v>0</v>
      </c>
      <c r="CF169" s="13">
        <v>2777.1516999999999</v>
      </c>
      <c r="CG169" s="13">
        <v>61.713700000000003</v>
      </c>
      <c r="CH169" s="13">
        <v>2715.4380000000001</v>
      </c>
      <c r="CI169" s="13">
        <v>0</v>
      </c>
      <c r="CJ169" s="13">
        <v>0</v>
      </c>
      <c r="CK169" s="13">
        <v>0</v>
      </c>
      <c r="CL169" s="13">
        <v>2226.3498999999997</v>
      </c>
      <c r="CM169" s="13">
        <v>53.999499999999998</v>
      </c>
      <c r="CN169" s="13">
        <v>2172.3503999999998</v>
      </c>
      <c r="CO169" s="13">
        <v>0</v>
      </c>
      <c r="CP169" s="13">
        <v>0</v>
      </c>
      <c r="CQ169" s="13">
        <v>0</v>
      </c>
      <c r="CR169" s="13">
        <v>2481.1147000000001</v>
      </c>
      <c r="CS169" s="13">
        <v>74.249200000000002</v>
      </c>
      <c r="CT169" s="13">
        <v>2406.8654999999999</v>
      </c>
      <c r="CU169" s="13">
        <f t="shared" ref="CU169:CZ211" si="20">SUM(AA169,AG169,AM169,AS169,AY169,BE169,BK169,BQ169,BW169,CC169,CI169,CO169)</f>
        <v>149</v>
      </c>
      <c r="CV169" s="13">
        <f t="shared" si="20"/>
        <v>149</v>
      </c>
      <c r="CW169" s="13">
        <f t="shared" si="20"/>
        <v>0</v>
      </c>
      <c r="CX169" s="13">
        <f t="shared" si="20"/>
        <v>28409.028200000001</v>
      </c>
      <c r="CY169" s="13">
        <f t="shared" si="20"/>
        <v>612.81739999999991</v>
      </c>
      <c r="CZ169" s="13">
        <f t="shared" si="20"/>
        <v>27796.210799999997</v>
      </c>
      <c r="DA169" s="13">
        <f t="shared" ref="DA169:DF211" si="21">SUM(CC169,CI169,CO169)</f>
        <v>0</v>
      </c>
      <c r="DB169" s="13">
        <f t="shared" si="21"/>
        <v>0</v>
      </c>
      <c r="DC169" s="13">
        <f t="shared" si="21"/>
        <v>0</v>
      </c>
      <c r="DD169" s="13">
        <f t="shared" si="21"/>
        <v>7484.6162999999997</v>
      </c>
      <c r="DE169" s="13">
        <f t="shared" si="21"/>
        <v>189.9624</v>
      </c>
      <c r="DF169" s="13">
        <f t="shared" si="21"/>
        <v>7294.6538999999993</v>
      </c>
      <c r="DG169" s="13">
        <f t="shared" ref="DG169:DL211" si="22">SUM(BK169,BQ169,BW169)</f>
        <v>96</v>
      </c>
      <c r="DH169" s="13">
        <f t="shared" si="22"/>
        <v>96</v>
      </c>
      <c r="DI169" s="13">
        <f t="shared" si="22"/>
        <v>0</v>
      </c>
      <c r="DJ169" s="13">
        <f t="shared" si="22"/>
        <v>7134.1524000000009</v>
      </c>
      <c r="DK169" s="13">
        <f t="shared" si="22"/>
        <v>148.071</v>
      </c>
      <c r="DL169" s="13">
        <f t="shared" si="22"/>
        <v>6986.0814</v>
      </c>
      <c r="DM169" s="13">
        <f t="shared" ref="DM169:DR211" si="23">SUM(CI169,CO169)</f>
        <v>0</v>
      </c>
      <c r="DN169" s="13">
        <f t="shared" si="23"/>
        <v>0</v>
      </c>
      <c r="DO169" s="13">
        <f t="shared" si="23"/>
        <v>0</v>
      </c>
      <c r="DP169" s="13">
        <f t="shared" si="23"/>
        <v>4707.4645999999993</v>
      </c>
      <c r="DQ169" s="13">
        <f t="shared" si="23"/>
        <v>128.24869999999999</v>
      </c>
      <c r="DR169" s="13">
        <f t="shared" si="23"/>
        <v>4579.2158999999992</v>
      </c>
      <c r="DS169" s="14" t="s">
        <v>71</v>
      </c>
      <c r="DT169" s="14" t="s">
        <v>81</v>
      </c>
      <c r="DU169" s="14" t="s">
        <v>62</v>
      </c>
      <c r="DV169" s="14" t="s">
        <v>82</v>
      </c>
      <c r="DW169" s="14" t="s">
        <v>74</v>
      </c>
    </row>
    <row r="170" spans="2:127" x14ac:dyDescent="0.3">
      <c r="B170" s="11" t="s">
        <v>83</v>
      </c>
      <c r="C170" s="14">
        <v>5001341478</v>
      </c>
      <c r="D170" s="11" t="s">
        <v>598</v>
      </c>
      <c r="E170" s="11" t="s">
        <v>522</v>
      </c>
      <c r="F170" s="11" t="s">
        <v>599</v>
      </c>
      <c r="G170" s="11" t="s">
        <v>600</v>
      </c>
      <c r="H170" s="11" t="s">
        <v>96</v>
      </c>
      <c r="I170" s="11">
        <v>54911</v>
      </c>
      <c r="J170" s="11" t="s">
        <v>80</v>
      </c>
      <c r="K170" s="11"/>
      <c r="L170" s="11"/>
      <c r="M170" s="11"/>
      <c r="N170" s="11"/>
      <c r="O170" s="13">
        <v>0</v>
      </c>
      <c r="P170" s="13">
        <v>0</v>
      </c>
      <c r="Q170" s="13">
        <v>0</v>
      </c>
      <c r="R170" s="13">
        <v>14095.5918</v>
      </c>
      <c r="S170" s="13">
        <v>0</v>
      </c>
      <c r="T170" s="13">
        <v>14095.5918</v>
      </c>
      <c r="U170" s="13">
        <v>0</v>
      </c>
      <c r="V170" s="13">
        <v>0</v>
      </c>
      <c r="W170" s="13">
        <v>0</v>
      </c>
      <c r="X170" s="13">
        <v>826.97429999999997</v>
      </c>
      <c r="Y170" s="13">
        <v>0</v>
      </c>
      <c r="Z170" s="13">
        <v>826.97429999999997</v>
      </c>
      <c r="AA170" s="13">
        <v>0</v>
      </c>
      <c r="AB170" s="13">
        <v>0</v>
      </c>
      <c r="AC170" s="13">
        <v>0</v>
      </c>
      <c r="AD170" s="13">
        <v>1246.6329000000001</v>
      </c>
      <c r="AE170" s="13">
        <v>0</v>
      </c>
      <c r="AF170" s="13">
        <v>1246.6329000000001</v>
      </c>
      <c r="AG170" s="13">
        <v>0</v>
      </c>
      <c r="AH170" s="13">
        <v>0</v>
      </c>
      <c r="AI170" s="13">
        <v>0</v>
      </c>
      <c r="AJ170" s="13">
        <v>1258.9757999999999</v>
      </c>
      <c r="AK170" s="13">
        <v>0</v>
      </c>
      <c r="AL170" s="13">
        <v>1258.9757999999999</v>
      </c>
      <c r="AM170" s="13">
        <v>0</v>
      </c>
      <c r="AN170" s="13">
        <v>0</v>
      </c>
      <c r="AO170" s="13">
        <v>0</v>
      </c>
      <c r="AP170" s="13">
        <v>987.43200000000002</v>
      </c>
      <c r="AQ170" s="13">
        <v>0</v>
      </c>
      <c r="AR170" s="13">
        <v>987.43200000000002</v>
      </c>
      <c r="AS170" s="13">
        <v>0</v>
      </c>
      <c r="AT170" s="13">
        <v>0</v>
      </c>
      <c r="AU170" s="13">
        <v>0</v>
      </c>
      <c r="AV170" s="13">
        <v>1419.4335000000001</v>
      </c>
      <c r="AW170" s="13">
        <v>0</v>
      </c>
      <c r="AX170" s="13">
        <v>1419.4335000000001</v>
      </c>
      <c r="AY170" s="13">
        <v>0</v>
      </c>
      <c r="AZ170" s="13">
        <v>0</v>
      </c>
      <c r="BA170" s="13">
        <v>0</v>
      </c>
      <c r="BB170" s="13">
        <v>641.83079999999995</v>
      </c>
      <c r="BC170" s="13">
        <v>0</v>
      </c>
      <c r="BD170" s="13">
        <v>641.83079999999995</v>
      </c>
      <c r="BE170" s="13">
        <v>0</v>
      </c>
      <c r="BF170" s="13">
        <v>0</v>
      </c>
      <c r="BG170" s="13">
        <v>0</v>
      </c>
      <c r="BH170" s="13">
        <v>1160.2326</v>
      </c>
      <c r="BI170" s="13">
        <v>0</v>
      </c>
      <c r="BJ170" s="13">
        <v>1160.2326</v>
      </c>
      <c r="BK170" s="13">
        <v>0</v>
      </c>
      <c r="BL170" s="13">
        <v>0</v>
      </c>
      <c r="BM170" s="13">
        <v>0</v>
      </c>
      <c r="BN170" s="13">
        <v>999.7749</v>
      </c>
      <c r="BO170" s="13">
        <v>0</v>
      </c>
      <c r="BP170" s="13">
        <v>999.7749</v>
      </c>
      <c r="BQ170" s="13">
        <v>0</v>
      </c>
      <c r="BR170" s="13">
        <v>0</v>
      </c>
      <c r="BS170" s="13">
        <v>0</v>
      </c>
      <c r="BT170" s="13">
        <v>987.43200000000002</v>
      </c>
      <c r="BU170" s="13">
        <v>0</v>
      </c>
      <c r="BV170" s="13">
        <v>987.43200000000002</v>
      </c>
      <c r="BW170" s="13">
        <v>0</v>
      </c>
      <c r="BX170" s="13">
        <v>0</v>
      </c>
      <c r="BY170" s="13">
        <v>0</v>
      </c>
      <c r="BZ170" s="13">
        <v>987.43200000000002</v>
      </c>
      <c r="CA170" s="13">
        <v>0</v>
      </c>
      <c r="CB170" s="13">
        <v>987.43200000000002</v>
      </c>
      <c r="CC170" s="13">
        <v>0</v>
      </c>
      <c r="CD170" s="13">
        <v>0</v>
      </c>
      <c r="CE170" s="13">
        <v>0</v>
      </c>
      <c r="CF170" s="13">
        <v>1370.0618999999999</v>
      </c>
      <c r="CG170" s="13">
        <v>0</v>
      </c>
      <c r="CH170" s="13">
        <v>1370.0618999999999</v>
      </c>
      <c r="CI170" s="13">
        <v>0</v>
      </c>
      <c r="CJ170" s="13">
        <v>0</v>
      </c>
      <c r="CK170" s="13">
        <v>0</v>
      </c>
      <c r="CL170" s="13">
        <v>999.7749</v>
      </c>
      <c r="CM170" s="13">
        <v>0</v>
      </c>
      <c r="CN170" s="13">
        <v>999.7749</v>
      </c>
      <c r="CO170" s="13">
        <v>0</v>
      </c>
      <c r="CP170" s="13">
        <v>0</v>
      </c>
      <c r="CQ170" s="13">
        <v>0</v>
      </c>
      <c r="CR170" s="13">
        <v>1209.6042</v>
      </c>
      <c r="CS170" s="13">
        <v>0</v>
      </c>
      <c r="CT170" s="13">
        <v>1209.6042</v>
      </c>
      <c r="CU170" s="13">
        <f t="shared" si="20"/>
        <v>0</v>
      </c>
      <c r="CV170" s="13">
        <f t="shared" si="20"/>
        <v>0</v>
      </c>
      <c r="CW170" s="13">
        <f t="shared" si="20"/>
        <v>0</v>
      </c>
      <c r="CX170" s="13">
        <f t="shared" si="20"/>
        <v>13268.617500000002</v>
      </c>
      <c r="CY170" s="13">
        <f t="shared" si="20"/>
        <v>0</v>
      </c>
      <c r="CZ170" s="13">
        <f t="shared" si="20"/>
        <v>13268.617500000002</v>
      </c>
      <c r="DA170" s="13">
        <f t="shared" si="21"/>
        <v>0</v>
      </c>
      <c r="DB170" s="13">
        <f t="shared" si="21"/>
        <v>0</v>
      </c>
      <c r="DC170" s="13">
        <f t="shared" si="21"/>
        <v>0</v>
      </c>
      <c r="DD170" s="13">
        <f t="shared" si="21"/>
        <v>3579.4409999999998</v>
      </c>
      <c r="DE170" s="13">
        <f t="shared" si="21"/>
        <v>0</v>
      </c>
      <c r="DF170" s="13">
        <f t="shared" si="21"/>
        <v>3579.4409999999998</v>
      </c>
      <c r="DG170" s="13">
        <f t="shared" si="22"/>
        <v>0</v>
      </c>
      <c r="DH170" s="13">
        <f t="shared" si="22"/>
        <v>0</v>
      </c>
      <c r="DI170" s="13">
        <f t="shared" si="22"/>
        <v>0</v>
      </c>
      <c r="DJ170" s="13">
        <f t="shared" si="22"/>
        <v>2974.6388999999999</v>
      </c>
      <c r="DK170" s="13">
        <f t="shared" si="22"/>
        <v>0</v>
      </c>
      <c r="DL170" s="13">
        <f t="shared" si="22"/>
        <v>2974.6388999999999</v>
      </c>
      <c r="DM170" s="13">
        <f t="shared" si="23"/>
        <v>0</v>
      </c>
      <c r="DN170" s="13">
        <f t="shared" si="23"/>
        <v>0</v>
      </c>
      <c r="DO170" s="13">
        <f t="shared" si="23"/>
        <v>0</v>
      </c>
      <c r="DP170" s="13">
        <f t="shared" si="23"/>
        <v>2209.3791000000001</v>
      </c>
      <c r="DQ170" s="13">
        <f t="shared" si="23"/>
        <v>0</v>
      </c>
      <c r="DR170" s="13">
        <f t="shared" si="23"/>
        <v>2209.3791000000001</v>
      </c>
      <c r="DS170" s="14" t="s">
        <v>71</v>
      </c>
      <c r="DT170" s="14" t="s">
        <v>81</v>
      </c>
      <c r="DU170" s="14" t="s">
        <v>73</v>
      </c>
      <c r="DV170" s="14" t="s">
        <v>63</v>
      </c>
      <c r="DW170" s="14" t="s">
        <v>74</v>
      </c>
    </row>
    <row r="171" spans="2:127" x14ac:dyDescent="0.3">
      <c r="B171" s="11" t="s">
        <v>83</v>
      </c>
      <c r="C171" s="14">
        <v>5001341570</v>
      </c>
      <c r="D171" s="11" t="s">
        <v>601</v>
      </c>
      <c r="E171" s="11" t="s">
        <v>522</v>
      </c>
      <c r="F171" s="11" t="s">
        <v>602</v>
      </c>
      <c r="G171" s="11" t="s">
        <v>603</v>
      </c>
      <c r="H171" s="11" t="s">
        <v>96</v>
      </c>
      <c r="I171" s="11">
        <v>54449</v>
      </c>
      <c r="J171" s="11" t="s">
        <v>80</v>
      </c>
      <c r="K171" s="11"/>
      <c r="L171" s="11"/>
      <c r="M171" s="11"/>
      <c r="N171" s="11"/>
      <c r="O171" s="13">
        <v>824</v>
      </c>
      <c r="P171" s="13">
        <v>824</v>
      </c>
      <c r="Q171" s="13">
        <v>0</v>
      </c>
      <c r="R171" s="13">
        <v>16060.1489</v>
      </c>
      <c r="S171" s="13">
        <v>1211.6402</v>
      </c>
      <c r="T171" s="13">
        <v>14848.5087</v>
      </c>
      <c r="U171" s="13">
        <v>47</v>
      </c>
      <c r="V171" s="13">
        <v>47</v>
      </c>
      <c r="W171" s="13">
        <v>0</v>
      </c>
      <c r="X171" s="13">
        <v>1151.4956000000002</v>
      </c>
      <c r="Y171" s="13">
        <v>127.03489999999999</v>
      </c>
      <c r="Z171" s="13">
        <v>1024.4607000000001</v>
      </c>
      <c r="AA171" s="13">
        <v>66</v>
      </c>
      <c r="AB171" s="13">
        <v>66</v>
      </c>
      <c r="AC171" s="13">
        <v>0</v>
      </c>
      <c r="AD171" s="13">
        <v>1168.7607</v>
      </c>
      <c r="AE171" s="13">
        <v>94.928399999999996</v>
      </c>
      <c r="AF171" s="13">
        <v>1073.8323</v>
      </c>
      <c r="AG171" s="13">
        <v>42</v>
      </c>
      <c r="AH171" s="13">
        <v>42</v>
      </c>
      <c r="AI171" s="13">
        <v>0</v>
      </c>
      <c r="AJ171" s="13">
        <v>920.85269999999991</v>
      </c>
      <c r="AK171" s="13">
        <v>81.535499999999999</v>
      </c>
      <c r="AL171" s="13">
        <v>839.31719999999996</v>
      </c>
      <c r="AM171" s="13">
        <v>40</v>
      </c>
      <c r="AN171" s="13">
        <v>40</v>
      </c>
      <c r="AO171" s="13">
        <v>0</v>
      </c>
      <c r="AP171" s="13">
        <v>657.14499999999998</v>
      </c>
      <c r="AQ171" s="13">
        <v>40</v>
      </c>
      <c r="AR171" s="13">
        <v>617.14499999999998</v>
      </c>
      <c r="AS171" s="13">
        <v>73</v>
      </c>
      <c r="AT171" s="13">
        <v>73</v>
      </c>
      <c r="AU171" s="13">
        <v>0</v>
      </c>
      <c r="AV171" s="13">
        <v>1027.6459</v>
      </c>
      <c r="AW171" s="13">
        <v>101.9284</v>
      </c>
      <c r="AX171" s="13">
        <v>925.71749999999997</v>
      </c>
      <c r="AY171" s="13">
        <v>61</v>
      </c>
      <c r="AZ171" s="13">
        <v>61</v>
      </c>
      <c r="BA171" s="13">
        <v>0</v>
      </c>
      <c r="BB171" s="13">
        <v>984.98170000000005</v>
      </c>
      <c r="BC171" s="13">
        <v>71.607100000000003</v>
      </c>
      <c r="BD171" s="13">
        <v>913.37459999999999</v>
      </c>
      <c r="BE171" s="13">
        <v>70</v>
      </c>
      <c r="BF171" s="13">
        <v>70</v>
      </c>
      <c r="BG171" s="13">
        <v>0</v>
      </c>
      <c r="BH171" s="13">
        <v>1098.7032999999999</v>
      </c>
      <c r="BI171" s="13">
        <v>98.928399999999996</v>
      </c>
      <c r="BJ171" s="13">
        <v>999.7749</v>
      </c>
      <c r="BK171" s="13">
        <v>72</v>
      </c>
      <c r="BL171" s="13">
        <v>72</v>
      </c>
      <c r="BM171" s="13">
        <v>0</v>
      </c>
      <c r="BN171" s="13">
        <v>1551.0261</v>
      </c>
      <c r="BO171" s="13">
        <v>119.24969999999999</v>
      </c>
      <c r="BP171" s="13">
        <v>1431.7764</v>
      </c>
      <c r="BQ171" s="13">
        <v>68</v>
      </c>
      <c r="BR171" s="13">
        <v>68</v>
      </c>
      <c r="BS171" s="13">
        <v>0</v>
      </c>
      <c r="BT171" s="13">
        <v>1127.7536</v>
      </c>
      <c r="BU171" s="13">
        <v>78.607100000000003</v>
      </c>
      <c r="BV171" s="13">
        <v>1049.1465000000001</v>
      </c>
      <c r="BW171" s="13">
        <v>170</v>
      </c>
      <c r="BX171" s="13">
        <v>170</v>
      </c>
      <c r="BY171" s="13">
        <v>0</v>
      </c>
      <c r="BZ171" s="13">
        <v>1988.6488999999999</v>
      </c>
      <c r="CA171" s="13">
        <v>198.92840000000001</v>
      </c>
      <c r="CB171" s="13">
        <v>1789.7204999999999</v>
      </c>
      <c r="CC171" s="13">
        <v>22</v>
      </c>
      <c r="CD171" s="13">
        <v>22</v>
      </c>
      <c r="CE171" s="13">
        <v>0</v>
      </c>
      <c r="CF171" s="13">
        <v>1735.5412000000001</v>
      </c>
      <c r="CG171" s="13">
        <v>69.24969999999999</v>
      </c>
      <c r="CH171" s="13">
        <v>1666.2915</v>
      </c>
      <c r="CI171" s="13">
        <v>40</v>
      </c>
      <c r="CJ171" s="13">
        <v>40</v>
      </c>
      <c r="CK171" s="13">
        <v>0</v>
      </c>
      <c r="CL171" s="13">
        <v>1327.9041999999999</v>
      </c>
      <c r="CM171" s="13">
        <v>68.928399999999996</v>
      </c>
      <c r="CN171" s="13">
        <v>1258.9757999999999</v>
      </c>
      <c r="CO171" s="13">
        <v>53</v>
      </c>
      <c r="CP171" s="13">
        <v>53</v>
      </c>
      <c r="CQ171" s="13">
        <v>0</v>
      </c>
      <c r="CR171" s="13">
        <v>1319.6899999999998</v>
      </c>
      <c r="CS171" s="13">
        <v>60.714199999999998</v>
      </c>
      <c r="CT171" s="13">
        <v>1258.9757999999999</v>
      </c>
      <c r="CU171" s="13">
        <f t="shared" si="20"/>
        <v>777</v>
      </c>
      <c r="CV171" s="13">
        <f t="shared" si="20"/>
        <v>777</v>
      </c>
      <c r="CW171" s="13">
        <f t="shared" si="20"/>
        <v>0</v>
      </c>
      <c r="CX171" s="13">
        <f t="shared" si="20"/>
        <v>14908.6533</v>
      </c>
      <c r="CY171" s="13">
        <f t="shared" si="20"/>
        <v>1084.6052999999999</v>
      </c>
      <c r="CZ171" s="13">
        <f t="shared" si="20"/>
        <v>13824.047999999999</v>
      </c>
      <c r="DA171" s="13">
        <f t="shared" si="21"/>
        <v>115</v>
      </c>
      <c r="DB171" s="13">
        <f t="shared" si="21"/>
        <v>115</v>
      </c>
      <c r="DC171" s="13">
        <f t="shared" si="21"/>
        <v>0</v>
      </c>
      <c r="DD171" s="13">
        <f t="shared" si="21"/>
        <v>4383.1354000000001</v>
      </c>
      <c r="DE171" s="13">
        <f t="shared" si="21"/>
        <v>198.89229999999998</v>
      </c>
      <c r="DF171" s="13">
        <f t="shared" si="21"/>
        <v>4184.2430999999997</v>
      </c>
      <c r="DG171" s="13">
        <f t="shared" si="22"/>
        <v>310</v>
      </c>
      <c r="DH171" s="13">
        <f t="shared" si="22"/>
        <v>310</v>
      </c>
      <c r="DI171" s="13">
        <f t="shared" si="22"/>
        <v>0</v>
      </c>
      <c r="DJ171" s="13">
        <f t="shared" si="22"/>
        <v>4667.4286000000002</v>
      </c>
      <c r="DK171" s="13">
        <f t="shared" si="22"/>
        <v>396.78520000000003</v>
      </c>
      <c r="DL171" s="13">
        <f t="shared" si="22"/>
        <v>4270.6433999999999</v>
      </c>
      <c r="DM171" s="13">
        <f t="shared" si="23"/>
        <v>93</v>
      </c>
      <c r="DN171" s="13">
        <f t="shared" si="23"/>
        <v>93</v>
      </c>
      <c r="DO171" s="13">
        <f t="shared" si="23"/>
        <v>0</v>
      </c>
      <c r="DP171" s="13">
        <f t="shared" si="23"/>
        <v>2647.5941999999995</v>
      </c>
      <c r="DQ171" s="13">
        <f t="shared" si="23"/>
        <v>129.64259999999999</v>
      </c>
      <c r="DR171" s="13">
        <f t="shared" si="23"/>
        <v>2517.9515999999999</v>
      </c>
      <c r="DS171" s="14" t="s">
        <v>71</v>
      </c>
      <c r="DT171" s="14" t="s">
        <v>81</v>
      </c>
      <c r="DU171" s="14" t="s">
        <v>73</v>
      </c>
      <c r="DV171" s="14" t="s">
        <v>97</v>
      </c>
      <c r="DW171" s="14" t="s">
        <v>74</v>
      </c>
    </row>
    <row r="172" spans="2:127" x14ac:dyDescent="0.3">
      <c r="B172" s="11" t="s">
        <v>75</v>
      </c>
      <c r="C172" s="14">
        <v>5001341616</v>
      </c>
      <c r="D172" s="11" t="s">
        <v>604</v>
      </c>
      <c r="E172" s="11" t="s">
        <v>522</v>
      </c>
      <c r="F172" s="11" t="s">
        <v>605</v>
      </c>
      <c r="G172" s="11" t="s">
        <v>129</v>
      </c>
      <c r="H172" s="11" t="s">
        <v>104</v>
      </c>
      <c r="I172" s="11">
        <v>33907</v>
      </c>
      <c r="J172" s="11" t="s">
        <v>109</v>
      </c>
      <c r="K172" s="11"/>
      <c r="L172" s="11"/>
      <c r="M172" s="11"/>
      <c r="N172" s="11"/>
      <c r="O172" s="13">
        <v>236</v>
      </c>
      <c r="P172" s="13">
        <v>236</v>
      </c>
      <c r="Q172" s="13">
        <v>0</v>
      </c>
      <c r="R172" s="13">
        <v>12183.9272</v>
      </c>
      <c r="S172" s="13">
        <v>236</v>
      </c>
      <c r="T172" s="13">
        <v>11947.9272</v>
      </c>
      <c r="U172" s="13">
        <v>30</v>
      </c>
      <c r="V172" s="13">
        <v>30</v>
      </c>
      <c r="W172" s="13">
        <v>0</v>
      </c>
      <c r="X172" s="13">
        <v>807.60270000000003</v>
      </c>
      <c r="Y172" s="13">
        <v>30</v>
      </c>
      <c r="Z172" s="13">
        <v>777.60270000000003</v>
      </c>
      <c r="AA172" s="13">
        <v>24</v>
      </c>
      <c r="AB172" s="13">
        <v>24</v>
      </c>
      <c r="AC172" s="13">
        <v>0</v>
      </c>
      <c r="AD172" s="13">
        <v>1270.6329000000001</v>
      </c>
      <c r="AE172" s="13">
        <v>24</v>
      </c>
      <c r="AF172" s="13">
        <v>1246.6329000000001</v>
      </c>
      <c r="AG172" s="13">
        <v>24</v>
      </c>
      <c r="AH172" s="13">
        <v>24</v>
      </c>
      <c r="AI172" s="13">
        <v>0</v>
      </c>
      <c r="AJ172" s="13">
        <v>1011.432</v>
      </c>
      <c r="AK172" s="13">
        <v>24</v>
      </c>
      <c r="AL172" s="13">
        <v>987.43200000000002</v>
      </c>
      <c r="AM172" s="13">
        <v>18</v>
      </c>
      <c r="AN172" s="13">
        <v>18</v>
      </c>
      <c r="AO172" s="13">
        <v>0</v>
      </c>
      <c r="AP172" s="13">
        <v>968.40329999999994</v>
      </c>
      <c r="AQ172" s="13">
        <v>18</v>
      </c>
      <c r="AR172" s="13">
        <v>950.40329999999994</v>
      </c>
      <c r="AS172" s="13">
        <v>40</v>
      </c>
      <c r="AT172" s="13">
        <v>40</v>
      </c>
      <c r="AU172" s="13">
        <v>0</v>
      </c>
      <c r="AV172" s="13">
        <v>1113.8323</v>
      </c>
      <c r="AW172" s="13">
        <v>40</v>
      </c>
      <c r="AX172" s="13">
        <v>1073.8323</v>
      </c>
      <c r="AY172" s="13">
        <v>12</v>
      </c>
      <c r="AZ172" s="13">
        <v>12</v>
      </c>
      <c r="BA172" s="13">
        <v>0</v>
      </c>
      <c r="BB172" s="13">
        <v>913.0317</v>
      </c>
      <c r="BC172" s="13">
        <v>12</v>
      </c>
      <c r="BD172" s="13">
        <v>901.0317</v>
      </c>
      <c r="BE172" s="13">
        <v>26</v>
      </c>
      <c r="BF172" s="13">
        <v>26</v>
      </c>
      <c r="BG172" s="13">
        <v>0</v>
      </c>
      <c r="BH172" s="13">
        <v>717.20240000000001</v>
      </c>
      <c r="BI172" s="13">
        <v>26</v>
      </c>
      <c r="BJ172" s="13">
        <v>691.20240000000001</v>
      </c>
      <c r="BK172" s="13">
        <v>19</v>
      </c>
      <c r="BL172" s="13">
        <v>19</v>
      </c>
      <c r="BM172" s="13">
        <v>0</v>
      </c>
      <c r="BN172" s="13">
        <v>969.40329999999994</v>
      </c>
      <c r="BO172" s="13">
        <v>19</v>
      </c>
      <c r="BP172" s="13">
        <v>950.40329999999994</v>
      </c>
      <c r="BQ172" s="13">
        <v>12</v>
      </c>
      <c r="BR172" s="13">
        <v>12</v>
      </c>
      <c r="BS172" s="13">
        <v>0</v>
      </c>
      <c r="BT172" s="13">
        <v>777.25980000000004</v>
      </c>
      <c r="BU172" s="13">
        <v>12</v>
      </c>
      <c r="BV172" s="13">
        <v>765.25980000000004</v>
      </c>
      <c r="BW172" s="13">
        <v>20</v>
      </c>
      <c r="BX172" s="13">
        <v>20</v>
      </c>
      <c r="BY172" s="13">
        <v>0</v>
      </c>
      <c r="BZ172" s="13">
        <v>748.23109999999997</v>
      </c>
      <c r="CA172" s="13">
        <v>20</v>
      </c>
      <c r="CB172" s="13">
        <v>728.23109999999997</v>
      </c>
      <c r="CC172" s="13">
        <v>6</v>
      </c>
      <c r="CD172" s="13">
        <v>6</v>
      </c>
      <c r="CE172" s="13">
        <v>0</v>
      </c>
      <c r="CF172" s="13">
        <v>1079.8323</v>
      </c>
      <c r="CG172" s="13">
        <v>6</v>
      </c>
      <c r="CH172" s="13">
        <v>1073.8323</v>
      </c>
      <c r="CI172" s="13">
        <v>0</v>
      </c>
      <c r="CJ172" s="13">
        <v>0</v>
      </c>
      <c r="CK172" s="13">
        <v>0</v>
      </c>
      <c r="CL172" s="13">
        <v>925.71749999999997</v>
      </c>
      <c r="CM172" s="13">
        <v>0</v>
      </c>
      <c r="CN172" s="13">
        <v>925.71749999999997</v>
      </c>
      <c r="CO172" s="13">
        <v>5</v>
      </c>
      <c r="CP172" s="13">
        <v>5</v>
      </c>
      <c r="CQ172" s="13">
        <v>0</v>
      </c>
      <c r="CR172" s="13">
        <v>881.34590000000003</v>
      </c>
      <c r="CS172" s="13">
        <v>5</v>
      </c>
      <c r="CT172" s="13">
        <v>876.34590000000003</v>
      </c>
      <c r="CU172" s="13">
        <f t="shared" si="20"/>
        <v>206</v>
      </c>
      <c r="CV172" s="13">
        <f t="shared" si="20"/>
        <v>206</v>
      </c>
      <c r="CW172" s="13">
        <f t="shared" si="20"/>
        <v>0</v>
      </c>
      <c r="CX172" s="13">
        <f t="shared" si="20"/>
        <v>11376.324500000002</v>
      </c>
      <c r="CY172" s="13">
        <f t="shared" si="20"/>
        <v>206</v>
      </c>
      <c r="CZ172" s="13">
        <f t="shared" si="20"/>
        <v>11170.324500000002</v>
      </c>
      <c r="DA172" s="13">
        <f t="shared" si="21"/>
        <v>11</v>
      </c>
      <c r="DB172" s="13">
        <f t="shared" si="21"/>
        <v>11</v>
      </c>
      <c r="DC172" s="13">
        <f t="shared" si="21"/>
        <v>0</v>
      </c>
      <c r="DD172" s="13">
        <f t="shared" si="21"/>
        <v>2886.8957</v>
      </c>
      <c r="DE172" s="13">
        <f t="shared" si="21"/>
        <v>11</v>
      </c>
      <c r="DF172" s="13">
        <f t="shared" si="21"/>
        <v>2875.8957</v>
      </c>
      <c r="DG172" s="13">
        <f t="shared" si="22"/>
        <v>51</v>
      </c>
      <c r="DH172" s="13">
        <f t="shared" si="22"/>
        <v>51</v>
      </c>
      <c r="DI172" s="13">
        <f t="shared" si="22"/>
        <v>0</v>
      </c>
      <c r="DJ172" s="13">
        <f t="shared" si="22"/>
        <v>2494.8941999999997</v>
      </c>
      <c r="DK172" s="13">
        <f t="shared" si="22"/>
        <v>51</v>
      </c>
      <c r="DL172" s="13">
        <f t="shared" si="22"/>
        <v>2443.8941999999997</v>
      </c>
      <c r="DM172" s="13">
        <f t="shared" si="23"/>
        <v>5</v>
      </c>
      <c r="DN172" s="13">
        <f t="shared" si="23"/>
        <v>5</v>
      </c>
      <c r="DO172" s="13">
        <f t="shared" si="23"/>
        <v>0</v>
      </c>
      <c r="DP172" s="13">
        <f t="shared" si="23"/>
        <v>1807.0634</v>
      </c>
      <c r="DQ172" s="13">
        <f t="shared" si="23"/>
        <v>5</v>
      </c>
      <c r="DR172" s="13">
        <f t="shared" si="23"/>
        <v>1802.0634</v>
      </c>
      <c r="DS172" s="14" t="s">
        <v>60</v>
      </c>
      <c r="DT172" s="14" t="s">
        <v>72</v>
      </c>
      <c r="DU172" s="14" t="s">
        <v>73</v>
      </c>
      <c r="DV172" s="14" t="s">
        <v>63</v>
      </c>
      <c r="DW172" s="14" t="s">
        <v>74</v>
      </c>
    </row>
    <row r="173" spans="2:127" x14ac:dyDescent="0.3">
      <c r="B173" s="11" t="s">
        <v>53</v>
      </c>
      <c r="C173" s="14">
        <v>5001341619</v>
      </c>
      <c r="D173" s="11" t="s">
        <v>606</v>
      </c>
      <c r="E173" s="11" t="s">
        <v>522</v>
      </c>
      <c r="F173" s="11" t="s">
        <v>607</v>
      </c>
      <c r="G173" s="11" t="s">
        <v>242</v>
      </c>
      <c r="H173" s="11" t="s">
        <v>243</v>
      </c>
      <c r="I173" s="11">
        <v>84124</v>
      </c>
      <c r="J173" s="11" t="s">
        <v>70</v>
      </c>
      <c r="K173" s="11"/>
      <c r="L173" s="11"/>
      <c r="M173" s="11"/>
      <c r="N173" s="11"/>
      <c r="O173" s="13">
        <v>759</v>
      </c>
      <c r="P173" s="13">
        <v>751</v>
      </c>
      <c r="Q173" s="13">
        <v>8</v>
      </c>
      <c r="R173" s="13">
        <v>19475.842700000001</v>
      </c>
      <c r="S173" s="13">
        <v>1508.9232</v>
      </c>
      <c r="T173" s="13">
        <v>17966.9195</v>
      </c>
      <c r="U173" s="13">
        <v>29</v>
      </c>
      <c r="V173" s="13">
        <v>29</v>
      </c>
      <c r="W173" s="13">
        <v>0</v>
      </c>
      <c r="X173" s="13">
        <v>1578.4190000000001</v>
      </c>
      <c r="Y173" s="13">
        <v>84.928100000000001</v>
      </c>
      <c r="Z173" s="13">
        <v>1493.4909</v>
      </c>
      <c r="AA173" s="13">
        <v>63</v>
      </c>
      <c r="AB173" s="13">
        <v>63</v>
      </c>
      <c r="AC173" s="13">
        <v>0</v>
      </c>
      <c r="AD173" s="13">
        <v>2097.6494000000002</v>
      </c>
      <c r="AE173" s="13">
        <v>122.78540000000001</v>
      </c>
      <c r="AF173" s="13">
        <v>1974.864</v>
      </c>
      <c r="AG173" s="13">
        <v>66</v>
      </c>
      <c r="AH173" s="13">
        <v>66</v>
      </c>
      <c r="AI173" s="13">
        <v>0</v>
      </c>
      <c r="AJ173" s="13">
        <v>1300.0966000000001</v>
      </c>
      <c r="AK173" s="13">
        <v>115.1782</v>
      </c>
      <c r="AL173" s="13">
        <v>1184.9184</v>
      </c>
      <c r="AM173" s="13">
        <v>53</v>
      </c>
      <c r="AN173" s="13">
        <v>53</v>
      </c>
      <c r="AO173" s="13">
        <v>0</v>
      </c>
      <c r="AP173" s="13">
        <v>1323.5463999999999</v>
      </c>
      <c r="AQ173" s="13">
        <v>126.2851</v>
      </c>
      <c r="AR173" s="13">
        <v>1197.2612999999999</v>
      </c>
      <c r="AS173" s="13">
        <v>94</v>
      </c>
      <c r="AT173" s="13">
        <v>94</v>
      </c>
      <c r="AU173" s="13">
        <v>0</v>
      </c>
      <c r="AV173" s="13">
        <v>1826.4405999999999</v>
      </c>
      <c r="AW173" s="13">
        <v>197.17779999999999</v>
      </c>
      <c r="AX173" s="13">
        <v>1629.2628</v>
      </c>
      <c r="AY173" s="13">
        <v>62</v>
      </c>
      <c r="AZ173" s="13">
        <v>62</v>
      </c>
      <c r="BA173" s="13">
        <v>0</v>
      </c>
      <c r="BB173" s="13">
        <v>1119.0535</v>
      </c>
      <c r="BC173" s="13">
        <v>82.249899999999997</v>
      </c>
      <c r="BD173" s="13">
        <v>1036.8036</v>
      </c>
      <c r="BE173" s="13">
        <v>60</v>
      </c>
      <c r="BF173" s="13">
        <v>60</v>
      </c>
      <c r="BG173" s="13">
        <v>0</v>
      </c>
      <c r="BH173" s="13">
        <v>1189.1816000000001</v>
      </c>
      <c r="BI173" s="13">
        <v>140.0351</v>
      </c>
      <c r="BJ173" s="13">
        <v>1049.1465000000001</v>
      </c>
      <c r="BK173" s="13">
        <v>83</v>
      </c>
      <c r="BL173" s="13">
        <v>83</v>
      </c>
      <c r="BM173" s="13">
        <v>0</v>
      </c>
      <c r="BN173" s="13">
        <v>2119.3851</v>
      </c>
      <c r="BO173" s="13">
        <v>132.1782</v>
      </c>
      <c r="BP173" s="13">
        <v>1987.2068999999999</v>
      </c>
      <c r="BQ173" s="13">
        <v>61</v>
      </c>
      <c r="BR173" s="13">
        <v>61</v>
      </c>
      <c r="BS173" s="13">
        <v>0</v>
      </c>
      <c r="BT173" s="13">
        <v>1236.8539000000001</v>
      </c>
      <c r="BU173" s="13">
        <v>88.964200000000005</v>
      </c>
      <c r="BV173" s="13">
        <v>1147.8896999999999</v>
      </c>
      <c r="BW173" s="13">
        <v>60</v>
      </c>
      <c r="BX173" s="13">
        <v>60</v>
      </c>
      <c r="BY173" s="13">
        <v>0</v>
      </c>
      <c r="BZ173" s="13">
        <v>1500.0688</v>
      </c>
      <c r="CA173" s="13">
        <v>105.3211</v>
      </c>
      <c r="CB173" s="13">
        <v>1394.7476999999999</v>
      </c>
      <c r="CC173" s="13">
        <v>33</v>
      </c>
      <c r="CD173" s="13">
        <v>33</v>
      </c>
      <c r="CE173" s="13">
        <v>0</v>
      </c>
      <c r="CF173" s="13">
        <v>1411.1615999999999</v>
      </c>
      <c r="CG173" s="13">
        <v>65.785499999999999</v>
      </c>
      <c r="CH173" s="13">
        <v>1345.3761</v>
      </c>
      <c r="CI173" s="13">
        <v>34</v>
      </c>
      <c r="CJ173" s="13">
        <v>34</v>
      </c>
      <c r="CK173" s="13">
        <v>0</v>
      </c>
      <c r="CL173" s="13">
        <v>1429.904</v>
      </c>
      <c r="CM173" s="13">
        <v>109.2137</v>
      </c>
      <c r="CN173" s="13">
        <v>1320.6903</v>
      </c>
      <c r="CO173" s="13">
        <v>61</v>
      </c>
      <c r="CP173" s="13">
        <v>53</v>
      </c>
      <c r="CQ173" s="13">
        <v>8</v>
      </c>
      <c r="CR173" s="13">
        <v>1344.0821999999998</v>
      </c>
      <c r="CS173" s="13">
        <v>138.82089999999999</v>
      </c>
      <c r="CT173" s="13">
        <v>1205.2612999999999</v>
      </c>
      <c r="CU173" s="13">
        <f t="shared" si="20"/>
        <v>730</v>
      </c>
      <c r="CV173" s="13">
        <f t="shared" si="20"/>
        <v>722</v>
      </c>
      <c r="CW173" s="13">
        <f t="shared" si="20"/>
        <v>8</v>
      </c>
      <c r="CX173" s="13">
        <f t="shared" si="20"/>
        <v>17897.423699999999</v>
      </c>
      <c r="CY173" s="13">
        <f t="shared" si="20"/>
        <v>1423.9951000000001</v>
      </c>
      <c r="CZ173" s="13">
        <f t="shared" si="20"/>
        <v>16473.428599999999</v>
      </c>
      <c r="DA173" s="13">
        <f t="shared" si="21"/>
        <v>128</v>
      </c>
      <c r="DB173" s="13">
        <f t="shared" si="21"/>
        <v>120</v>
      </c>
      <c r="DC173" s="13">
        <f t="shared" si="21"/>
        <v>8</v>
      </c>
      <c r="DD173" s="13">
        <f t="shared" si="21"/>
        <v>4185.1477999999997</v>
      </c>
      <c r="DE173" s="13">
        <f t="shared" si="21"/>
        <v>313.82010000000002</v>
      </c>
      <c r="DF173" s="13">
        <f t="shared" si="21"/>
        <v>3871.3276999999998</v>
      </c>
      <c r="DG173" s="13">
        <f t="shared" si="22"/>
        <v>204</v>
      </c>
      <c r="DH173" s="13">
        <f t="shared" si="22"/>
        <v>204</v>
      </c>
      <c r="DI173" s="13">
        <f t="shared" si="22"/>
        <v>0</v>
      </c>
      <c r="DJ173" s="13">
        <f t="shared" si="22"/>
        <v>4856.3078000000005</v>
      </c>
      <c r="DK173" s="13">
        <f t="shared" si="22"/>
        <v>326.46350000000001</v>
      </c>
      <c r="DL173" s="13">
        <f t="shared" si="22"/>
        <v>4529.8442999999997</v>
      </c>
      <c r="DM173" s="13">
        <f t="shared" si="23"/>
        <v>95</v>
      </c>
      <c r="DN173" s="13">
        <f t="shared" si="23"/>
        <v>87</v>
      </c>
      <c r="DO173" s="13">
        <f t="shared" si="23"/>
        <v>8</v>
      </c>
      <c r="DP173" s="13">
        <f t="shared" si="23"/>
        <v>2773.9861999999998</v>
      </c>
      <c r="DQ173" s="13">
        <f t="shared" si="23"/>
        <v>248.03460000000001</v>
      </c>
      <c r="DR173" s="13">
        <f t="shared" si="23"/>
        <v>2525.9515999999999</v>
      </c>
      <c r="DS173" s="14" t="s">
        <v>71</v>
      </c>
      <c r="DT173" s="14" t="s">
        <v>92</v>
      </c>
      <c r="DU173" s="14" t="s">
        <v>62</v>
      </c>
      <c r="DV173" s="14" t="s">
        <v>63</v>
      </c>
      <c r="DW173" s="14" t="s">
        <v>74</v>
      </c>
    </row>
    <row r="174" spans="2:127" x14ac:dyDescent="0.3">
      <c r="B174" s="11" t="s">
        <v>65</v>
      </c>
      <c r="C174" s="14">
        <v>5001341664</v>
      </c>
      <c r="D174" s="11" t="s">
        <v>608</v>
      </c>
      <c r="E174" s="11" t="s">
        <v>522</v>
      </c>
      <c r="F174" s="11" t="s">
        <v>609</v>
      </c>
      <c r="G174" s="11" t="s">
        <v>610</v>
      </c>
      <c r="H174" s="11" t="s">
        <v>206</v>
      </c>
      <c r="I174" s="11">
        <v>13057</v>
      </c>
      <c r="J174" s="11" t="s">
        <v>70</v>
      </c>
      <c r="K174" s="11"/>
      <c r="L174" s="11"/>
      <c r="M174" s="11"/>
      <c r="N174" s="11"/>
      <c r="O174" s="13">
        <v>1001</v>
      </c>
      <c r="P174" s="13">
        <v>1001</v>
      </c>
      <c r="Q174" s="13">
        <v>0</v>
      </c>
      <c r="R174" s="13">
        <v>21776.997100000001</v>
      </c>
      <c r="S174" s="13">
        <v>1312.4689000000001</v>
      </c>
      <c r="T174" s="13">
        <v>20464.528200000001</v>
      </c>
      <c r="U174" s="13">
        <v>38</v>
      </c>
      <c r="V174" s="13">
        <v>38</v>
      </c>
      <c r="W174" s="13">
        <v>0</v>
      </c>
      <c r="X174" s="13">
        <v>1357.1477</v>
      </c>
      <c r="Y174" s="13">
        <v>61.1432</v>
      </c>
      <c r="Z174" s="13">
        <v>1296.0045</v>
      </c>
      <c r="AA174" s="13">
        <v>41</v>
      </c>
      <c r="AB174" s="13">
        <v>41</v>
      </c>
      <c r="AC174" s="13">
        <v>0</v>
      </c>
      <c r="AD174" s="13">
        <v>1781.9279000000001</v>
      </c>
      <c r="AE174" s="13">
        <v>78.607699999999994</v>
      </c>
      <c r="AF174" s="13">
        <v>1703.3202000000001</v>
      </c>
      <c r="AG174" s="13">
        <v>46</v>
      </c>
      <c r="AH174" s="13">
        <v>46</v>
      </c>
      <c r="AI174" s="13">
        <v>0</v>
      </c>
      <c r="AJ174" s="13">
        <v>1688.7629999999999</v>
      </c>
      <c r="AK174" s="13">
        <v>59.5002</v>
      </c>
      <c r="AL174" s="13">
        <v>1629.2628</v>
      </c>
      <c r="AM174" s="13">
        <v>48</v>
      </c>
      <c r="AN174" s="13">
        <v>48</v>
      </c>
      <c r="AO174" s="13">
        <v>0</v>
      </c>
      <c r="AP174" s="13">
        <v>1799.1492000000001</v>
      </c>
      <c r="AQ174" s="13">
        <v>71.143200000000007</v>
      </c>
      <c r="AR174" s="13">
        <v>1728.0060000000001</v>
      </c>
      <c r="AS174" s="13">
        <v>79</v>
      </c>
      <c r="AT174" s="13">
        <v>79</v>
      </c>
      <c r="AU174" s="13">
        <v>0</v>
      </c>
      <c r="AV174" s="13">
        <v>2423.5727000000002</v>
      </c>
      <c r="AW174" s="13">
        <v>103.1075</v>
      </c>
      <c r="AX174" s="13">
        <v>2320.4652000000001</v>
      </c>
      <c r="AY174" s="13">
        <v>51</v>
      </c>
      <c r="AZ174" s="13">
        <v>51</v>
      </c>
      <c r="BA174" s="13">
        <v>0</v>
      </c>
      <c r="BB174" s="13">
        <v>1123.2897</v>
      </c>
      <c r="BC174" s="13">
        <v>74.143200000000007</v>
      </c>
      <c r="BD174" s="13">
        <v>1049.1465000000001</v>
      </c>
      <c r="BE174" s="13">
        <v>80</v>
      </c>
      <c r="BF174" s="13">
        <v>80</v>
      </c>
      <c r="BG174" s="13">
        <v>0</v>
      </c>
      <c r="BH174" s="13">
        <v>1573.8769</v>
      </c>
      <c r="BI174" s="13">
        <v>105.0718</v>
      </c>
      <c r="BJ174" s="13">
        <v>1468.8051</v>
      </c>
      <c r="BK174" s="13">
        <v>111</v>
      </c>
      <c r="BL174" s="13">
        <v>111</v>
      </c>
      <c r="BM174" s="13">
        <v>0</v>
      </c>
      <c r="BN174" s="13">
        <v>1900.1422</v>
      </c>
      <c r="BO174" s="13">
        <v>135.10750000000002</v>
      </c>
      <c r="BP174" s="13">
        <v>1765.0346999999999</v>
      </c>
      <c r="BQ174" s="13">
        <v>82</v>
      </c>
      <c r="BR174" s="13">
        <v>82</v>
      </c>
      <c r="BS174" s="13">
        <v>0</v>
      </c>
      <c r="BT174" s="13">
        <v>1698.3416</v>
      </c>
      <c r="BU174" s="13">
        <v>106.1075</v>
      </c>
      <c r="BV174" s="13">
        <v>1592.2340999999999</v>
      </c>
      <c r="BW174" s="13">
        <v>99</v>
      </c>
      <c r="BX174" s="13">
        <v>99</v>
      </c>
      <c r="BY174" s="13">
        <v>0</v>
      </c>
      <c r="BZ174" s="13">
        <v>1542.5410000000002</v>
      </c>
      <c r="CA174" s="13">
        <v>123.1075</v>
      </c>
      <c r="CB174" s="13">
        <v>1419.4335000000001</v>
      </c>
      <c r="CC174" s="13">
        <v>133</v>
      </c>
      <c r="CD174" s="13">
        <v>133</v>
      </c>
      <c r="CE174" s="13">
        <v>0</v>
      </c>
      <c r="CF174" s="13">
        <v>1786.3703</v>
      </c>
      <c r="CG174" s="13">
        <v>157.10750000000002</v>
      </c>
      <c r="CH174" s="13">
        <v>1629.2628</v>
      </c>
      <c r="CI174" s="13">
        <v>98</v>
      </c>
      <c r="CJ174" s="13">
        <v>98</v>
      </c>
      <c r="CK174" s="13">
        <v>0</v>
      </c>
      <c r="CL174" s="13">
        <v>1429.4906000000001</v>
      </c>
      <c r="CM174" s="13">
        <v>121.14320000000001</v>
      </c>
      <c r="CN174" s="13">
        <v>1308.3474000000001</v>
      </c>
      <c r="CO174" s="13">
        <v>95</v>
      </c>
      <c r="CP174" s="13">
        <v>95</v>
      </c>
      <c r="CQ174" s="13">
        <v>0</v>
      </c>
      <c r="CR174" s="13">
        <v>1672.3843000000002</v>
      </c>
      <c r="CS174" s="13">
        <v>117.1789</v>
      </c>
      <c r="CT174" s="13">
        <v>1555.2054000000001</v>
      </c>
      <c r="CU174" s="13">
        <f t="shared" si="20"/>
        <v>963</v>
      </c>
      <c r="CV174" s="13">
        <f t="shared" si="20"/>
        <v>963</v>
      </c>
      <c r="CW174" s="13">
        <f t="shared" si="20"/>
        <v>0</v>
      </c>
      <c r="CX174" s="13">
        <f t="shared" si="20"/>
        <v>20419.849399999999</v>
      </c>
      <c r="CY174" s="13">
        <f t="shared" si="20"/>
        <v>1251.3256999999999</v>
      </c>
      <c r="CZ174" s="13">
        <f t="shared" si="20"/>
        <v>19168.523699999998</v>
      </c>
      <c r="DA174" s="13">
        <f t="shared" si="21"/>
        <v>326</v>
      </c>
      <c r="DB174" s="13">
        <f t="shared" si="21"/>
        <v>326</v>
      </c>
      <c r="DC174" s="13">
        <f t="shared" si="21"/>
        <v>0</v>
      </c>
      <c r="DD174" s="13">
        <f t="shared" si="21"/>
        <v>4888.2452000000003</v>
      </c>
      <c r="DE174" s="13">
        <f t="shared" si="21"/>
        <v>395.42960000000005</v>
      </c>
      <c r="DF174" s="13">
        <f t="shared" si="21"/>
        <v>4492.8155999999999</v>
      </c>
      <c r="DG174" s="13">
        <f t="shared" si="22"/>
        <v>292</v>
      </c>
      <c r="DH174" s="13">
        <f t="shared" si="22"/>
        <v>292</v>
      </c>
      <c r="DI174" s="13">
        <f t="shared" si="22"/>
        <v>0</v>
      </c>
      <c r="DJ174" s="13">
        <f t="shared" si="22"/>
        <v>5141.0248000000001</v>
      </c>
      <c r="DK174" s="13">
        <f t="shared" si="22"/>
        <v>364.32250000000005</v>
      </c>
      <c r="DL174" s="13">
        <f t="shared" si="22"/>
        <v>4776.7022999999999</v>
      </c>
      <c r="DM174" s="13">
        <f t="shared" si="23"/>
        <v>193</v>
      </c>
      <c r="DN174" s="13">
        <f t="shared" si="23"/>
        <v>193</v>
      </c>
      <c r="DO174" s="13">
        <f t="shared" si="23"/>
        <v>0</v>
      </c>
      <c r="DP174" s="13">
        <f t="shared" si="23"/>
        <v>3101.8749000000003</v>
      </c>
      <c r="DQ174" s="13">
        <f t="shared" si="23"/>
        <v>238.32210000000001</v>
      </c>
      <c r="DR174" s="13">
        <f t="shared" si="23"/>
        <v>2863.5528000000004</v>
      </c>
      <c r="DS174" s="14" t="s">
        <v>71</v>
      </c>
      <c r="DT174" s="14" t="s">
        <v>72</v>
      </c>
      <c r="DU174" s="14" t="s">
        <v>73</v>
      </c>
      <c r="DV174" s="14" t="s">
        <v>63</v>
      </c>
      <c r="DW174" s="14" t="s">
        <v>74</v>
      </c>
    </row>
    <row r="175" spans="2:127" x14ac:dyDescent="0.3">
      <c r="B175" s="11" t="s">
        <v>83</v>
      </c>
      <c r="C175" s="14">
        <v>5001341665</v>
      </c>
      <c r="D175" s="11" t="s">
        <v>611</v>
      </c>
      <c r="E175" s="11" t="s">
        <v>522</v>
      </c>
      <c r="F175" s="11" t="s">
        <v>612</v>
      </c>
      <c r="G175" s="11" t="s">
        <v>613</v>
      </c>
      <c r="H175" s="11" t="s">
        <v>91</v>
      </c>
      <c r="I175" s="11">
        <v>72762</v>
      </c>
      <c r="J175" s="11" t="s">
        <v>70</v>
      </c>
      <c r="K175" s="11"/>
      <c r="L175" s="11"/>
      <c r="M175" s="11"/>
      <c r="N175" s="11"/>
      <c r="O175" s="13">
        <v>282</v>
      </c>
      <c r="P175" s="13">
        <v>282</v>
      </c>
      <c r="Q175" s="13">
        <v>0</v>
      </c>
      <c r="R175" s="13">
        <v>31759.861799999999</v>
      </c>
      <c r="S175" s="13">
        <v>692.78250000000003</v>
      </c>
      <c r="T175" s="13">
        <v>31067.079300000001</v>
      </c>
      <c r="U175" s="13">
        <v>0</v>
      </c>
      <c r="V175" s="13">
        <v>0</v>
      </c>
      <c r="W175" s="13">
        <v>0</v>
      </c>
      <c r="X175" s="13">
        <v>1870.1416999999999</v>
      </c>
      <c r="Y175" s="13">
        <v>43.392499999999998</v>
      </c>
      <c r="Z175" s="13">
        <v>1826.7492</v>
      </c>
      <c r="AA175" s="13">
        <v>0</v>
      </c>
      <c r="AB175" s="13">
        <v>0</v>
      </c>
      <c r="AC175" s="13">
        <v>0</v>
      </c>
      <c r="AD175" s="13">
        <v>2326.8289999999997</v>
      </c>
      <c r="AE175" s="13">
        <v>43.392499999999998</v>
      </c>
      <c r="AF175" s="13">
        <v>2283.4364999999998</v>
      </c>
      <c r="AG175" s="13">
        <v>0</v>
      </c>
      <c r="AH175" s="13">
        <v>0</v>
      </c>
      <c r="AI175" s="13">
        <v>0</v>
      </c>
      <c r="AJ175" s="13">
        <v>1995.3064999999999</v>
      </c>
      <c r="AK175" s="13">
        <v>32.785400000000003</v>
      </c>
      <c r="AL175" s="13">
        <v>1962.5210999999999</v>
      </c>
      <c r="AM175" s="13">
        <v>0</v>
      </c>
      <c r="AN175" s="13">
        <v>0</v>
      </c>
      <c r="AO175" s="13">
        <v>0</v>
      </c>
      <c r="AP175" s="13">
        <v>1910.8347999999999</v>
      </c>
      <c r="AQ175" s="13">
        <v>34.713999999999999</v>
      </c>
      <c r="AR175" s="13">
        <v>1876.1207999999999</v>
      </c>
      <c r="AS175" s="13">
        <v>8</v>
      </c>
      <c r="AT175" s="13">
        <v>8</v>
      </c>
      <c r="AU175" s="13">
        <v>0</v>
      </c>
      <c r="AV175" s="13">
        <v>2462.8867</v>
      </c>
      <c r="AW175" s="13">
        <v>43.6783</v>
      </c>
      <c r="AX175" s="13">
        <v>2419.2084</v>
      </c>
      <c r="AY175" s="13">
        <v>32</v>
      </c>
      <c r="AZ175" s="13">
        <v>32</v>
      </c>
      <c r="BA175" s="13">
        <v>0</v>
      </c>
      <c r="BB175" s="13">
        <v>1795.2989</v>
      </c>
      <c r="BC175" s="13">
        <v>42.607100000000003</v>
      </c>
      <c r="BD175" s="13">
        <v>1752.6918000000001</v>
      </c>
      <c r="BE175" s="13">
        <v>32</v>
      </c>
      <c r="BF175" s="13">
        <v>32</v>
      </c>
      <c r="BG175" s="13">
        <v>0</v>
      </c>
      <c r="BH175" s="13">
        <v>2420.5434999999998</v>
      </c>
      <c r="BI175" s="13">
        <v>75.392499999999998</v>
      </c>
      <c r="BJ175" s="13">
        <v>2345.1509999999998</v>
      </c>
      <c r="BK175" s="13">
        <v>40</v>
      </c>
      <c r="BL175" s="13">
        <v>40</v>
      </c>
      <c r="BM175" s="13">
        <v>0</v>
      </c>
      <c r="BN175" s="13">
        <v>3281.1679999999997</v>
      </c>
      <c r="BO175" s="13">
        <v>84.356899999999996</v>
      </c>
      <c r="BP175" s="13">
        <v>3196.8110999999999</v>
      </c>
      <c r="BQ175" s="13">
        <v>32</v>
      </c>
      <c r="BR175" s="13">
        <v>32</v>
      </c>
      <c r="BS175" s="13">
        <v>0</v>
      </c>
      <c r="BT175" s="13">
        <v>2760.1662999999999</v>
      </c>
      <c r="BU175" s="13">
        <v>57.071200000000005</v>
      </c>
      <c r="BV175" s="13">
        <v>2703.0951</v>
      </c>
      <c r="BW175" s="13">
        <v>24</v>
      </c>
      <c r="BX175" s="13">
        <v>24</v>
      </c>
      <c r="BY175" s="13">
        <v>0</v>
      </c>
      <c r="BZ175" s="13">
        <v>2680.0374999999999</v>
      </c>
      <c r="CA175" s="13">
        <v>50.9998</v>
      </c>
      <c r="CB175" s="13">
        <v>2629.0376999999999</v>
      </c>
      <c r="CC175" s="13">
        <v>40</v>
      </c>
      <c r="CD175" s="13">
        <v>40</v>
      </c>
      <c r="CE175" s="13">
        <v>0</v>
      </c>
      <c r="CF175" s="13">
        <v>3302.7682</v>
      </c>
      <c r="CG175" s="13">
        <v>68.928399999999996</v>
      </c>
      <c r="CH175" s="13">
        <v>3233.8398000000002</v>
      </c>
      <c r="CI175" s="13">
        <v>32</v>
      </c>
      <c r="CJ175" s="13">
        <v>32</v>
      </c>
      <c r="CK175" s="13">
        <v>0</v>
      </c>
      <c r="CL175" s="13">
        <v>2476.2795999999998</v>
      </c>
      <c r="CM175" s="13">
        <v>57.071200000000005</v>
      </c>
      <c r="CN175" s="13">
        <v>2419.2084</v>
      </c>
      <c r="CO175" s="13">
        <v>42</v>
      </c>
      <c r="CP175" s="13">
        <v>42</v>
      </c>
      <c r="CQ175" s="13">
        <v>0</v>
      </c>
      <c r="CR175" s="13">
        <v>2477.6010999999999</v>
      </c>
      <c r="CS175" s="13">
        <v>58.392700000000005</v>
      </c>
      <c r="CT175" s="13">
        <v>2419.2084</v>
      </c>
      <c r="CU175" s="13">
        <f t="shared" si="20"/>
        <v>282</v>
      </c>
      <c r="CV175" s="13">
        <f t="shared" si="20"/>
        <v>282</v>
      </c>
      <c r="CW175" s="13">
        <f t="shared" si="20"/>
        <v>0</v>
      </c>
      <c r="CX175" s="13">
        <f t="shared" si="20"/>
        <v>29889.720099999999</v>
      </c>
      <c r="CY175" s="13">
        <f t="shared" si="20"/>
        <v>649.38999999999987</v>
      </c>
      <c r="CZ175" s="13">
        <f t="shared" si="20"/>
        <v>29240.330099999999</v>
      </c>
      <c r="DA175" s="13">
        <f t="shared" si="21"/>
        <v>114</v>
      </c>
      <c r="DB175" s="13">
        <f t="shared" si="21"/>
        <v>114</v>
      </c>
      <c r="DC175" s="13">
        <f t="shared" si="21"/>
        <v>0</v>
      </c>
      <c r="DD175" s="13">
        <f t="shared" si="21"/>
        <v>8256.6489000000001</v>
      </c>
      <c r="DE175" s="13">
        <f t="shared" si="21"/>
        <v>184.39230000000001</v>
      </c>
      <c r="DF175" s="13">
        <f t="shared" si="21"/>
        <v>8072.2566000000006</v>
      </c>
      <c r="DG175" s="13">
        <f t="shared" si="22"/>
        <v>96</v>
      </c>
      <c r="DH175" s="13">
        <f t="shared" si="22"/>
        <v>96</v>
      </c>
      <c r="DI175" s="13">
        <f t="shared" si="22"/>
        <v>0</v>
      </c>
      <c r="DJ175" s="13">
        <f t="shared" si="22"/>
        <v>8721.371799999999</v>
      </c>
      <c r="DK175" s="13">
        <f t="shared" si="22"/>
        <v>192.42789999999999</v>
      </c>
      <c r="DL175" s="13">
        <f t="shared" si="22"/>
        <v>8528.9438999999984</v>
      </c>
      <c r="DM175" s="13">
        <f t="shared" si="23"/>
        <v>74</v>
      </c>
      <c r="DN175" s="13">
        <f t="shared" si="23"/>
        <v>74</v>
      </c>
      <c r="DO175" s="13">
        <f t="shared" si="23"/>
        <v>0</v>
      </c>
      <c r="DP175" s="13">
        <f t="shared" si="23"/>
        <v>4953.8806999999997</v>
      </c>
      <c r="DQ175" s="13">
        <f t="shared" si="23"/>
        <v>115.46390000000001</v>
      </c>
      <c r="DR175" s="13">
        <f t="shared" si="23"/>
        <v>4838.4168</v>
      </c>
      <c r="DS175" s="14" t="s">
        <v>71</v>
      </c>
      <c r="DT175" s="14" t="s">
        <v>81</v>
      </c>
      <c r="DU175" s="14" t="s">
        <v>73</v>
      </c>
      <c r="DV175" s="14" t="s">
        <v>63</v>
      </c>
      <c r="DW175" s="14" t="s">
        <v>74</v>
      </c>
    </row>
    <row r="176" spans="2:127" x14ac:dyDescent="0.3">
      <c r="B176" s="11" t="s">
        <v>83</v>
      </c>
      <c r="C176" s="14">
        <v>5001341699</v>
      </c>
      <c r="D176" s="11" t="s">
        <v>614</v>
      </c>
      <c r="E176" s="11" t="s">
        <v>522</v>
      </c>
      <c r="F176" s="11" t="s">
        <v>615</v>
      </c>
      <c r="G176" s="11" t="s">
        <v>325</v>
      </c>
      <c r="H176" s="11" t="s">
        <v>309</v>
      </c>
      <c r="I176" s="11">
        <v>55425</v>
      </c>
      <c r="J176" s="11" t="s">
        <v>80</v>
      </c>
      <c r="K176" s="11"/>
      <c r="L176" s="11"/>
      <c r="M176" s="11"/>
      <c r="N176" s="11"/>
      <c r="O176" s="13">
        <v>416</v>
      </c>
      <c r="P176" s="13">
        <v>416</v>
      </c>
      <c r="Q176" s="13">
        <v>0</v>
      </c>
      <c r="R176" s="13">
        <v>20269.166399999998</v>
      </c>
      <c r="S176" s="13">
        <v>606.92669999999998</v>
      </c>
      <c r="T176" s="13">
        <v>19662.239699999998</v>
      </c>
      <c r="U176" s="13">
        <v>23</v>
      </c>
      <c r="V176" s="13">
        <v>23</v>
      </c>
      <c r="W176" s="13">
        <v>0</v>
      </c>
      <c r="X176" s="13">
        <v>1911.4637</v>
      </c>
      <c r="Y176" s="13">
        <v>23</v>
      </c>
      <c r="Z176" s="13">
        <v>1888.4637</v>
      </c>
      <c r="AA176" s="13">
        <v>16</v>
      </c>
      <c r="AB176" s="13">
        <v>16</v>
      </c>
      <c r="AC176" s="13">
        <v>0</v>
      </c>
      <c r="AD176" s="13">
        <v>1772.5489</v>
      </c>
      <c r="AE176" s="13">
        <v>19.857099999999999</v>
      </c>
      <c r="AF176" s="13">
        <v>1752.6918000000001</v>
      </c>
      <c r="AG176" s="13">
        <v>23</v>
      </c>
      <c r="AH176" s="13">
        <v>23</v>
      </c>
      <c r="AI176" s="13">
        <v>0</v>
      </c>
      <c r="AJ176" s="13">
        <v>1312.8326</v>
      </c>
      <c r="AK176" s="13">
        <v>53.8568</v>
      </c>
      <c r="AL176" s="13">
        <v>1258.9757999999999</v>
      </c>
      <c r="AM176" s="13">
        <v>50</v>
      </c>
      <c r="AN176" s="13">
        <v>50</v>
      </c>
      <c r="AO176" s="13">
        <v>0</v>
      </c>
      <c r="AP176" s="13">
        <v>1435.4902999999999</v>
      </c>
      <c r="AQ176" s="13">
        <v>65.428399999999996</v>
      </c>
      <c r="AR176" s="13">
        <v>1370.0618999999999</v>
      </c>
      <c r="AS176" s="13">
        <v>84</v>
      </c>
      <c r="AT176" s="13">
        <v>84</v>
      </c>
      <c r="AU176" s="13">
        <v>0</v>
      </c>
      <c r="AV176" s="13">
        <v>1950.8634</v>
      </c>
      <c r="AW176" s="13">
        <v>99.428399999999996</v>
      </c>
      <c r="AX176" s="13">
        <v>1851.4349999999999</v>
      </c>
      <c r="AY176" s="13">
        <v>20</v>
      </c>
      <c r="AZ176" s="13">
        <v>20</v>
      </c>
      <c r="BA176" s="13">
        <v>0</v>
      </c>
      <c r="BB176" s="13">
        <v>1133.9465</v>
      </c>
      <c r="BC176" s="13">
        <v>35.428399999999996</v>
      </c>
      <c r="BD176" s="13">
        <v>1098.5181</v>
      </c>
      <c r="BE176" s="13">
        <v>34</v>
      </c>
      <c r="BF176" s="13">
        <v>34</v>
      </c>
      <c r="BG176" s="13">
        <v>0</v>
      </c>
      <c r="BH176" s="13">
        <v>1354.6903</v>
      </c>
      <c r="BI176" s="13">
        <v>34</v>
      </c>
      <c r="BJ176" s="13">
        <v>1320.6903</v>
      </c>
      <c r="BK176" s="13">
        <v>44</v>
      </c>
      <c r="BL176" s="13">
        <v>44</v>
      </c>
      <c r="BM176" s="13">
        <v>0</v>
      </c>
      <c r="BN176" s="13">
        <v>1722.6343999999999</v>
      </c>
      <c r="BO176" s="13">
        <v>44</v>
      </c>
      <c r="BP176" s="13">
        <v>1678.6343999999999</v>
      </c>
      <c r="BQ176" s="13">
        <v>27</v>
      </c>
      <c r="BR176" s="13">
        <v>27</v>
      </c>
      <c r="BS176" s="13">
        <v>0</v>
      </c>
      <c r="BT176" s="13">
        <v>1103.9177999999999</v>
      </c>
      <c r="BU176" s="13">
        <v>42.428399999999996</v>
      </c>
      <c r="BV176" s="13">
        <v>1061.4893999999999</v>
      </c>
      <c r="BW176" s="13">
        <v>55</v>
      </c>
      <c r="BX176" s="13">
        <v>55</v>
      </c>
      <c r="BY176" s="13">
        <v>0</v>
      </c>
      <c r="BZ176" s="13">
        <v>1329.4041999999999</v>
      </c>
      <c r="CA176" s="13">
        <v>70.428399999999996</v>
      </c>
      <c r="CB176" s="13">
        <v>1258.9757999999999</v>
      </c>
      <c r="CC176" s="13">
        <v>10</v>
      </c>
      <c r="CD176" s="13">
        <v>10</v>
      </c>
      <c r="CE176" s="13">
        <v>0</v>
      </c>
      <c r="CF176" s="13">
        <v>2120.4423999999999</v>
      </c>
      <c r="CG176" s="13">
        <v>59.178100000000001</v>
      </c>
      <c r="CH176" s="13">
        <v>2061.2642999999998</v>
      </c>
      <c r="CI176" s="13">
        <v>20</v>
      </c>
      <c r="CJ176" s="13">
        <v>20</v>
      </c>
      <c r="CK176" s="13">
        <v>0</v>
      </c>
      <c r="CL176" s="13">
        <v>1578.0983000000001</v>
      </c>
      <c r="CM176" s="13">
        <v>22.892900000000001</v>
      </c>
      <c r="CN176" s="13">
        <v>1555.2054000000001</v>
      </c>
      <c r="CO176" s="13">
        <v>10</v>
      </c>
      <c r="CP176" s="13">
        <v>10</v>
      </c>
      <c r="CQ176" s="13">
        <v>0</v>
      </c>
      <c r="CR176" s="13">
        <v>1542.8336000000002</v>
      </c>
      <c r="CS176" s="13">
        <v>36.9998</v>
      </c>
      <c r="CT176" s="13">
        <v>1505.8338000000001</v>
      </c>
      <c r="CU176" s="13">
        <f t="shared" si="20"/>
        <v>393</v>
      </c>
      <c r="CV176" s="13">
        <f t="shared" si="20"/>
        <v>393</v>
      </c>
      <c r="CW176" s="13">
        <f t="shared" si="20"/>
        <v>0</v>
      </c>
      <c r="CX176" s="13">
        <f t="shared" si="20"/>
        <v>18357.702700000002</v>
      </c>
      <c r="CY176" s="13">
        <f t="shared" si="20"/>
        <v>583.9267000000001</v>
      </c>
      <c r="CZ176" s="13">
        <f t="shared" si="20"/>
        <v>17773.775999999998</v>
      </c>
      <c r="DA176" s="13">
        <f t="shared" si="21"/>
        <v>40</v>
      </c>
      <c r="DB176" s="13">
        <f t="shared" si="21"/>
        <v>40</v>
      </c>
      <c r="DC176" s="13">
        <f t="shared" si="21"/>
        <v>0</v>
      </c>
      <c r="DD176" s="13">
        <f t="shared" si="21"/>
        <v>5241.3743000000004</v>
      </c>
      <c r="DE176" s="13">
        <f t="shared" si="21"/>
        <v>119.07079999999999</v>
      </c>
      <c r="DF176" s="13">
        <f t="shared" si="21"/>
        <v>5122.3035</v>
      </c>
      <c r="DG176" s="13">
        <f t="shared" si="22"/>
        <v>126</v>
      </c>
      <c r="DH176" s="13">
        <f t="shared" si="22"/>
        <v>126</v>
      </c>
      <c r="DI176" s="13">
        <f t="shared" si="22"/>
        <v>0</v>
      </c>
      <c r="DJ176" s="13">
        <f t="shared" si="22"/>
        <v>4155.9564</v>
      </c>
      <c r="DK176" s="13">
        <f t="shared" si="22"/>
        <v>156.85679999999999</v>
      </c>
      <c r="DL176" s="13">
        <f t="shared" si="22"/>
        <v>3999.0995999999996</v>
      </c>
      <c r="DM176" s="13">
        <f t="shared" si="23"/>
        <v>30</v>
      </c>
      <c r="DN176" s="13">
        <f t="shared" si="23"/>
        <v>30</v>
      </c>
      <c r="DO176" s="13">
        <f t="shared" si="23"/>
        <v>0</v>
      </c>
      <c r="DP176" s="13">
        <f t="shared" si="23"/>
        <v>3120.9319000000005</v>
      </c>
      <c r="DQ176" s="13">
        <f t="shared" si="23"/>
        <v>59.892700000000005</v>
      </c>
      <c r="DR176" s="13">
        <f t="shared" si="23"/>
        <v>3061.0392000000002</v>
      </c>
      <c r="DS176" s="14" t="s">
        <v>60</v>
      </c>
      <c r="DT176" s="14" t="s">
        <v>81</v>
      </c>
      <c r="DU176" s="14" t="s">
        <v>73</v>
      </c>
      <c r="DV176" s="14" t="s">
        <v>82</v>
      </c>
      <c r="DW176" s="14" t="s">
        <v>74</v>
      </c>
    </row>
    <row r="177" spans="2:127" x14ac:dyDescent="0.3">
      <c r="B177" s="11" t="s">
        <v>83</v>
      </c>
      <c r="C177" s="14">
        <v>5001341717</v>
      </c>
      <c r="D177" s="11" t="s">
        <v>616</v>
      </c>
      <c r="E177" s="11" t="s">
        <v>522</v>
      </c>
      <c r="F177" s="11" t="s">
        <v>617</v>
      </c>
      <c r="G177" s="11" t="s">
        <v>618</v>
      </c>
      <c r="H177" s="11" t="s">
        <v>309</v>
      </c>
      <c r="I177" s="11">
        <v>55805</v>
      </c>
      <c r="J177" s="11" t="s">
        <v>80</v>
      </c>
      <c r="K177" s="11"/>
      <c r="L177" s="11"/>
      <c r="M177" s="11"/>
      <c r="N177" s="11"/>
      <c r="O177" s="13">
        <v>178</v>
      </c>
      <c r="P177" s="13">
        <v>178</v>
      </c>
      <c r="Q177" s="13">
        <v>0</v>
      </c>
      <c r="R177" s="13">
        <v>18105.866900000001</v>
      </c>
      <c r="S177" s="13">
        <v>381.46249999999998</v>
      </c>
      <c r="T177" s="13">
        <v>17724.404399999999</v>
      </c>
      <c r="U177" s="13">
        <v>0</v>
      </c>
      <c r="V177" s="13">
        <v>0</v>
      </c>
      <c r="W177" s="13">
        <v>0</v>
      </c>
      <c r="X177" s="13">
        <v>1197.454</v>
      </c>
      <c r="Y177" s="13">
        <v>12.535600000000001</v>
      </c>
      <c r="Z177" s="13">
        <v>1184.9184</v>
      </c>
      <c r="AA177" s="13">
        <v>0</v>
      </c>
      <c r="AB177" s="13">
        <v>0</v>
      </c>
      <c r="AC177" s="13">
        <v>0</v>
      </c>
      <c r="AD177" s="13">
        <v>1320.883</v>
      </c>
      <c r="AE177" s="13">
        <v>12.535600000000001</v>
      </c>
      <c r="AF177" s="13">
        <v>1308.3474000000001</v>
      </c>
      <c r="AG177" s="13">
        <v>26</v>
      </c>
      <c r="AH177" s="13">
        <v>26</v>
      </c>
      <c r="AI177" s="13">
        <v>0</v>
      </c>
      <c r="AJ177" s="13">
        <v>1309.8543</v>
      </c>
      <c r="AK177" s="13">
        <v>38.535600000000002</v>
      </c>
      <c r="AL177" s="13">
        <v>1271.3187</v>
      </c>
      <c r="AM177" s="13">
        <v>21</v>
      </c>
      <c r="AN177" s="13">
        <v>21</v>
      </c>
      <c r="AO177" s="13">
        <v>0</v>
      </c>
      <c r="AP177" s="13">
        <v>897.53860000000009</v>
      </c>
      <c r="AQ177" s="13">
        <v>33.535600000000002</v>
      </c>
      <c r="AR177" s="13">
        <v>864.00300000000004</v>
      </c>
      <c r="AS177" s="13">
        <v>25</v>
      </c>
      <c r="AT177" s="13">
        <v>25</v>
      </c>
      <c r="AU177" s="13">
        <v>0</v>
      </c>
      <c r="AV177" s="13">
        <v>1503.2550999999999</v>
      </c>
      <c r="AW177" s="13">
        <v>22.107099999999999</v>
      </c>
      <c r="AX177" s="13">
        <v>1481.1479999999999</v>
      </c>
      <c r="AY177" s="13">
        <v>14</v>
      </c>
      <c r="AZ177" s="13">
        <v>14</v>
      </c>
      <c r="BA177" s="13">
        <v>0</v>
      </c>
      <c r="BB177" s="13">
        <v>1383.2903000000001</v>
      </c>
      <c r="BC177" s="13">
        <v>25.571300000000001</v>
      </c>
      <c r="BD177" s="13">
        <v>1357.7190000000001</v>
      </c>
      <c r="BE177" s="13">
        <v>14</v>
      </c>
      <c r="BF177" s="13">
        <v>14</v>
      </c>
      <c r="BG177" s="13">
        <v>0</v>
      </c>
      <c r="BH177" s="13">
        <v>1230.1614000000002</v>
      </c>
      <c r="BI177" s="13">
        <v>8.2142999999999997</v>
      </c>
      <c r="BJ177" s="13">
        <v>1221.9471000000001</v>
      </c>
      <c r="BK177" s="13">
        <v>14</v>
      </c>
      <c r="BL177" s="13">
        <v>14</v>
      </c>
      <c r="BM177" s="13">
        <v>0</v>
      </c>
      <c r="BN177" s="13">
        <v>2012.9709</v>
      </c>
      <c r="BO177" s="13">
        <v>38.106899999999996</v>
      </c>
      <c r="BP177" s="13">
        <v>1974.864</v>
      </c>
      <c r="BQ177" s="13">
        <v>36</v>
      </c>
      <c r="BR177" s="13">
        <v>36</v>
      </c>
      <c r="BS177" s="13">
        <v>0</v>
      </c>
      <c r="BT177" s="13">
        <v>1208.7682</v>
      </c>
      <c r="BU177" s="13">
        <v>48.535600000000002</v>
      </c>
      <c r="BV177" s="13">
        <v>1160.2326</v>
      </c>
      <c r="BW177" s="13">
        <v>10</v>
      </c>
      <c r="BX177" s="13">
        <v>10</v>
      </c>
      <c r="BY177" s="13">
        <v>0</v>
      </c>
      <c r="BZ177" s="13">
        <v>1445.4402</v>
      </c>
      <c r="CA177" s="13">
        <v>63.035400000000003</v>
      </c>
      <c r="CB177" s="13">
        <v>1382.4048</v>
      </c>
      <c r="CC177" s="13">
        <v>11</v>
      </c>
      <c r="CD177" s="13">
        <v>11</v>
      </c>
      <c r="CE177" s="13">
        <v>0</v>
      </c>
      <c r="CF177" s="13">
        <v>1629.2695999999999</v>
      </c>
      <c r="CG177" s="13">
        <v>37.035499999999999</v>
      </c>
      <c r="CH177" s="13">
        <v>1592.2340999999999</v>
      </c>
      <c r="CI177" s="13">
        <v>12</v>
      </c>
      <c r="CJ177" s="13">
        <v>12</v>
      </c>
      <c r="CK177" s="13">
        <v>0</v>
      </c>
      <c r="CL177" s="13">
        <v>1601.7266999999999</v>
      </c>
      <c r="CM177" s="13">
        <v>34.178399999999996</v>
      </c>
      <c r="CN177" s="13">
        <v>1567.5482999999999</v>
      </c>
      <c r="CO177" s="13">
        <v>-5</v>
      </c>
      <c r="CP177" s="13">
        <v>-5</v>
      </c>
      <c r="CQ177" s="13">
        <v>0</v>
      </c>
      <c r="CR177" s="13">
        <v>1365.2546</v>
      </c>
      <c r="CS177" s="13">
        <v>7.5356000000000005</v>
      </c>
      <c r="CT177" s="13">
        <v>1357.7190000000001</v>
      </c>
      <c r="CU177" s="13">
        <f t="shared" si="20"/>
        <v>178</v>
      </c>
      <c r="CV177" s="13">
        <f t="shared" si="20"/>
        <v>178</v>
      </c>
      <c r="CW177" s="13">
        <f t="shared" si="20"/>
        <v>0</v>
      </c>
      <c r="CX177" s="13">
        <f t="shared" si="20"/>
        <v>16908.412899999999</v>
      </c>
      <c r="CY177" s="13">
        <f t="shared" si="20"/>
        <v>368.92689999999999</v>
      </c>
      <c r="CZ177" s="13">
        <f t="shared" si="20"/>
        <v>16539.486000000001</v>
      </c>
      <c r="DA177" s="13">
        <f t="shared" si="21"/>
        <v>18</v>
      </c>
      <c r="DB177" s="13">
        <f t="shared" si="21"/>
        <v>18</v>
      </c>
      <c r="DC177" s="13">
        <f t="shared" si="21"/>
        <v>0</v>
      </c>
      <c r="DD177" s="13">
        <f t="shared" si="21"/>
        <v>4596.2509</v>
      </c>
      <c r="DE177" s="13">
        <f t="shared" si="21"/>
        <v>78.749499999999998</v>
      </c>
      <c r="DF177" s="13">
        <f t="shared" si="21"/>
        <v>4517.5014000000001</v>
      </c>
      <c r="DG177" s="13">
        <f t="shared" si="22"/>
        <v>60</v>
      </c>
      <c r="DH177" s="13">
        <f t="shared" si="22"/>
        <v>60</v>
      </c>
      <c r="DI177" s="13">
        <f t="shared" si="22"/>
        <v>0</v>
      </c>
      <c r="DJ177" s="13">
        <f t="shared" si="22"/>
        <v>4667.1792999999998</v>
      </c>
      <c r="DK177" s="13">
        <f t="shared" si="22"/>
        <v>149.67789999999999</v>
      </c>
      <c r="DL177" s="13">
        <f t="shared" si="22"/>
        <v>4517.5014000000001</v>
      </c>
      <c r="DM177" s="13">
        <f t="shared" si="23"/>
        <v>7</v>
      </c>
      <c r="DN177" s="13">
        <f t="shared" si="23"/>
        <v>7</v>
      </c>
      <c r="DO177" s="13">
        <f t="shared" si="23"/>
        <v>0</v>
      </c>
      <c r="DP177" s="13">
        <f t="shared" si="23"/>
        <v>2966.9812999999999</v>
      </c>
      <c r="DQ177" s="13">
        <f t="shared" si="23"/>
        <v>41.713999999999999</v>
      </c>
      <c r="DR177" s="13">
        <f t="shared" si="23"/>
        <v>2925.2673</v>
      </c>
      <c r="DS177" s="14" t="s">
        <v>60</v>
      </c>
      <c r="DT177" s="14" t="s">
        <v>81</v>
      </c>
      <c r="DU177" s="14" t="s">
        <v>73</v>
      </c>
      <c r="DV177" s="14" t="s">
        <v>82</v>
      </c>
      <c r="DW177" s="14" t="s">
        <v>74</v>
      </c>
    </row>
    <row r="178" spans="2:127" x14ac:dyDescent="0.3">
      <c r="B178" s="11" t="s">
        <v>65</v>
      </c>
      <c r="C178" s="14">
        <v>5001341718</v>
      </c>
      <c r="D178" s="11" t="s">
        <v>619</v>
      </c>
      <c r="E178" s="11" t="s">
        <v>522</v>
      </c>
      <c r="F178" s="11" t="s">
        <v>620</v>
      </c>
      <c r="G178" s="11" t="s">
        <v>621</v>
      </c>
      <c r="H178" s="11" t="s">
        <v>199</v>
      </c>
      <c r="I178" s="11">
        <v>48152</v>
      </c>
      <c r="J178" s="11" t="s">
        <v>80</v>
      </c>
      <c r="K178" s="11"/>
      <c r="L178" s="11"/>
      <c r="M178" s="11"/>
      <c r="N178" s="11"/>
      <c r="O178" s="13">
        <v>2112</v>
      </c>
      <c r="P178" s="13">
        <v>2088</v>
      </c>
      <c r="Q178" s="13">
        <v>24</v>
      </c>
      <c r="R178" s="13">
        <v>113522.0877</v>
      </c>
      <c r="S178" s="13">
        <v>3214.2762000000002</v>
      </c>
      <c r="T178" s="13">
        <v>110307.8115</v>
      </c>
      <c r="U178" s="13">
        <v>189</v>
      </c>
      <c r="V178" s="13">
        <v>189</v>
      </c>
      <c r="W178" s="13">
        <v>0</v>
      </c>
      <c r="X178" s="13">
        <v>7793.9610000000002</v>
      </c>
      <c r="Y178" s="13">
        <v>301.82069999999999</v>
      </c>
      <c r="Z178" s="13">
        <v>7492.1403</v>
      </c>
      <c r="AA178" s="13">
        <v>239</v>
      </c>
      <c r="AB178" s="13">
        <v>239</v>
      </c>
      <c r="AC178" s="13">
        <v>0</v>
      </c>
      <c r="AD178" s="13">
        <v>9378.1448</v>
      </c>
      <c r="AE178" s="13">
        <v>343.142</v>
      </c>
      <c r="AF178" s="13">
        <v>9035.0028000000002</v>
      </c>
      <c r="AG178" s="13">
        <v>146</v>
      </c>
      <c r="AH178" s="13">
        <v>146</v>
      </c>
      <c r="AI178" s="13">
        <v>0</v>
      </c>
      <c r="AJ178" s="13">
        <v>8462.7989999999991</v>
      </c>
      <c r="AK178" s="13">
        <v>242.42759999999998</v>
      </c>
      <c r="AL178" s="13">
        <v>8220.3714</v>
      </c>
      <c r="AM178" s="13">
        <v>144</v>
      </c>
      <c r="AN178" s="13">
        <v>144</v>
      </c>
      <c r="AO178" s="13">
        <v>0</v>
      </c>
      <c r="AP178" s="13">
        <v>8075.6617999999999</v>
      </c>
      <c r="AQ178" s="13">
        <v>262.60609999999997</v>
      </c>
      <c r="AR178" s="13">
        <v>7813.0556999999999</v>
      </c>
      <c r="AS178" s="13">
        <v>189</v>
      </c>
      <c r="AT178" s="13">
        <v>189</v>
      </c>
      <c r="AU178" s="13">
        <v>0</v>
      </c>
      <c r="AV178" s="13">
        <v>10070.0692</v>
      </c>
      <c r="AW178" s="13">
        <v>257.46370000000002</v>
      </c>
      <c r="AX178" s="13">
        <v>9812.6054999999997</v>
      </c>
      <c r="AY178" s="13">
        <v>155</v>
      </c>
      <c r="AZ178" s="13">
        <v>155</v>
      </c>
      <c r="BA178" s="13">
        <v>0</v>
      </c>
      <c r="BB178" s="13">
        <v>7906.5333000000001</v>
      </c>
      <c r="BC178" s="13">
        <v>229.24950000000001</v>
      </c>
      <c r="BD178" s="13">
        <v>7677.2838000000002</v>
      </c>
      <c r="BE178" s="13">
        <v>96</v>
      </c>
      <c r="BF178" s="13">
        <v>96</v>
      </c>
      <c r="BG178" s="13">
        <v>0</v>
      </c>
      <c r="BH178" s="13">
        <v>7583.5108</v>
      </c>
      <c r="BI178" s="13">
        <v>165.42789999999999</v>
      </c>
      <c r="BJ178" s="13">
        <v>7418.0829000000003</v>
      </c>
      <c r="BK178" s="13">
        <v>143</v>
      </c>
      <c r="BL178" s="13">
        <v>143</v>
      </c>
      <c r="BM178" s="13">
        <v>0</v>
      </c>
      <c r="BN178" s="13">
        <v>9979.1327000000001</v>
      </c>
      <c r="BO178" s="13">
        <v>252.92750000000001</v>
      </c>
      <c r="BP178" s="13">
        <v>9726.2052000000003</v>
      </c>
      <c r="BQ178" s="13">
        <v>177</v>
      </c>
      <c r="BR178" s="13">
        <v>177</v>
      </c>
      <c r="BS178" s="13">
        <v>0</v>
      </c>
      <c r="BT178" s="13">
        <v>7965.3690999999999</v>
      </c>
      <c r="BU178" s="13">
        <v>238.71370000000002</v>
      </c>
      <c r="BV178" s="13">
        <v>7726.6553999999996</v>
      </c>
      <c r="BW178" s="13">
        <v>141</v>
      </c>
      <c r="BX178" s="13">
        <v>141</v>
      </c>
      <c r="BY178" s="13">
        <v>0</v>
      </c>
      <c r="BZ178" s="13">
        <v>8099.6623</v>
      </c>
      <c r="CA178" s="13">
        <v>224.8921</v>
      </c>
      <c r="CB178" s="13">
        <v>7874.7701999999999</v>
      </c>
      <c r="CC178" s="13">
        <v>157</v>
      </c>
      <c r="CD178" s="13">
        <v>157</v>
      </c>
      <c r="CE178" s="13">
        <v>0</v>
      </c>
      <c r="CF178" s="13">
        <v>11101.68</v>
      </c>
      <c r="CG178" s="13">
        <v>239.928</v>
      </c>
      <c r="CH178" s="13">
        <v>10861.752</v>
      </c>
      <c r="CI178" s="13">
        <v>126</v>
      </c>
      <c r="CJ178" s="13">
        <v>126</v>
      </c>
      <c r="CK178" s="13">
        <v>0</v>
      </c>
      <c r="CL178" s="13">
        <v>8346.5634000000009</v>
      </c>
      <c r="CM178" s="13">
        <v>200.24939999999998</v>
      </c>
      <c r="CN178" s="13">
        <v>8146.3140000000003</v>
      </c>
      <c r="CO178" s="13">
        <v>210</v>
      </c>
      <c r="CP178" s="13">
        <v>186</v>
      </c>
      <c r="CQ178" s="13">
        <v>24</v>
      </c>
      <c r="CR178" s="13">
        <v>8759.0002999999997</v>
      </c>
      <c r="CS178" s="13">
        <v>255.428</v>
      </c>
      <c r="CT178" s="13">
        <v>8503.5722999999998</v>
      </c>
      <c r="CU178" s="13">
        <f t="shared" si="20"/>
        <v>1923</v>
      </c>
      <c r="CV178" s="13">
        <f t="shared" si="20"/>
        <v>1899</v>
      </c>
      <c r="CW178" s="13">
        <f t="shared" si="20"/>
        <v>24</v>
      </c>
      <c r="CX178" s="13">
        <f t="shared" si="20"/>
        <v>105728.12669999999</v>
      </c>
      <c r="CY178" s="13">
        <f t="shared" si="20"/>
        <v>2912.4554999999996</v>
      </c>
      <c r="CZ178" s="13">
        <f t="shared" si="20"/>
        <v>102815.6712</v>
      </c>
      <c r="DA178" s="13">
        <f t="shared" si="21"/>
        <v>493</v>
      </c>
      <c r="DB178" s="13">
        <f t="shared" si="21"/>
        <v>469</v>
      </c>
      <c r="DC178" s="13">
        <f t="shared" si="21"/>
        <v>24</v>
      </c>
      <c r="DD178" s="13">
        <f t="shared" si="21"/>
        <v>28207.243699999999</v>
      </c>
      <c r="DE178" s="13">
        <f t="shared" si="21"/>
        <v>695.60539999999992</v>
      </c>
      <c r="DF178" s="13">
        <f t="shared" si="21"/>
        <v>27511.638299999999</v>
      </c>
      <c r="DG178" s="13">
        <f t="shared" si="22"/>
        <v>461</v>
      </c>
      <c r="DH178" s="13">
        <f t="shared" si="22"/>
        <v>461</v>
      </c>
      <c r="DI178" s="13">
        <f t="shared" si="22"/>
        <v>0</v>
      </c>
      <c r="DJ178" s="13">
        <f t="shared" si="22"/>
        <v>26044.164099999998</v>
      </c>
      <c r="DK178" s="13">
        <f t="shared" si="22"/>
        <v>716.53330000000005</v>
      </c>
      <c r="DL178" s="13">
        <f t="shared" si="22"/>
        <v>25327.630799999999</v>
      </c>
      <c r="DM178" s="13">
        <f t="shared" si="23"/>
        <v>336</v>
      </c>
      <c r="DN178" s="13">
        <f t="shared" si="23"/>
        <v>312</v>
      </c>
      <c r="DO178" s="13">
        <f t="shared" si="23"/>
        <v>24</v>
      </c>
      <c r="DP178" s="13">
        <f t="shared" si="23"/>
        <v>17105.563699999999</v>
      </c>
      <c r="DQ178" s="13">
        <f t="shared" si="23"/>
        <v>455.67739999999998</v>
      </c>
      <c r="DR178" s="13">
        <f t="shared" si="23"/>
        <v>16649.886299999998</v>
      </c>
      <c r="DS178" s="14" t="s">
        <v>71</v>
      </c>
      <c r="DT178" s="14" t="s">
        <v>81</v>
      </c>
      <c r="DU178" s="14" t="s">
        <v>73</v>
      </c>
      <c r="DV178" s="14" t="s">
        <v>82</v>
      </c>
      <c r="DW178" s="14" t="s">
        <v>64</v>
      </c>
    </row>
    <row r="179" spans="2:127" x14ac:dyDescent="0.3">
      <c r="B179" s="11" t="s">
        <v>65</v>
      </c>
      <c r="C179" s="14">
        <v>5001341723</v>
      </c>
      <c r="D179" s="11" t="s">
        <v>622</v>
      </c>
      <c r="E179" s="11" t="s">
        <v>522</v>
      </c>
      <c r="F179" s="11" t="s">
        <v>623</v>
      </c>
      <c r="G179" s="11" t="s">
        <v>624</v>
      </c>
      <c r="H179" s="11" t="s">
        <v>239</v>
      </c>
      <c r="I179" s="11">
        <v>17822</v>
      </c>
      <c r="J179" s="11" t="s">
        <v>80</v>
      </c>
      <c r="K179" s="11"/>
      <c r="L179" s="11"/>
      <c r="M179" s="11"/>
      <c r="N179" s="11"/>
      <c r="O179" s="13">
        <v>754</v>
      </c>
      <c r="P179" s="13">
        <v>754</v>
      </c>
      <c r="Q179" s="13">
        <v>0</v>
      </c>
      <c r="R179" s="13">
        <v>28746.922699999999</v>
      </c>
      <c r="S179" s="13">
        <v>1012.4264000000001</v>
      </c>
      <c r="T179" s="13">
        <v>27734.496299999999</v>
      </c>
      <c r="U179" s="13">
        <v>35</v>
      </c>
      <c r="V179" s="13">
        <v>35</v>
      </c>
      <c r="W179" s="13">
        <v>0</v>
      </c>
      <c r="X179" s="13">
        <v>2206.5788000000002</v>
      </c>
      <c r="Y179" s="13">
        <v>46.571300000000001</v>
      </c>
      <c r="Z179" s="13">
        <v>2160.0075000000002</v>
      </c>
      <c r="AA179" s="13">
        <v>89</v>
      </c>
      <c r="AB179" s="13">
        <v>89</v>
      </c>
      <c r="AC179" s="13">
        <v>0</v>
      </c>
      <c r="AD179" s="13">
        <v>2235.893</v>
      </c>
      <c r="AE179" s="13">
        <v>100.57130000000001</v>
      </c>
      <c r="AF179" s="13">
        <v>2135.3217</v>
      </c>
      <c r="AG179" s="13">
        <v>84</v>
      </c>
      <c r="AH179" s="13">
        <v>84</v>
      </c>
      <c r="AI179" s="13">
        <v>0</v>
      </c>
      <c r="AJ179" s="13">
        <v>2008.7208000000001</v>
      </c>
      <c r="AK179" s="13">
        <v>95.571300000000008</v>
      </c>
      <c r="AL179" s="13">
        <v>1913.1495</v>
      </c>
      <c r="AM179" s="13">
        <v>55</v>
      </c>
      <c r="AN179" s="13">
        <v>55</v>
      </c>
      <c r="AO179" s="13">
        <v>0</v>
      </c>
      <c r="AP179" s="13">
        <v>2901.9657999999999</v>
      </c>
      <c r="AQ179" s="13">
        <v>149.4991</v>
      </c>
      <c r="AR179" s="13">
        <v>2752.4666999999999</v>
      </c>
      <c r="AS179" s="13">
        <v>33</v>
      </c>
      <c r="AT179" s="13">
        <v>33</v>
      </c>
      <c r="AU179" s="13">
        <v>0</v>
      </c>
      <c r="AV179" s="13">
        <v>1646.6411000000001</v>
      </c>
      <c r="AW179" s="13">
        <v>66.749899999999997</v>
      </c>
      <c r="AX179" s="13">
        <v>1579.8912</v>
      </c>
      <c r="AY179" s="13">
        <v>86</v>
      </c>
      <c r="AZ179" s="13">
        <v>86</v>
      </c>
      <c r="BA179" s="13">
        <v>0</v>
      </c>
      <c r="BB179" s="13">
        <v>1682.0911999999998</v>
      </c>
      <c r="BC179" s="13">
        <v>89.857100000000003</v>
      </c>
      <c r="BD179" s="13">
        <v>1592.2340999999999</v>
      </c>
      <c r="BE179" s="13">
        <v>10</v>
      </c>
      <c r="BF179" s="13">
        <v>10</v>
      </c>
      <c r="BG179" s="13">
        <v>0</v>
      </c>
      <c r="BH179" s="13">
        <v>1762.6918000000001</v>
      </c>
      <c r="BI179" s="13">
        <v>10</v>
      </c>
      <c r="BJ179" s="13">
        <v>1752.6918000000001</v>
      </c>
      <c r="BK179" s="13">
        <v>121</v>
      </c>
      <c r="BL179" s="13">
        <v>121</v>
      </c>
      <c r="BM179" s="13">
        <v>0</v>
      </c>
      <c r="BN179" s="13">
        <v>2605.3940000000002</v>
      </c>
      <c r="BO179" s="13">
        <v>161.49979999999999</v>
      </c>
      <c r="BP179" s="13">
        <v>2443.8942000000002</v>
      </c>
      <c r="BQ179" s="13">
        <v>50</v>
      </c>
      <c r="BR179" s="13">
        <v>50</v>
      </c>
      <c r="BS179" s="13">
        <v>0</v>
      </c>
      <c r="BT179" s="13">
        <v>2061.8927000000003</v>
      </c>
      <c r="BU179" s="13">
        <v>50</v>
      </c>
      <c r="BV179" s="13">
        <v>2011.8927000000001</v>
      </c>
      <c r="BW179" s="13">
        <v>40</v>
      </c>
      <c r="BX179" s="13">
        <v>40</v>
      </c>
      <c r="BY179" s="13">
        <v>0</v>
      </c>
      <c r="BZ179" s="13">
        <v>1879.0921000000001</v>
      </c>
      <c r="CA179" s="13">
        <v>40</v>
      </c>
      <c r="CB179" s="13">
        <v>1839.0921000000001</v>
      </c>
      <c r="CC179" s="13">
        <v>57</v>
      </c>
      <c r="CD179" s="13">
        <v>57</v>
      </c>
      <c r="CE179" s="13">
        <v>0</v>
      </c>
      <c r="CF179" s="13">
        <v>2845.9165000000003</v>
      </c>
      <c r="CG179" s="13">
        <v>81.106899999999996</v>
      </c>
      <c r="CH179" s="13">
        <v>2764.8096</v>
      </c>
      <c r="CI179" s="13">
        <v>62</v>
      </c>
      <c r="CJ179" s="13">
        <v>62</v>
      </c>
      <c r="CK179" s="13">
        <v>0</v>
      </c>
      <c r="CL179" s="13">
        <v>2357.0077999999999</v>
      </c>
      <c r="CM179" s="13">
        <v>73.571300000000008</v>
      </c>
      <c r="CN179" s="13">
        <v>2283.4364999999998</v>
      </c>
      <c r="CO179" s="13">
        <v>32</v>
      </c>
      <c r="CP179" s="13">
        <v>32</v>
      </c>
      <c r="CQ179" s="13">
        <v>0</v>
      </c>
      <c r="CR179" s="13">
        <v>2553.0371</v>
      </c>
      <c r="CS179" s="13">
        <v>47.428399999999996</v>
      </c>
      <c r="CT179" s="13">
        <v>2505.6087000000002</v>
      </c>
      <c r="CU179" s="13">
        <f t="shared" si="20"/>
        <v>719</v>
      </c>
      <c r="CV179" s="13">
        <f t="shared" si="20"/>
        <v>719</v>
      </c>
      <c r="CW179" s="13">
        <f t="shared" si="20"/>
        <v>0</v>
      </c>
      <c r="CX179" s="13">
        <f t="shared" si="20"/>
        <v>26540.343900000003</v>
      </c>
      <c r="CY179" s="13">
        <f t="shared" si="20"/>
        <v>965.85510000000022</v>
      </c>
      <c r="CZ179" s="13">
        <f t="shared" si="20"/>
        <v>25574.488800000003</v>
      </c>
      <c r="DA179" s="13">
        <f t="shared" si="21"/>
        <v>151</v>
      </c>
      <c r="DB179" s="13">
        <f t="shared" si="21"/>
        <v>151</v>
      </c>
      <c r="DC179" s="13">
        <f t="shared" si="21"/>
        <v>0</v>
      </c>
      <c r="DD179" s="13">
        <f t="shared" si="21"/>
        <v>7755.9614000000001</v>
      </c>
      <c r="DE179" s="13">
        <f t="shared" si="21"/>
        <v>202.10660000000001</v>
      </c>
      <c r="DF179" s="13">
        <f t="shared" si="21"/>
        <v>7553.854800000001</v>
      </c>
      <c r="DG179" s="13">
        <f t="shared" si="22"/>
        <v>211</v>
      </c>
      <c r="DH179" s="13">
        <f t="shared" si="22"/>
        <v>211</v>
      </c>
      <c r="DI179" s="13">
        <f t="shared" si="22"/>
        <v>0</v>
      </c>
      <c r="DJ179" s="13">
        <f t="shared" si="22"/>
        <v>6546.3788000000004</v>
      </c>
      <c r="DK179" s="13">
        <f t="shared" si="22"/>
        <v>251.49979999999999</v>
      </c>
      <c r="DL179" s="13">
        <f t="shared" si="22"/>
        <v>6294.8789999999999</v>
      </c>
      <c r="DM179" s="13">
        <f t="shared" si="23"/>
        <v>94</v>
      </c>
      <c r="DN179" s="13">
        <f t="shared" si="23"/>
        <v>94</v>
      </c>
      <c r="DO179" s="13">
        <f t="shared" si="23"/>
        <v>0</v>
      </c>
      <c r="DP179" s="13">
        <f t="shared" si="23"/>
        <v>4910.0448999999999</v>
      </c>
      <c r="DQ179" s="13">
        <f t="shared" si="23"/>
        <v>120.9997</v>
      </c>
      <c r="DR179" s="13">
        <f t="shared" si="23"/>
        <v>4789.0452000000005</v>
      </c>
      <c r="DS179" s="14" t="s">
        <v>71</v>
      </c>
      <c r="DT179" s="14" t="s">
        <v>81</v>
      </c>
      <c r="DU179" s="14" t="s">
        <v>73</v>
      </c>
      <c r="DV179" s="14" t="s">
        <v>82</v>
      </c>
      <c r="DW179" s="14" t="s">
        <v>64</v>
      </c>
    </row>
    <row r="180" spans="2:127" x14ac:dyDescent="0.3">
      <c r="B180" s="11" t="s">
        <v>75</v>
      </c>
      <c r="C180" s="14">
        <v>5001341754</v>
      </c>
      <c r="D180" s="11" t="s">
        <v>625</v>
      </c>
      <c r="E180" s="11" t="s">
        <v>522</v>
      </c>
      <c r="F180" s="11" t="s">
        <v>626</v>
      </c>
      <c r="G180" s="11" t="s">
        <v>627</v>
      </c>
      <c r="H180" s="11" t="s">
        <v>169</v>
      </c>
      <c r="I180" s="11">
        <v>22908</v>
      </c>
      <c r="J180" s="11" t="s">
        <v>59</v>
      </c>
      <c r="K180" s="11"/>
      <c r="L180" s="11"/>
      <c r="M180" s="11"/>
      <c r="N180" s="11"/>
      <c r="O180" s="13">
        <v>491</v>
      </c>
      <c r="P180" s="13">
        <v>491</v>
      </c>
      <c r="Q180" s="13">
        <v>0</v>
      </c>
      <c r="R180" s="13">
        <v>25864.1414</v>
      </c>
      <c r="S180" s="13">
        <v>1351.1420000000001</v>
      </c>
      <c r="T180" s="13">
        <v>24512.999400000001</v>
      </c>
      <c r="U180" s="13">
        <v>59</v>
      </c>
      <c r="V180" s="13">
        <v>59</v>
      </c>
      <c r="W180" s="13">
        <v>0</v>
      </c>
      <c r="X180" s="13">
        <v>1629.0547999999999</v>
      </c>
      <c r="Y180" s="13">
        <v>221.96420000000001</v>
      </c>
      <c r="Z180" s="13">
        <v>1407.0906</v>
      </c>
      <c r="AA180" s="13">
        <v>18</v>
      </c>
      <c r="AB180" s="13">
        <v>18</v>
      </c>
      <c r="AC180" s="13">
        <v>0</v>
      </c>
      <c r="AD180" s="13">
        <v>2266.3353999999999</v>
      </c>
      <c r="AE180" s="13">
        <v>205.0711</v>
      </c>
      <c r="AF180" s="13">
        <v>2061.2642999999998</v>
      </c>
      <c r="AG180" s="13">
        <v>24</v>
      </c>
      <c r="AH180" s="13">
        <v>24</v>
      </c>
      <c r="AI180" s="13">
        <v>0</v>
      </c>
      <c r="AJ180" s="13">
        <v>1716.1342000000002</v>
      </c>
      <c r="AK180" s="13">
        <v>99.214299999999994</v>
      </c>
      <c r="AL180" s="13">
        <v>1616.9199000000001</v>
      </c>
      <c r="AM180" s="13">
        <v>142</v>
      </c>
      <c r="AN180" s="13">
        <v>142</v>
      </c>
      <c r="AO180" s="13">
        <v>0</v>
      </c>
      <c r="AP180" s="13">
        <v>1851.8773999999999</v>
      </c>
      <c r="AQ180" s="13">
        <v>197.9288</v>
      </c>
      <c r="AR180" s="13">
        <v>1653.9485999999999</v>
      </c>
      <c r="AS180" s="13">
        <v>113</v>
      </c>
      <c r="AT180" s="13">
        <v>113</v>
      </c>
      <c r="AU180" s="13">
        <v>0</v>
      </c>
      <c r="AV180" s="13">
        <v>2687.4593</v>
      </c>
      <c r="AW180" s="13">
        <v>144.8219</v>
      </c>
      <c r="AX180" s="13">
        <v>2542.6374000000001</v>
      </c>
      <c r="AY180" s="13">
        <v>24</v>
      </c>
      <c r="AZ180" s="13">
        <v>24</v>
      </c>
      <c r="BA180" s="13">
        <v>0</v>
      </c>
      <c r="BB180" s="13">
        <v>2085.2642999999998</v>
      </c>
      <c r="BC180" s="13">
        <v>24</v>
      </c>
      <c r="BD180" s="13">
        <v>2061.2642999999998</v>
      </c>
      <c r="BE180" s="13">
        <v>44</v>
      </c>
      <c r="BF180" s="13">
        <v>44</v>
      </c>
      <c r="BG180" s="13">
        <v>0</v>
      </c>
      <c r="BH180" s="13">
        <v>1574.5196000000001</v>
      </c>
      <c r="BI180" s="13">
        <v>44</v>
      </c>
      <c r="BJ180" s="13">
        <v>1530.5196000000001</v>
      </c>
      <c r="BK180" s="13">
        <v>0</v>
      </c>
      <c r="BL180" s="13">
        <v>0</v>
      </c>
      <c r="BM180" s="13">
        <v>0</v>
      </c>
      <c r="BN180" s="13">
        <v>2507.9218999999998</v>
      </c>
      <c r="BO180" s="13">
        <v>88.713499999999996</v>
      </c>
      <c r="BP180" s="13">
        <v>2419.2084</v>
      </c>
      <c r="BQ180" s="13">
        <v>36</v>
      </c>
      <c r="BR180" s="13">
        <v>36</v>
      </c>
      <c r="BS180" s="13">
        <v>0</v>
      </c>
      <c r="BT180" s="13">
        <v>1985.4067</v>
      </c>
      <c r="BU180" s="13">
        <v>47.571399999999997</v>
      </c>
      <c r="BV180" s="13">
        <v>1937.8353</v>
      </c>
      <c r="BW180" s="13">
        <v>0</v>
      </c>
      <c r="BX180" s="13">
        <v>0</v>
      </c>
      <c r="BY180" s="13">
        <v>0</v>
      </c>
      <c r="BZ180" s="13">
        <v>1584.5204000000001</v>
      </c>
      <c r="CA180" s="13">
        <v>54.000799999999998</v>
      </c>
      <c r="CB180" s="13">
        <v>1530.5196000000001</v>
      </c>
      <c r="CC180" s="13">
        <v>0</v>
      </c>
      <c r="CD180" s="13">
        <v>0</v>
      </c>
      <c r="CE180" s="13">
        <v>0</v>
      </c>
      <c r="CF180" s="13">
        <v>2403.7793999999999</v>
      </c>
      <c r="CG180" s="13">
        <v>46.285499999999999</v>
      </c>
      <c r="CH180" s="13">
        <v>2357.4938999999999</v>
      </c>
      <c r="CI180" s="13">
        <v>0</v>
      </c>
      <c r="CJ180" s="13">
        <v>0</v>
      </c>
      <c r="CK180" s="13">
        <v>0</v>
      </c>
      <c r="CL180" s="13">
        <v>1936.8704</v>
      </c>
      <c r="CM180" s="13">
        <v>60.749600000000001</v>
      </c>
      <c r="CN180" s="13">
        <v>1876.1207999999999</v>
      </c>
      <c r="CO180" s="13">
        <v>31</v>
      </c>
      <c r="CP180" s="13">
        <v>31</v>
      </c>
      <c r="CQ180" s="13">
        <v>0</v>
      </c>
      <c r="CR180" s="13">
        <v>1634.9975999999999</v>
      </c>
      <c r="CS180" s="13">
        <v>116.82089999999999</v>
      </c>
      <c r="CT180" s="13">
        <v>1518.1767</v>
      </c>
      <c r="CU180" s="13">
        <f t="shared" si="20"/>
        <v>432</v>
      </c>
      <c r="CV180" s="13">
        <f t="shared" si="20"/>
        <v>432</v>
      </c>
      <c r="CW180" s="13">
        <f t="shared" si="20"/>
        <v>0</v>
      </c>
      <c r="CX180" s="13">
        <f t="shared" si="20"/>
        <v>24235.086599999999</v>
      </c>
      <c r="CY180" s="13">
        <f t="shared" si="20"/>
        <v>1129.1777999999999</v>
      </c>
      <c r="CZ180" s="13">
        <f t="shared" si="20"/>
        <v>23105.908800000001</v>
      </c>
      <c r="DA180" s="13">
        <f t="shared" si="21"/>
        <v>31</v>
      </c>
      <c r="DB180" s="13">
        <f t="shared" si="21"/>
        <v>31</v>
      </c>
      <c r="DC180" s="13">
        <f t="shared" si="21"/>
        <v>0</v>
      </c>
      <c r="DD180" s="13">
        <f t="shared" si="21"/>
        <v>5975.6473999999998</v>
      </c>
      <c r="DE180" s="13">
        <f t="shared" si="21"/>
        <v>223.85599999999999</v>
      </c>
      <c r="DF180" s="13">
        <f t="shared" si="21"/>
        <v>5751.7914000000001</v>
      </c>
      <c r="DG180" s="13">
        <f t="shared" si="22"/>
        <v>36</v>
      </c>
      <c r="DH180" s="13">
        <f t="shared" si="22"/>
        <v>36</v>
      </c>
      <c r="DI180" s="13">
        <f t="shared" si="22"/>
        <v>0</v>
      </c>
      <c r="DJ180" s="13">
        <f t="shared" si="22"/>
        <v>6077.8490000000002</v>
      </c>
      <c r="DK180" s="13">
        <f t="shared" si="22"/>
        <v>190.28569999999999</v>
      </c>
      <c r="DL180" s="13">
        <f t="shared" si="22"/>
        <v>5887.5632999999998</v>
      </c>
      <c r="DM180" s="13">
        <f t="shared" si="23"/>
        <v>31</v>
      </c>
      <c r="DN180" s="13">
        <f t="shared" si="23"/>
        <v>31</v>
      </c>
      <c r="DO180" s="13">
        <f t="shared" si="23"/>
        <v>0</v>
      </c>
      <c r="DP180" s="13">
        <f t="shared" si="23"/>
        <v>3571.8679999999999</v>
      </c>
      <c r="DQ180" s="13">
        <f t="shared" si="23"/>
        <v>177.57049999999998</v>
      </c>
      <c r="DR180" s="13">
        <f t="shared" si="23"/>
        <v>3394.2974999999997</v>
      </c>
      <c r="DS180" s="14" t="s">
        <v>71</v>
      </c>
      <c r="DT180" s="14" t="s">
        <v>81</v>
      </c>
      <c r="DU180" s="14" t="s">
        <v>73</v>
      </c>
      <c r="DV180" s="14" t="s">
        <v>82</v>
      </c>
      <c r="DW180" s="14" t="s">
        <v>126</v>
      </c>
    </row>
    <row r="181" spans="2:127" x14ac:dyDescent="0.3">
      <c r="B181" s="11" t="s">
        <v>75</v>
      </c>
      <c r="C181" s="14">
        <v>5001341772</v>
      </c>
      <c r="D181" s="11" t="s">
        <v>628</v>
      </c>
      <c r="E181" s="11" t="s">
        <v>522</v>
      </c>
      <c r="F181" s="11" t="s">
        <v>629</v>
      </c>
      <c r="G181" s="11" t="s">
        <v>223</v>
      </c>
      <c r="H181" s="11" t="s">
        <v>120</v>
      </c>
      <c r="I181" s="11">
        <v>37232</v>
      </c>
      <c r="J181" s="11" t="s">
        <v>59</v>
      </c>
      <c r="K181" s="11"/>
      <c r="L181" s="11"/>
      <c r="M181" s="11"/>
      <c r="N181" s="11"/>
      <c r="O181" s="13">
        <v>409</v>
      </c>
      <c r="P181" s="13">
        <v>409</v>
      </c>
      <c r="Q181" s="13">
        <v>0</v>
      </c>
      <c r="R181" s="13">
        <v>31256.791300000001</v>
      </c>
      <c r="S181" s="13">
        <v>1214.1727000000001</v>
      </c>
      <c r="T181" s="13">
        <v>30042.618600000002</v>
      </c>
      <c r="U181" s="13">
        <v>47</v>
      </c>
      <c r="V181" s="13">
        <v>47</v>
      </c>
      <c r="W181" s="13">
        <v>0</v>
      </c>
      <c r="X181" s="13">
        <v>1856.0060999999998</v>
      </c>
      <c r="Y181" s="13">
        <v>66.285600000000002</v>
      </c>
      <c r="Z181" s="13">
        <v>1789.7204999999999</v>
      </c>
      <c r="AA181" s="13">
        <v>65</v>
      </c>
      <c r="AB181" s="13">
        <v>65</v>
      </c>
      <c r="AC181" s="13">
        <v>0</v>
      </c>
      <c r="AD181" s="13">
        <v>2754.9805999999999</v>
      </c>
      <c r="AE181" s="13">
        <v>76.571300000000008</v>
      </c>
      <c r="AF181" s="13">
        <v>2678.4092999999998</v>
      </c>
      <c r="AG181" s="13">
        <v>64</v>
      </c>
      <c r="AH181" s="13">
        <v>64</v>
      </c>
      <c r="AI181" s="13">
        <v>0</v>
      </c>
      <c r="AJ181" s="13">
        <v>1912.9269999999999</v>
      </c>
      <c r="AK181" s="13">
        <v>147.89230000000001</v>
      </c>
      <c r="AL181" s="13">
        <v>1765.0346999999999</v>
      </c>
      <c r="AM181" s="13">
        <v>49</v>
      </c>
      <c r="AN181" s="13">
        <v>49</v>
      </c>
      <c r="AO181" s="13">
        <v>0</v>
      </c>
      <c r="AP181" s="13">
        <v>1757.7198000000001</v>
      </c>
      <c r="AQ181" s="13">
        <v>91.428300000000007</v>
      </c>
      <c r="AR181" s="13">
        <v>1666.2915</v>
      </c>
      <c r="AS181" s="13">
        <v>21</v>
      </c>
      <c r="AT181" s="13">
        <v>21</v>
      </c>
      <c r="AU181" s="13">
        <v>0</v>
      </c>
      <c r="AV181" s="13">
        <v>3112.3173000000002</v>
      </c>
      <c r="AW181" s="13">
        <v>75.963899999999995</v>
      </c>
      <c r="AX181" s="13">
        <v>3036.3534</v>
      </c>
      <c r="AY181" s="13">
        <v>22</v>
      </c>
      <c r="AZ181" s="13">
        <v>22</v>
      </c>
      <c r="BA181" s="13">
        <v>0</v>
      </c>
      <c r="BB181" s="13">
        <v>1967.9350999999999</v>
      </c>
      <c r="BC181" s="13">
        <v>54.785600000000002</v>
      </c>
      <c r="BD181" s="13">
        <v>1913.1495</v>
      </c>
      <c r="BE181" s="13">
        <v>25</v>
      </c>
      <c r="BF181" s="13">
        <v>25</v>
      </c>
      <c r="BG181" s="13">
        <v>0</v>
      </c>
      <c r="BH181" s="13">
        <v>2286.2574000000004</v>
      </c>
      <c r="BI181" s="13">
        <v>64.53540000000001</v>
      </c>
      <c r="BJ181" s="13">
        <v>2221.7220000000002</v>
      </c>
      <c r="BK181" s="13">
        <v>0</v>
      </c>
      <c r="BL181" s="13">
        <v>0</v>
      </c>
      <c r="BM181" s="13">
        <v>0</v>
      </c>
      <c r="BN181" s="13">
        <v>3052.7455999999997</v>
      </c>
      <c r="BO181" s="13">
        <v>78.106700000000004</v>
      </c>
      <c r="BP181" s="13">
        <v>2974.6388999999999</v>
      </c>
      <c r="BQ181" s="13">
        <v>25</v>
      </c>
      <c r="BR181" s="13">
        <v>25</v>
      </c>
      <c r="BS181" s="13">
        <v>0</v>
      </c>
      <c r="BT181" s="13">
        <v>2387.8936000000003</v>
      </c>
      <c r="BU181" s="13">
        <v>67.428400000000011</v>
      </c>
      <c r="BV181" s="13">
        <v>2320.4652000000001</v>
      </c>
      <c r="BW181" s="13">
        <v>15</v>
      </c>
      <c r="BX181" s="13">
        <v>15</v>
      </c>
      <c r="BY181" s="13">
        <v>0</v>
      </c>
      <c r="BZ181" s="13">
        <v>2264.8780999999999</v>
      </c>
      <c r="CA181" s="13">
        <v>117.2135</v>
      </c>
      <c r="CB181" s="13">
        <v>2147.6646000000001</v>
      </c>
      <c r="CC181" s="13">
        <v>36</v>
      </c>
      <c r="CD181" s="13">
        <v>36</v>
      </c>
      <c r="CE181" s="13">
        <v>0</v>
      </c>
      <c r="CF181" s="13">
        <v>3111.1163999999999</v>
      </c>
      <c r="CG181" s="13">
        <v>148.82040000000001</v>
      </c>
      <c r="CH181" s="13">
        <v>2962.2959999999998</v>
      </c>
      <c r="CI181" s="13">
        <v>27</v>
      </c>
      <c r="CJ181" s="13">
        <v>27</v>
      </c>
      <c r="CK181" s="13">
        <v>0</v>
      </c>
      <c r="CL181" s="13">
        <v>2476.6783</v>
      </c>
      <c r="CM181" s="13">
        <v>156.2131</v>
      </c>
      <c r="CN181" s="13">
        <v>2320.4652000000001</v>
      </c>
      <c r="CO181" s="13">
        <v>13</v>
      </c>
      <c r="CP181" s="13">
        <v>13</v>
      </c>
      <c r="CQ181" s="13">
        <v>0</v>
      </c>
      <c r="CR181" s="13">
        <v>2315.3359999999998</v>
      </c>
      <c r="CS181" s="13">
        <v>68.928200000000004</v>
      </c>
      <c r="CT181" s="13">
        <v>2246.4078</v>
      </c>
      <c r="CU181" s="13">
        <f t="shared" si="20"/>
        <v>362</v>
      </c>
      <c r="CV181" s="13">
        <f t="shared" si="20"/>
        <v>362</v>
      </c>
      <c r="CW181" s="13">
        <f t="shared" si="20"/>
        <v>0</v>
      </c>
      <c r="CX181" s="13">
        <f t="shared" si="20"/>
        <v>29400.785199999995</v>
      </c>
      <c r="CY181" s="13">
        <f t="shared" si="20"/>
        <v>1147.8871000000001</v>
      </c>
      <c r="CZ181" s="13">
        <f t="shared" si="20"/>
        <v>28252.898099999995</v>
      </c>
      <c r="DA181" s="13">
        <f t="shared" si="21"/>
        <v>76</v>
      </c>
      <c r="DB181" s="13">
        <f t="shared" si="21"/>
        <v>76</v>
      </c>
      <c r="DC181" s="13">
        <f t="shared" si="21"/>
        <v>0</v>
      </c>
      <c r="DD181" s="13">
        <f t="shared" si="21"/>
        <v>7903.1306999999997</v>
      </c>
      <c r="DE181" s="13">
        <f t="shared" si="21"/>
        <v>373.96170000000001</v>
      </c>
      <c r="DF181" s="13">
        <f t="shared" si="21"/>
        <v>7529.1689999999999</v>
      </c>
      <c r="DG181" s="13">
        <f t="shared" si="22"/>
        <v>40</v>
      </c>
      <c r="DH181" s="13">
        <f t="shared" si="22"/>
        <v>40</v>
      </c>
      <c r="DI181" s="13">
        <f t="shared" si="22"/>
        <v>0</v>
      </c>
      <c r="DJ181" s="13">
        <f t="shared" si="22"/>
        <v>7705.5172999999995</v>
      </c>
      <c r="DK181" s="13">
        <f t="shared" si="22"/>
        <v>262.74860000000001</v>
      </c>
      <c r="DL181" s="13">
        <f t="shared" si="22"/>
        <v>7442.7687000000005</v>
      </c>
      <c r="DM181" s="13">
        <f t="shared" si="23"/>
        <v>40</v>
      </c>
      <c r="DN181" s="13">
        <f t="shared" si="23"/>
        <v>40</v>
      </c>
      <c r="DO181" s="13">
        <f t="shared" si="23"/>
        <v>0</v>
      </c>
      <c r="DP181" s="13">
        <f t="shared" si="23"/>
        <v>4792.0142999999998</v>
      </c>
      <c r="DQ181" s="13">
        <f t="shared" si="23"/>
        <v>225.1413</v>
      </c>
      <c r="DR181" s="13">
        <f t="shared" si="23"/>
        <v>4566.8729999999996</v>
      </c>
      <c r="DS181" s="14" t="s">
        <v>71</v>
      </c>
      <c r="DT181" s="14" t="s">
        <v>81</v>
      </c>
      <c r="DU181" s="14" t="s">
        <v>73</v>
      </c>
      <c r="DV181" s="14" t="s">
        <v>82</v>
      </c>
      <c r="DW181" s="14" t="s">
        <v>74</v>
      </c>
    </row>
    <row r="182" spans="2:127" x14ac:dyDescent="0.3">
      <c r="B182" s="11" t="s">
        <v>65</v>
      </c>
      <c r="C182" s="14">
        <v>5001341783</v>
      </c>
      <c r="D182" s="11" t="s">
        <v>630</v>
      </c>
      <c r="E182" s="11" t="s">
        <v>522</v>
      </c>
      <c r="F182" s="11" t="s">
        <v>631</v>
      </c>
      <c r="G182" s="11" t="s">
        <v>308</v>
      </c>
      <c r="H182" s="11" t="s">
        <v>206</v>
      </c>
      <c r="I182" s="11">
        <v>14617</v>
      </c>
      <c r="J182" s="11" t="s">
        <v>80</v>
      </c>
      <c r="K182" s="11"/>
      <c r="L182" s="11"/>
      <c r="M182" s="11"/>
      <c r="N182" s="11"/>
      <c r="O182" s="13">
        <v>202</v>
      </c>
      <c r="P182" s="13">
        <v>202</v>
      </c>
      <c r="Q182" s="13">
        <v>0</v>
      </c>
      <c r="R182" s="13">
        <v>20654.185300000001</v>
      </c>
      <c r="S182" s="13">
        <v>202</v>
      </c>
      <c r="T182" s="13">
        <v>20452.185300000001</v>
      </c>
      <c r="U182" s="13">
        <v>20</v>
      </c>
      <c r="V182" s="13">
        <v>20</v>
      </c>
      <c r="W182" s="13">
        <v>0</v>
      </c>
      <c r="X182" s="13">
        <v>1513.4909</v>
      </c>
      <c r="Y182" s="13">
        <v>20</v>
      </c>
      <c r="Z182" s="13">
        <v>1493.4909</v>
      </c>
      <c r="AA182" s="13">
        <v>20</v>
      </c>
      <c r="AB182" s="13">
        <v>20</v>
      </c>
      <c r="AC182" s="13">
        <v>0</v>
      </c>
      <c r="AD182" s="13">
        <v>1710.9773</v>
      </c>
      <c r="AE182" s="13">
        <v>20</v>
      </c>
      <c r="AF182" s="13">
        <v>1690.9773</v>
      </c>
      <c r="AG182" s="13">
        <v>10</v>
      </c>
      <c r="AH182" s="13">
        <v>10</v>
      </c>
      <c r="AI182" s="13">
        <v>0</v>
      </c>
      <c r="AJ182" s="13">
        <v>1552.8625</v>
      </c>
      <c r="AK182" s="13">
        <v>10</v>
      </c>
      <c r="AL182" s="13">
        <v>1542.8625</v>
      </c>
      <c r="AM182" s="13">
        <v>0</v>
      </c>
      <c r="AN182" s="13">
        <v>0</v>
      </c>
      <c r="AO182" s="13">
        <v>0</v>
      </c>
      <c r="AP182" s="13">
        <v>1456.4621999999999</v>
      </c>
      <c r="AQ182" s="13">
        <v>0</v>
      </c>
      <c r="AR182" s="13">
        <v>1456.4621999999999</v>
      </c>
      <c r="AS182" s="13">
        <v>0</v>
      </c>
      <c r="AT182" s="13">
        <v>0</v>
      </c>
      <c r="AU182" s="13">
        <v>0</v>
      </c>
      <c r="AV182" s="13">
        <v>1937.8353</v>
      </c>
      <c r="AW182" s="13">
        <v>0</v>
      </c>
      <c r="AX182" s="13">
        <v>1937.8353</v>
      </c>
      <c r="AY182" s="13">
        <v>0</v>
      </c>
      <c r="AZ182" s="13">
        <v>0</v>
      </c>
      <c r="BA182" s="13">
        <v>0</v>
      </c>
      <c r="BB182" s="13">
        <v>1481.1479999999999</v>
      </c>
      <c r="BC182" s="13">
        <v>0</v>
      </c>
      <c r="BD182" s="13">
        <v>1481.1479999999999</v>
      </c>
      <c r="BE182" s="13">
        <v>0</v>
      </c>
      <c r="BF182" s="13">
        <v>0</v>
      </c>
      <c r="BG182" s="13">
        <v>0</v>
      </c>
      <c r="BH182" s="13">
        <v>1567.5482999999999</v>
      </c>
      <c r="BI182" s="13">
        <v>0</v>
      </c>
      <c r="BJ182" s="13">
        <v>1567.5482999999999</v>
      </c>
      <c r="BK182" s="13">
        <v>6</v>
      </c>
      <c r="BL182" s="13">
        <v>6</v>
      </c>
      <c r="BM182" s="13">
        <v>0</v>
      </c>
      <c r="BN182" s="13">
        <v>1746.3489</v>
      </c>
      <c r="BO182" s="13">
        <v>6</v>
      </c>
      <c r="BP182" s="13">
        <v>1740.3489</v>
      </c>
      <c r="BQ182" s="13">
        <v>12</v>
      </c>
      <c r="BR182" s="13">
        <v>12</v>
      </c>
      <c r="BS182" s="13">
        <v>0</v>
      </c>
      <c r="BT182" s="13">
        <v>1505.4909</v>
      </c>
      <c r="BU182" s="13">
        <v>12</v>
      </c>
      <c r="BV182" s="13">
        <v>1493.4909</v>
      </c>
      <c r="BW182" s="13">
        <v>38</v>
      </c>
      <c r="BX182" s="13">
        <v>38</v>
      </c>
      <c r="BY182" s="13">
        <v>0</v>
      </c>
      <c r="BZ182" s="13">
        <v>1371.0332000000001</v>
      </c>
      <c r="CA182" s="13">
        <v>38</v>
      </c>
      <c r="CB182" s="13">
        <v>1333.0332000000001</v>
      </c>
      <c r="CC182" s="13">
        <v>16</v>
      </c>
      <c r="CD182" s="13">
        <v>16</v>
      </c>
      <c r="CE182" s="13">
        <v>0</v>
      </c>
      <c r="CF182" s="13">
        <v>1879.7779</v>
      </c>
      <c r="CG182" s="13">
        <v>16</v>
      </c>
      <c r="CH182" s="13">
        <v>1863.7779</v>
      </c>
      <c r="CI182" s="13">
        <v>38</v>
      </c>
      <c r="CJ182" s="13">
        <v>38</v>
      </c>
      <c r="CK182" s="13">
        <v>0</v>
      </c>
      <c r="CL182" s="13">
        <v>1445.0906</v>
      </c>
      <c r="CM182" s="13">
        <v>38</v>
      </c>
      <c r="CN182" s="13">
        <v>1407.0906</v>
      </c>
      <c r="CO182" s="13">
        <v>42</v>
      </c>
      <c r="CP182" s="13">
        <v>42</v>
      </c>
      <c r="CQ182" s="13">
        <v>0</v>
      </c>
      <c r="CR182" s="13">
        <v>1486.1193000000001</v>
      </c>
      <c r="CS182" s="13">
        <v>42</v>
      </c>
      <c r="CT182" s="13">
        <v>1444.1193000000001</v>
      </c>
      <c r="CU182" s="13">
        <f t="shared" si="20"/>
        <v>182</v>
      </c>
      <c r="CV182" s="13">
        <f t="shared" si="20"/>
        <v>182</v>
      </c>
      <c r="CW182" s="13">
        <f t="shared" si="20"/>
        <v>0</v>
      </c>
      <c r="CX182" s="13">
        <f t="shared" si="20"/>
        <v>19140.694399999997</v>
      </c>
      <c r="CY182" s="13">
        <f t="shared" si="20"/>
        <v>182</v>
      </c>
      <c r="CZ182" s="13">
        <f t="shared" si="20"/>
        <v>18958.694399999997</v>
      </c>
      <c r="DA182" s="13">
        <f t="shared" si="21"/>
        <v>96</v>
      </c>
      <c r="DB182" s="13">
        <f t="shared" si="21"/>
        <v>96</v>
      </c>
      <c r="DC182" s="13">
        <f t="shared" si="21"/>
        <v>0</v>
      </c>
      <c r="DD182" s="13">
        <f t="shared" si="21"/>
        <v>4810.9877999999999</v>
      </c>
      <c r="DE182" s="13">
        <f t="shared" si="21"/>
        <v>96</v>
      </c>
      <c r="DF182" s="13">
        <f t="shared" si="21"/>
        <v>4714.9877999999999</v>
      </c>
      <c r="DG182" s="13">
        <f t="shared" si="22"/>
        <v>56</v>
      </c>
      <c r="DH182" s="13">
        <f t="shared" si="22"/>
        <v>56</v>
      </c>
      <c r="DI182" s="13">
        <f t="shared" si="22"/>
        <v>0</v>
      </c>
      <c r="DJ182" s="13">
        <f t="shared" si="22"/>
        <v>4622.8729999999996</v>
      </c>
      <c r="DK182" s="13">
        <f t="shared" si="22"/>
        <v>56</v>
      </c>
      <c r="DL182" s="13">
        <f t="shared" si="22"/>
        <v>4566.8729999999996</v>
      </c>
      <c r="DM182" s="13">
        <f t="shared" si="23"/>
        <v>80</v>
      </c>
      <c r="DN182" s="13">
        <f t="shared" si="23"/>
        <v>80</v>
      </c>
      <c r="DO182" s="13">
        <f t="shared" si="23"/>
        <v>0</v>
      </c>
      <c r="DP182" s="13">
        <f t="shared" si="23"/>
        <v>2931.2098999999998</v>
      </c>
      <c r="DQ182" s="13">
        <f t="shared" si="23"/>
        <v>80</v>
      </c>
      <c r="DR182" s="13">
        <f t="shared" si="23"/>
        <v>2851.2098999999998</v>
      </c>
      <c r="DS182" s="14" t="s">
        <v>81</v>
      </c>
      <c r="DT182" s="14" t="s">
        <v>81</v>
      </c>
      <c r="DU182" s="14" t="s">
        <v>73</v>
      </c>
      <c r="DV182" s="14" t="s">
        <v>82</v>
      </c>
      <c r="DW182" s="14" t="s">
        <v>126</v>
      </c>
    </row>
    <row r="183" spans="2:127" x14ac:dyDescent="0.3">
      <c r="B183" s="11" t="s">
        <v>75</v>
      </c>
      <c r="C183" s="14">
        <v>5001341785</v>
      </c>
      <c r="D183" s="11" t="s">
        <v>632</v>
      </c>
      <c r="E183" s="11" t="s">
        <v>522</v>
      </c>
      <c r="F183" s="11" t="s">
        <v>396</v>
      </c>
      <c r="G183" s="11" t="s">
        <v>285</v>
      </c>
      <c r="H183" s="11" t="s">
        <v>220</v>
      </c>
      <c r="I183" s="11">
        <v>27157</v>
      </c>
      <c r="J183" s="11" t="s">
        <v>59</v>
      </c>
      <c r="K183" s="11"/>
      <c r="L183" s="11"/>
      <c r="M183" s="11"/>
      <c r="N183" s="11"/>
      <c r="O183" s="13">
        <v>503</v>
      </c>
      <c r="P183" s="13">
        <v>503</v>
      </c>
      <c r="Q183" s="13">
        <v>0</v>
      </c>
      <c r="R183" s="13">
        <v>38252.406499999997</v>
      </c>
      <c r="S183" s="13">
        <v>754.67629999999997</v>
      </c>
      <c r="T183" s="13">
        <v>37497.730199999998</v>
      </c>
      <c r="U183" s="13">
        <v>38</v>
      </c>
      <c r="V183" s="13">
        <v>38</v>
      </c>
      <c r="W183" s="13">
        <v>0</v>
      </c>
      <c r="X183" s="13">
        <v>2503.3009999999999</v>
      </c>
      <c r="Y183" s="13">
        <v>71.74969999999999</v>
      </c>
      <c r="Z183" s="13">
        <v>2431.5513000000001</v>
      </c>
      <c r="AA183" s="13">
        <v>26</v>
      </c>
      <c r="AB183" s="13">
        <v>26</v>
      </c>
      <c r="AC183" s="13">
        <v>0</v>
      </c>
      <c r="AD183" s="13">
        <v>2754.9378999999999</v>
      </c>
      <c r="AE183" s="13">
        <v>39.499899999999997</v>
      </c>
      <c r="AF183" s="13">
        <v>2715.4380000000001</v>
      </c>
      <c r="AG183" s="13">
        <v>40</v>
      </c>
      <c r="AH183" s="13">
        <v>40</v>
      </c>
      <c r="AI183" s="13">
        <v>0</v>
      </c>
      <c r="AJ183" s="13">
        <v>2799.6020000000003</v>
      </c>
      <c r="AK183" s="13">
        <v>71.821100000000001</v>
      </c>
      <c r="AL183" s="13">
        <v>2727.7809000000002</v>
      </c>
      <c r="AM183" s="13">
        <v>60</v>
      </c>
      <c r="AN183" s="13">
        <v>60</v>
      </c>
      <c r="AO183" s="13">
        <v>0</v>
      </c>
      <c r="AP183" s="13">
        <v>3133.3820999999998</v>
      </c>
      <c r="AQ183" s="13">
        <v>60</v>
      </c>
      <c r="AR183" s="13">
        <v>3073.3820999999998</v>
      </c>
      <c r="AS183" s="13">
        <v>86</v>
      </c>
      <c r="AT183" s="13">
        <v>86</v>
      </c>
      <c r="AU183" s="13">
        <v>0</v>
      </c>
      <c r="AV183" s="13">
        <v>4344.8786</v>
      </c>
      <c r="AW183" s="13">
        <v>123.60679999999999</v>
      </c>
      <c r="AX183" s="13">
        <v>4221.2718000000004</v>
      </c>
      <c r="AY183" s="13">
        <v>35</v>
      </c>
      <c r="AZ183" s="13">
        <v>35</v>
      </c>
      <c r="BA183" s="13">
        <v>0</v>
      </c>
      <c r="BB183" s="13">
        <v>1442.0906</v>
      </c>
      <c r="BC183" s="13">
        <v>35</v>
      </c>
      <c r="BD183" s="13">
        <v>1407.0906</v>
      </c>
      <c r="BE183" s="13">
        <v>45</v>
      </c>
      <c r="BF183" s="13">
        <v>45</v>
      </c>
      <c r="BG183" s="13">
        <v>0</v>
      </c>
      <c r="BH183" s="13">
        <v>2642.9874</v>
      </c>
      <c r="BI183" s="13">
        <v>63.321300000000001</v>
      </c>
      <c r="BJ183" s="13">
        <v>2579.6660999999999</v>
      </c>
      <c r="BK183" s="13">
        <v>37</v>
      </c>
      <c r="BL183" s="13">
        <v>37</v>
      </c>
      <c r="BM183" s="13">
        <v>0</v>
      </c>
      <c r="BN183" s="13">
        <v>3331.0111000000002</v>
      </c>
      <c r="BO183" s="13">
        <v>60.142600000000002</v>
      </c>
      <c r="BP183" s="13">
        <v>3270.8685</v>
      </c>
      <c r="BQ183" s="13">
        <v>43</v>
      </c>
      <c r="BR183" s="13">
        <v>43</v>
      </c>
      <c r="BS183" s="13">
        <v>0</v>
      </c>
      <c r="BT183" s="13">
        <v>2904.0454</v>
      </c>
      <c r="BU183" s="13">
        <v>65.178399999999996</v>
      </c>
      <c r="BV183" s="13">
        <v>2838.8670000000002</v>
      </c>
      <c r="BW183" s="13">
        <v>39</v>
      </c>
      <c r="BX183" s="13">
        <v>39</v>
      </c>
      <c r="BY183" s="13">
        <v>0</v>
      </c>
      <c r="BZ183" s="13">
        <v>3015.9528</v>
      </c>
      <c r="CA183" s="13">
        <v>65.999700000000004</v>
      </c>
      <c r="CB183" s="13">
        <v>2949.9531000000002</v>
      </c>
      <c r="CC183" s="13">
        <v>16</v>
      </c>
      <c r="CD183" s="13">
        <v>16</v>
      </c>
      <c r="CE183" s="13">
        <v>0</v>
      </c>
      <c r="CF183" s="13">
        <v>3293.6185</v>
      </c>
      <c r="CG183" s="13">
        <v>22.75</v>
      </c>
      <c r="CH183" s="13">
        <v>3270.8685</v>
      </c>
      <c r="CI183" s="13">
        <v>16</v>
      </c>
      <c r="CJ183" s="13">
        <v>16</v>
      </c>
      <c r="CK183" s="13">
        <v>0</v>
      </c>
      <c r="CL183" s="13">
        <v>3597.7548999999999</v>
      </c>
      <c r="CM183" s="13">
        <v>42.999700000000004</v>
      </c>
      <c r="CN183" s="13">
        <v>3554.7552000000001</v>
      </c>
      <c r="CO183" s="13">
        <v>22</v>
      </c>
      <c r="CP183" s="13">
        <v>22</v>
      </c>
      <c r="CQ183" s="13">
        <v>0</v>
      </c>
      <c r="CR183" s="13">
        <v>2488.8442</v>
      </c>
      <c r="CS183" s="13">
        <v>32.607100000000003</v>
      </c>
      <c r="CT183" s="13">
        <v>2456.2370999999998</v>
      </c>
      <c r="CU183" s="13">
        <f t="shared" si="20"/>
        <v>465</v>
      </c>
      <c r="CV183" s="13">
        <f t="shared" si="20"/>
        <v>465</v>
      </c>
      <c r="CW183" s="13">
        <f t="shared" si="20"/>
        <v>0</v>
      </c>
      <c r="CX183" s="13">
        <f t="shared" si="20"/>
        <v>35749.105499999998</v>
      </c>
      <c r="CY183" s="13">
        <f t="shared" si="20"/>
        <v>682.92660000000001</v>
      </c>
      <c r="CZ183" s="13">
        <f t="shared" si="20"/>
        <v>35066.178899999999</v>
      </c>
      <c r="DA183" s="13">
        <f t="shared" si="21"/>
        <v>54</v>
      </c>
      <c r="DB183" s="13">
        <f t="shared" si="21"/>
        <v>54</v>
      </c>
      <c r="DC183" s="13">
        <f t="shared" si="21"/>
        <v>0</v>
      </c>
      <c r="DD183" s="13">
        <f t="shared" si="21"/>
        <v>9380.2175999999999</v>
      </c>
      <c r="DE183" s="13">
        <f t="shared" si="21"/>
        <v>98.356800000000007</v>
      </c>
      <c r="DF183" s="13">
        <f t="shared" si="21"/>
        <v>9281.8608000000004</v>
      </c>
      <c r="DG183" s="13">
        <f t="shared" si="22"/>
        <v>119</v>
      </c>
      <c r="DH183" s="13">
        <f t="shared" si="22"/>
        <v>119</v>
      </c>
      <c r="DI183" s="13">
        <f t="shared" si="22"/>
        <v>0</v>
      </c>
      <c r="DJ183" s="13">
        <f t="shared" si="22"/>
        <v>9251.0093000000015</v>
      </c>
      <c r="DK183" s="13">
        <f t="shared" si="22"/>
        <v>191.32069999999999</v>
      </c>
      <c r="DL183" s="13">
        <f t="shared" si="22"/>
        <v>9059.6886000000013</v>
      </c>
      <c r="DM183" s="13">
        <f t="shared" si="23"/>
        <v>38</v>
      </c>
      <c r="DN183" s="13">
        <f t="shared" si="23"/>
        <v>38</v>
      </c>
      <c r="DO183" s="13">
        <f t="shared" si="23"/>
        <v>0</v>
      </c>
      <c r="DP183" s="13">
        <f t="shared" si="23"/>
        <v>6086.5990999999995</v>
      </c>
      <c r="DQ183" s="13">
        <f t="shared" si="23"/>
        <v>75.606800000000007</v>
      </c>
      <c r="DR183" s="13">
        <f t="shared" si="23"/>
        <v>6010.9922999999999</v>
      </c>
      <c r="DS183" s="14" t="s">
        <v>60</v>
      </c>
      <c r="DT183" s="14" t="s">
        <v>72</v>
      </c>
      <c r="DU183" s="14" t="s">
        <v>187</v>
      </c>
      <c r="DV183" s="14" t="s">
        <v>82</v>
      </c>
      <c r="DW183" s="14" t="s">
        <v>74</v>
      </c>
    </row>
    <row r="184" spans="2:127" x14ac:dyDescent="0.3">
      <c r="B184" s="11" t="s">
        <v>65</v>
      </c>
      <c r="C184" s="14">
        <v>5001341791</v>
      </c>
      <c r="D184" s="11" t="s">
        <v>633</v>
      </c>
      <c r="E184" s="11" t="s">
        <v>522</v>
      </c>
      <c r="F184" s="11" t="s">
        <v>634</v>
      </c>
      <c r="G184" s="11" t="s">
        <v>635</v>
      </c>
      <c r="H184" s="11" t="s">
        <v>239</v>
      </c>
      <c r="I184" s="11">
        <v>15222</v>
      </c>
      <c r="J184" s="11" t="s">
        <v>80</v>
      </c>
      <c r="K184" s="11"/>
      <c r="L184" s="11"/>
      <c r="M184" s="11"/>
      <c r="N184" s="11"/>
      <c r="O184" s="13">
        <v>485</v>
      </c>
      <c r="P184" s="13">
        <v>485</v>
      </c>
      <c r="Q184" s="13">
        <v>0</v>
      </c>
      <c r="R184" s="13">
        <v>45583.827299999997</v>
      </c>
      <c r="S184" s="13">
        <v>1211.1017999999999</v>
      </c>
      <c r="T184" s="13">
        <v>44372.7255</v>
      </c>
      <c r="U184" s="13">
        <v>25</v>
      </c>
      <c r="V184" s="13">
        <v>25</v>
      </c>
      <c r="W184" s="13">
        <v>0</v>
      </c>
      <c r="X184" s="13">
        <v>3239.7463000000002</v>
      </c>
      <c r="Y184" s="13">
        <v>79.963899999999995</v>
      </c>
      <c r="Z184" s="13">
        <v>3159.7824000000001</v>
      </c>
      <c r="AA184" s="13">
        <v>31</v>
      </c>
      <c r="AB184" s="13">
        <v>31</v>
      </c>
      <c r="AC184" s="13">
        <v>0</v>
      </c>
      <c r="AD184" s="13">
        <v>4271.7494999999999</v>
      </c>
      <c r="AE184" s="13">
        <v>124.5351</v>
      </c>
      <c r="AF184" s="13">
        <v>4147.2143999999998</v>
      </c>
      <c r="AG184" s="13">
        <v>24</v>
      </c>
      <c r="AH184" s="13">
        <v>24</v>
      </c>
      <c r="AI184" s="13">
        <v>0</v>
      </c>
      <c r="AJ184" s="13">
        <v>3041.2599</v>
      </c>
      <c r="AK184" s="13">
        <v>78.963899999999995</v>
      </c>
      <c r="AL184" s="13">
        <v>2962.2959999999998</v>
      </c>
      <c r="AM184" s="13">
        <v>24</v>
      </c>
      <c r="AN184" s="13">
        <v>24</v>
      </c>
      <c r="AO184" s="13">
        <v>0</v>
      </c>
      <c r="AP184" s="13">
        <v>2646.2871</v>
      </c>
      <c r="AQ184" s="13">
        <v>78.963899999999995</v>
      </c>
      <c r="AR184" s="13">
        <v>2567.3231999999998</v>
      </c>
      <c r="AS184" s="13">
        <v>48</v>
      </c>
      <c r="AT184" s="13">
        <v>48</v>
      </c>
      <c r="AU184" s="13">
        <v>0</v>
      </c>
      <c r="AV184" s="13">
        <v>4239.9566999999997</v>
      </c>
      <c r="AW184" s="13">
        <v>117.4281</v>
      </c>
      <c r="AX184" s="13">
        <v>4122.5285999999996</v>
      </c>
      <c r="AY184" s="13">
        <v>32</v>
      </c>
      <c r="AZ184" s="13">
        <v>32</v>
      </c>
      <c r="BA184" s="13">
        <v>0</v>
      </c>
      <c r="BB184" s="13">
        <v>3026.5026000000003</v>
      </c>
      <c r="BC184" s="13">
        <v>88.892400000000009</v>
      </c>
      <c r="BD184" s="13">
        <v>2937.6102000000001</v>
      </c>
      <c r="BE184" s="13">
        <v>24</v>
      </c>
      <c r="BF184" s="13">
        <v>24</v>
      </c>
      <c r="BG184" s="13">
        <v>0</v>
      </c>
      <c r="BH184" s="13">
        <v>2898.7380000000003</v>
      </c>
      <c r="BI184" s="13">
        <v>72.213899999999995</v>
      </c>
      <c r="BJ184" s="13">
        <v>2826.5241000000001</v>
      </c>
      <c r="BK184" s="13">
        <v>40</v>
      </c>
      <c r="BL184" s="13">
        <v>40</v>
      </c>
      <c r="BM184" s="13">
        <v>0</v>
      </c>
      <c r="BN184" s="13">
        <v>4177.7636000000002</v>
      </c>
      <c r="BO184" s="13">
        <v>104.6066</v>
      </c>
      <c r="BP184" s="13">
        <v>4073.1570000000002</v>
      </c>
      <c r="BQ184" s="13">
        <v>53</v>
      </c>
      <c r="BR184" s="13">
        <v>53</v>
      </c>
      <c r="BS184" s="13">
        <v>0</v>
      </c>
      <c r="BT184" s="13">
        <v>3273.3392000000003</v>
      </c>
      <c r="BU184" s="13">
        <v>101.2139</v>
      </c>
      <c r="BV184" s="13">
        <v>3172.1253000000002</v>
      </c>
      <c r="BW184" s="13">
        <v>54</v>
      </c>
      <c r="BX184" s="13">
        <v>54</v>
      </c>
      <c r="BY184" s="13">
        <v>0</v>
      </c>
      <c r="BZ184" s="13">
        <v>3167.8817999999997</v>
      </c>
      <c r="CA184" s="13">
        <v>94.49969999999999</v>
      </c>
      <c r="CB184" s="13">
        <v>3073.3820999999998</v>
      </c>
      <c r="CC184" s="13">
        <v>46</v>
      </c>
      <c r="CD184" s="13">
        <v>46</v>
      </c>
      <c r="CE184" s="13">
        <v>0</v>
      </c>
      <c r="CF184" s="13">
        <v>4080.9706000000001</v>
      </c>
      <c r="CG184" s="13">
        <v>94.213899999999995</v>
      </c>
      <c r="CH184" s="13">
        <v>3986.7566999999999</v>
      </c>
      <c r="CI184" s="13">
        <v>38</v>
      </c>
      <c r="CJ184" s="13">
        <v>38</v>
      </c>
      <c r="CK184" s="13">
        <v>0</v>
      </c>
      <c r="CL184" s="13">
        <v>3937.1987000000004</v>
      </c>
      <c r="CM184" s="13">
        <v>86.213899999999995</v>
      </c>
      <c r="CN184" s="13">
        <v>3850.9848000000002</v>
      </c>
      <c r="CO184" s="13">
        <v>46</v>
      </c>
      <c r="CP184" s="13">
        <v>46</v>
      </c>
      <c r="CQ184" s="13">
        <v>0</v>
      </c>
      <c r="CR184" s="13">
        <v>3582.4333000000001</v>
      </c>
      <c r="CS184" s="13">
        <v>89.392600000000002</v>
      </c>
      <c r="CT184" s="13">
        <v>3493.0407</v>
      </c>
      <c r="CU184" s="13">
        <f t="shared" si="20"/>
        <v>460</v>
      </c>
      <c r="CV184" s="13">
        <f t="shared" si="20"/>
        <v>460</v>
      </c>
      <c r="CW184" s="13">
        <f t="shared" si="20"/>
        <v>0</v>
      </c>
      <c r="CX184" s="13">
        <f t="shared" si="20"/>
        <v>42344.080999999998</v>
      </c>
      <c r="CY184" s="13">
        <f t="shared" si="20"/>
        <v>1131.1378999999997</v>
      </c>
      <c r="CZ184" s="13">
        <f t="shared" si="20"/>
        <v>41212.943099999989</v>
      </c>
      <c r="DA184" s="13">
        <f t="shared" si="21"/>
        <v>130</v>
      </c>
      <c r="DB184" s="13">
        <f t="shared" si="21"/>
        <v>130</v>
      </c>
      <c r="DC184" s="13">
        <f t="shared" si="21"/>
        <v>0</v>
      </c>
      <c r="DD184" s="13">
        <f t="shared" si="21"/>
        <v>11600.6026</v>
      </c>
      <c r="DE184" s="13">
        <f t="shared" si="21"/>
        <v>269.82040000000001</v>
      </c>
      <c r="DF184" s="13">
        <f t="shared" si="21"/>
        <v>11330.7822</v>
      </c>
      <c r="DG184" s="13">
        <f t="shared" si="22"/>
        <v>147</v>
      </c>
      <c r="DH184" s="13">
        <f t="shared" si="22"/>
        <v>147</v>
      </c>
      <c r="DI184" s="13">
        <f t="shared" si="22"/>
        <v>0</v>
      </c>
      <c r="DJ184" s="13">
        <f t="shared" si="22"/>
        <v>10618.9846</v>
      </c>
      <c r="DK184" s="13">
        <f t="shared" si="22"/>
        <v>300.3202</v>
      </c>
      <c r="DL184" s="13">
        <f t="shared" si="22"/>
        <v>10318.664400000001</v>
      </c>
      <c r="DM184" s="13">
        <f t="shared" si="23"/>
        <v>84</v>
      </c>
      <c r="DN184" s="13">
        <f t="shared" si="23"/>
        <v>84</v>
      </c>
      <c r="DO184" s="13">
        <f t="shared" si="23"/>
        <v>0</v>
      </c>
      <c r="DP184" s="13">
        <f t="shared" si="23"/>
        <v>7519.6320000000005</v>
      </c>
      <c r="DQ184" s="13">
        <f t="shared" si="23"/>
        <v>175.60649999999998</v>
      </c>
      <c r="DR184" s="13">
        <f t="shared" si="23"/>
        <v>7344.0254999999997</v>
      </c>
      <c r="DS184" s="14" t="s">
        <v>71</v>
      </c>
      <c r="DT184" s="14" t="s">
        <v>92</v>
      </c>
      <c r="DU184" s="14" t="s">
        <v>73</v>
      </c>
      <c r="DV184" s="14" t="s">
        <v>82</v>
      </c>
      <c r="DW184" s="14" t="s">
        <v>64</v>
      </c>
    </row>
    <row r="185" spans="2:127" x14ac:dyDescent="0.3">
      <c r="B185" s="11" t="s">
        <v>53</v>
      </c>
      <c r="C185" s="14">
        <v>5001341801</v>
      </c>
      <c r="D185" s="11" t="s">
        <v>636</v>
      </c>
      <c r="E185" s="11" t="s">
        <v>522</v>
      </c>
      <c r="F185" s="11" t="s">
        <v>637</v>
      </c>
      <c r="G185" s="11" t="s">
        <v>638</v>
      </c>
      <c r="H185" s="11" t="s">
        <v>58</v>
      </c>
      <c r="I185" s="11">
        <v>94305</v>
      </c>
      <c r="J185" s="11" t="s">
        <v>59</v>
      </c>
      <c r="K185" s="11"/>
      <c r="L185" s="11"/>
      <c r="M185" s="11"/>
      <c r="N185" s="11"/>
      <c r="O185" s="13">
        <v>163</v>
      </c>
      <c r="P185" s="13">
        <v>163</v>
      </c>
      <c r="Q185" s="13">
        <v>0</v>
      </c>
      <c r="R185" s="13">
        <v>54478.297500000001</v>
      </c>
      <c r="S185" s="13">
        <v>1946.9150999999999</v>
      </c>
      <c r="T185" s="13">
        <v>52531.382400000002</v>
      </c>
      <c r="U185" s="13">
        <v>9</v>
      </c>
      <c r="V185" s="13">
        <v>9</v>
      </c>
      <c r="W185" s="13">
        <v>0</v>
      </c>
      <c r="X185" s="13">
        <v>3335.7957999999999</v>
      </c>
      <c r="Y185" s="13">
        <v>126.6418</v>
      </c>
      <c r="Z185" s="13">
        <v>3209.154</v>
      </c>
      <c r="AA185" s="13">
        <v>35</v>
      </c>
      <c r="AB185" s="13">
        <v>35</v>
      </c>
      <c r="AC185" s="13">
        <v>0</v>
      </c>
      <c r="AD185" s="13">
        <v>4342.6705999999995</v>
      </c>
      <c r="AE185" s="13">
        <v>158.42750000000001</v>
      </c>
      <c r="AF185" s="13">
        <v>4184.2430999999997</v>
      </c>
      <c r="AG185" s="13">
        <v>23</v>
      </c>
      <c r="AH185" s="13">
        <v>23</v>
      </c>
      <c r="AI185" s="13">
        <v>0</v>
      </c>
      <c r="AJ185" s="13">
        <v>3336.1035000000002</v>
      </c>
      <c r="AK185" s="13">
        <v>114.6066</v>
      </c>
      <c r="AL185" s="13">
        <v>3221.4969000000001</v>
      </c>
      <c r="AM185" s="13">
        <v>13</v>
      </c>
      <c r="AN185" s="13">
        <v>13</v>
      </c>
      <c r="AO185" s="13">
        <v>0</v>
      </c>
      <c r="AP185" s="13">
        <v>3689.8325000000004</v>
      </c>
      <c r="AQ185" s="13">
        <v>172.10599999999999</v>
      </c>
      <c r="AR185" s="13">
        <v>3517.7265000000002</v>
      </c>
      <c r="AS185" s="13">
        <v>23</v>
      </c>
      <c r="AT185" s="13">
        <v>23</v>
      </c>
      <c r="AU185" s="13">
        <v>0</v>
      </c>
      <c r="AV185" s="13">
        <v>4344.5559000000003</v>
      </c>
      <c r="AW185" s="13">
        <v>184.99860000000001</v>
      </c>
      <c r="AX185" s="13">
        <v>4159.5573000000004</v>
      </c>
      <c r="AY185" s="13">
        <v>12</v>
      </c>
      <c r="AZ185" s="13">
        <v>12</v>
      </c>
      <c r="BA185" s="13">
        <v>0</v>
      </c>
      <c r="BB185" s="13">
        <v>3646.4040000000005</v>
      </c>
      <c r="BC185" s="13">
        <v>128.67750000000001</v>
      </c>
      <c r="BD185" s="13">
        <v>3517.7265000000002</v>
      </c>
      <c r="BE185" s="13">
        <v>6</v>
      </c>
      <c r="BF185" s="13">
        <v>6</v>
      </c>
      <c r="BG185" s="13">
        <v>0</v>
      </c>
      <c r="BH185" s="13">
        <v>4527.165</v>
      </c>
      <c r="BI185" s="13">
        <v>120.7497</v>
      </c>
      <c r="BJ185" s="13">
        <v>4406.4152999999997</v>
      </c>
      <c r="BK185" s="13">
        <v>12</v>
      </c>
      <c r="BL185" s="13">
        <v>12</v>
      </c>
      <c r="BM185" s="13">
        <v>0</v>
      </c>
      <c r="BN185" s="13">
        <v>4825.3434999999999</v>
      </c>
      <c r="BO185" s="13">
        <v>172.0702</v>
      </c>
      <c r="BP185" s="13">
        <v>4653.2732999999998</v>
      </c>
      <c r="BQ185" s="13">
        <v>6</v>
      </c>
      <c r="BR185" s="13">
        <v>6</v>
      </c>
      <c r="BS185" s="13">
        <v>0</v>
      </c>
      <c r="BT185" s="13">
        <v>3993.7186999999999</v>
      </c>
      <c r="BU185" s="13">
        <v>192.10550000000001</v>
      </c>
      <c r="BV185" s="13">
        <v>3801.6131999999998</v>
      </c>
      <c r="BW185" s="13">
        <v>6</v>
      </c>
      <c r="BX185" s="13">
        <v>6</v>
      </c>
      <c r="BY185" s="13">
        <v>0</v>
      </c>
      <c r="BZ185" s="13">
        <v>4466.4141999999993</v>
      </c>
      <c r="CA185" s="13">
        <v>121.71339999999999</v>
      </c>
      <c r="CB185" s="13">
        <v>4344.7007999999996</v>
      </c>
      <c r="CC185" s="13">
        <v>6</v>
      </c>
      <c r="CD185" s="13">
        <v>6</v>
      </c>
      <c r="CE185" s="13">
        <v>0</v>
      </c>
      <c r="CF185" s="13">
        <v>5620.6667000000007</v>
      </c>
      <c r="CG185" s="13">
        <v>226.8194</v>
      </c>
      <c r="CH185" s="13">
        <v>5393.8473000000004</v>
      </c>
      <c r="CI185" s="13">
        <v>6</v>
      </c>
      <c r="CJ185" s="13">
        <v>6</v>
      </c>
      <c r="CK185" s="13">
        <v>0</v>
      </c>
      <c r="CL185" s="13">
        <v>4226.4991</v>
      </c>
      <c r="CM185" s="13">
        <v>140.9992</v>
      </c>
      <c r="CN185" s="13">
        <v>4085.4998999999998</v>
      </c>
      <c r="CO185" s="13">
        <v>6</v>
      </c>
      <c r="CP185" s="13">
        <v>6</v>
      </c>
      <c r="CQ185" s="13">
        <v>0</v>
      </c>
      <c r="CR185" s="13">
        <v>4123.1279999999997</v>
      </c>
      <c r="CS185" s="13">
        <v>86.999700000000004</v>
      </c>
      <c r="CT185" s="13">
        <v>4036.1282999999999</v>
      </c>
      <c r="CU185" s="13">
        <f t="shared" si="20"/>
        <v>154</v>
      </c>
      <c r="CV185" s="13">
        <f t="shared" si="20"/>
        <v>154</v>
      </c>
      <c r="CW185" s="13">
        <f t="shared" si="20"/>
        <v>0</v>
      </c>
      <c r="CX185" s="13">
        <f t="shared" si="20"/>
        <v>51142.501700000001</v>
      </c>
      <c r="CY185" s="13">
        <f t="shared" si="20"/>
        <v>1820.2733000000001</v>
      </c>
      <c r="CZ185" s="13">
        <f t="shared" si="20"/>
        <v>49322.2284</v>
      </c>
      <c r="DA185" s="13">
        <f t="shared" si="21"/>
        <v>18</v>
      </c>
      <c r="DB185" s="13">
        <f t="shared" si="21"/>
        <v>18</v>
      </c>
      <c r="DC185" s="13">
        <f t="shared" si="21"/>
        <v>0</v>
      </c>
      <c r="DD185" s="13">
        <f t="shared" si="21"/>
        <v>13970.293799999999</v>
      </c>
      <c r="DE185" s="13">
        <f t="shared" si="21"/>
        <v>454.81830000000002</v>
      </c>
      <c r="DF185" s="13">
        <f t="shared" si="21"/>
        <v>13515.4755</v>
      </c>
      <c r="DG185" s="13">
        <f t="shared" si="22"/>
        <v>24</v>
      </c>
      <c r="DH185" s="13">
        <f t="shared" si="22"/>
        <v>24</v>
      </c>
      <c r="DI185" s="13">
        <f t="shared" si="22"/>
        <v>0</v>
      </c>
      <c r="DJ185" s="13">
        <f t="shared" si="22"/>
        <v>13285.4764</v>
      </c>
      <c r="DK185" s="13">
        <f t="shared" si="22"/>
        <v>485.88909999999998</v>
      </c>
      <c r="DL185" s="13">
        <f t="shared" si="22"/>
        <v>12799.587299999999</v>
      </c>
      <c r="DM185" s="13">
        <f t="shared" si="23"/>
        <v>12</v>
      </c>
      <c r="DN185" s="13">
        <f t="shared" si="23"/>
        <v>12</v>
      </c>
      <c r="DO185" s="13">
        <f t="shared" si="23"/>
        <v>0</v>
      </c>
      <c r="DP185" s="13">
        <f t="shared" si="23"/>
        <v>8349.6270999999997</v>
      </c>
      <c r="DQ185" s="13">
        <f t="shared" si="23"/>
        <v>227.99889999999999</v>
      </c>
      <c r="DR185" s="13">
        <f t="shared" si="23"/>
        <v>8121.6281999999992</v>
      </c>
      <c r="DS185" s="14" t="s">
        <v>60</v>
      </c>
      <c r="DT185" s="14" t="s">
        <v>81</v>
      </c>
      <c r="DU185" s="14" t="s">
        <v>254</v>
      </c>
      <c r="DV185" s="14" t="s">
        <v>82</v>
      </c>
      <c r="DW185" s="14" t="s">
        <v>64</v>
      </c>
    </row>
    <row r="186" spans="2:127" x14ac:dyDescent="0.3">
      <c r="B186" s="11" t="s">
        <v>75</v>
      </c>
      <c r="C186" s="14">
        <v>5001341804</v>
      </c>
      <c r="D186" s="11" t="s">
        <v>639</v>
      </c>
      <c r="E186" s="11" t="s">
        <v>522</v>
      </c>
      <c r="F186" s="11" t="s">
        <v>640</v>
      </c>
      <c r="G186" s="11" t="s">
        <v>119</v>
      </c>
      <c r="H186" s="11" t="s">
        <v>120</v>
      </c>
      <c r="I186" s="11">
        <v>37920</v>
      </c>
      <c r="J186" s="11" t="s">
        <v>80</v>
      </c>
      <c r="K186" s="11"/>
      <c r="L186" s="11"/>
      <c r="M186" s="11"/>
      <c r="N186" s="11"/>
      <c r="O186" s="13">
        <v>508</v>
      </c>
      <c r="P186" s="13">
        <v>508</v>
      </c>
      <c r="Q186" s="13">
        <v>0</v>
      </c>
      <c r="R186" s="13">
        <v>20220.5756</v>
      </c>
      <c r="S186" s="13">
        <v>508.96429999999998</v>
      </c>
      <c r="T186" s="13">
        <v>19711.6113</v>
      </c>
      <c r="U186" s="13">
        <v>70</v>
      </c>
      <c r="V186" s="13">
        <v>70</v>
      </c>
      <c r="W186" s="13">
        <v>0</v>
      </c>
      <c r="X186" s="13">
        <v>1464.7476999999999</v>
      </c>
      <c r="Y186" s="13">
        <v>70</v>
      </c>
      <c r="Z186" s="13">
        <v>1394.7476999999999</v>
      </c>
      <c r="AA186" s="13">
        <v>46</v>
      </c>
      <c r="AB186" s="13">
        <v>46</v>
      </c>
      <c r="AC186" s="13">
        <v>0</v>
      </c>
      <c r="AD186" s="13">
        <v>1601.2054000000001</v>
      </c>
      <c r="AE186" s="13">
        <v>46</v>
      </c>
      <c r="AF186" s="13">
        <v>1555.2054000000001</v>
      </c>
      <c r="AG186" s="13">
        <v>26</v>
      </c>
      <c r="AH186" s="13">
        <v>26</v>
      </c>
      <c r="AI186" s="13">
        <v>0</v>
      </c>
      <c r="AJ186" s="13">
        <v>1322.0045</v>
      </c>
      <c r="AK186" s="13">
        <v>26</v>
      </c>
      <c r="AL186" s="13">
        <v>1296.0045</v>
      </c>
      <c r="AM186" s="13">
        <v>57</v>
      </c>
      <c r="AN186" s="13">
        <v>57</v>
      </c>
      <c r="AO186" s="13">
        <v>0</v>
      </c>
      <c r="AP186" s="13">
        <v>1353.0045</v>
      </c>
      <c r="AQ186" s="13">
        <v>57</v>
      </c>
      <c r="AR186" s="13">
        <v>1296.0045</v>
      </c>
      <c r="AS186" s="13">
        <v>59</v>
      </c>
      <c r="AT186" s="13">
        <v>59</v>
      </c>
      <c r="AU186" s="13">
        <v>0</v>
      </c>
      <c r="AV186" s="13">
        <v>1972.1495</v>
      </c>
      <c r="AW186" s="13">
        <v>59</v>
      </c>
      <c r="AX186" s="13">
        <v>1913.1495</v>
      </c>
      <c r="AY186" s="13">
        <v>35</v>
      </c>
      <c r="AZ186" s="13">
        <v>35</v>
      </c>
      <c r="BA186" s="13">
        <v>0</v>
      </c>
      <c r="BB186" s="13">
        <v>1393.6833000000001</v>
      </c>
      <c r="BC186" s="13">
        <v>35.964300000000001</v>
      </c>
      <c r="BD186" s="13">
        <v>1357.7190000000001</v>
      </c>
      <c r="BE186" s="13">
        <v>31</v>
      </c>
      <c r="BF186" s="13">
        <v>31</v>
      </c>
      <c r="BG186" s="13">
        <v>0</v>
      </c>
      <c r="BH186" s="13">
        <v>1512.1479999999999</v>
      </c>
      <c r="BI186" s="13">
        <v>31</v>
      </c>
      <c r="BJ186" s="13">
        <v>1481.1479999999999</v>
      </c>
      <c r="BK186" s="13">
        <v>40</v>
      </c>
      <c r="BL186" s="13">
        <v>40</v>
      </c>
      <c r="BM186" s="13">
        <v>0</v>
      </c>
      <c r="BN186" s="13">
        <v>1792.6918000000001</v>
      </c>
      <c r="BO186" s="13">
        <v>40</v>
      </c>
      <c r="BP186" s="13">
        <v>1752.6918000000001</v>
      </c>
      <c r="BQ186" s="13">
        <v>26</v>
      </c>
      <c r="BR186" s="13">
        <v>26</v>
      </c>
      <c r="BS186" s="13">
        <v>0</v>
      </c>
      <c r="BT186" s="13">
        <v>1544.1767</v>
      </c>
      <c r="BU186" s="13">
        <v>26</v>
      </c>
      <c r="BV186" s="13">
        <v>1518.1767</v>
      </c>
      <c r="BW186" s="13">
        <v>18</v>
      </c>
      <c r="BX186" s="13">
        <v>18</v>
      </c>
      <c r="BY186" s="13">
        <v>0</v>
      </c>
      <c r="BZ186" s="13">
        <v>1610.2340999999999</v>
      </c>
      <c r="CA186" s="13">
        <v>18</v>
      </c>
      <c r="CB186" s="13">
        <v>1592.2340999999999</v>
      </c>
      <c r="CC186" s="13">
        <v>13</v>
      </c>
      <c r="CD186" s="13">
        <v>13</v>
      </c>
      <c r="CE186" s="13">
        <v>0</v>
      </c>
      <c r="CF186" s="13">
        <v>1926.1495</v>
      </c>
      <c r="CG186" s="13">
        <v>13</v>
      </c>
      <c r="CH186" s="13">
        <v>1913.1495</v>
      </c>
      <c r="CI186" s="13">
        <v>63</v>
      </c>
      <c r="CJ186" s="13">
        <v>63</v>
      </c>
      <c r="CK186" s="13">
        <v>0</v>
      </c>
      <c r="CL186" s="13">
        <v>1346.6615999999999</v>
      </c>
      <c r="CM186" s="13">
        <v>63</v>
      </c>
      <c r="CN186" s="13">
        <v>1283.6615999999999</v>
      </c>
      <c r="CO186" s="13">
        <v>24</v>
      </c>
      <c r="CP186" s="13">
        <v>24</v>
      </c>
      <c r="CQ186" s="13">
        <v>0</v>
      </c>
      <c r="CR186" s="13">
        <v>1381.7190000000001</v>
      </c>
      <c r="CS186" s="13">
        <v>24</v>
      </c>
      <c r="CT186" s="13">
        <v>1357.7190000000001</v>
      </c>
      <c r="CU186" s="13">
        <f t="shared" si="20"/>
        <v>438</v>
      </c>
      <c r="CV186" s="13">
        <f t="shared" si="20"/>
        <v>438</v>
      </c>
      <c r="CW186" s="13">
        <f t="shared" si="20"/>
        <v>0</v>
      </c>
      <c r="CX186" s="13">
        <f t="shared" si="20"/>
        <v>18755.8279</v>
      </c>
      <c r="CY186" s="13">
        <f t="shared" si="20"/>
        <v>438.96429999999998</v>
      </c>
      <c r="CZ186" s="13">
        <f t="shared" si="20"/>
        <v>18316.863600000001</v>
      </c>
      <c r="DA186" s="13">
        <f t="shared" si="21"/>
        <v>100</v>
      </c>
      <c r="DB186" s="13">
        <f t="shared" si="21"/>
        <v>100</v>
      </c>
      <c r="DC186" s="13">
        <f t="shared" si="21"/>
        <v>0</v>
      </c>
      <c r="DD186" s="13">
        <f t="shared" si="21"/>
        <v>4654.5300999999999</v>
      </c>
      <c r="DE186" s="13">
        <f t="shared" si="21"/>
        <v>100</v>
      </c>
      <c r="DF186" s="13">
        <f t="shared" si="21"/>
        <v>4554.5300999999999</v>
      </c>
      <c r="DG186" s="13">
        <f t="shared" si="22"/>
        <v>84</v>
      </c>
      <c r="DH186" s="13">
        <f t="shared" si="22"/>
        <v>84</v>
      </c>
      <c r="DI186" s="13">
        <f t="shared" si="22"/>
        <v>0</v>
      </c>
      <c r="DJ186" s="13">
        <f t="shared" si="22"/>
        <v>4947.1026000000002</v>
      </c>
      <c r="DK186" s="13">
        <f t="shared" si="22"/>
        <v>84</v>
      </c>
      <c r="DL186" s="13">
        <f t="shared" si="22"/>
        <v>4863.1026000000002</v>
      </c>
      <c r="DM186" s="13">
        <f t="shared" si="23"/>
        <v>87</v>
      </c>
      <c r="DN186" s="13">
        <f t="shared" si="23"/>
        <v>87</v>
      </c>
      <c r="DO186" s="13">
        <f t="shared" si="23"/>
        <v>0</v>
      </c>
      <c r="DP186" s="13">
        <f t="shared" si="23"/>
        <v>2728.3806</v>
      </c>
      <c r="DQ186" s="13">
        <f t="shared" si="23"/>
        <v>87</v>
      </c>
      <c r="DR186" s="13">
        <f t="shared" si="23"/>
        <v>2641.3806</v>
      </c>
      <c r="DS186" s="14" t="s">
        <v>71</v>
      </c>
      <c r="DT186" s="14" t="s">
        <v>81</v>
      </c>
      <c r="DU186" s="14" t="s">
        <v>73</v>
      </c>
      <c r="DV186" s="14" t="s">
        <v>82</v>
      </c>
      <c r="DW186" s="14" t="s">
        <v>74</v>
      </c>
    </row>
    <row r="187" spans="2:127" x14ac:dyDescent="0.3">
      <c r="B187" s="11" t="s">
        <v>65</v>
      </c>
      <c r="C187" s="14">
        <v>5001341807</v>
      </c>
      <c r="D187" s="11" t="s">
        <v>641</v>
      </c>
      <c r="E187" s="11" t="s">
        <v>522</v>
      </c>
      <c r="F187" s="11" t="s">
        <v>569</v>
      </c>
      <c r="G187" s="11" t="s">
        <v>642</v>
      </c>
      <c r="H187" s="11" t="s">
        <v>643</v>
      </c>
      <c r="I187" s="11">
        <v>26506</v>
      </c>
      <c r="J187" s="11" t="s">
        <v>80</v>
      </c>
      <c r="K187" s="11"/>
      <c r="L187" s="11"/>
      <c r="M187" s="11"/>
      <c r="N187" s="11"/>
      <c r="O187" s="13">
        <v>27</v>
      </c>
      <c r="P187" s="13">
        <v>27</v>
      </c>
      <c r="Q187" s="13">
        <v>0</v>
      </c>
      <c r="R187" s="13">
        <v>39646.149700000002</v>
      </c>
      <c r="S187" s="13">
        <v>1407.8454999999999</v>
      </c>
      <c r="T187" s="13">
        <v>38238.304199999999</v>
      </c>
      <c r="U187" s="13">
        <v>18</v>
      </c>
      <c r="V187" s="13">
        <v>18</v>
      </c>
      <c r="W187" s="13">
        <v>0</v>
      </c>
      <c r="X187" s="13">
        <v>2857.8305</v>
      </c>
      <c r="Y187" s="13">
        <v>80.677999999999997</v>
      </c>
      <c r="Z187" s="13">
        <v>2777.1525000000001</v>
      </c>
      <c r="AA187" s="13">
        <v>9</v>
      </c>
      <c r="AB187" s="13">
        <v>9</v>
      </c>
      <c r="AC187" s="13">
        <v>0</v>
      </c>
      <c r="AD187" s="13">
        <v>3389.0245999999997</v>
      </c>
      <c r="AE187" s="13">
        <v>130.499</v>
      </c>
      <c r="AF187" s="13">
        <v>3258.5255999999999</v>
      </c>
      <c r="AG187" s="13">
        <v>0</v>
      </c>
      <c r="AH187" s="13">
        <v>0</v>
      </c>
      <c r="AI187" s="13">
        <v>0</v>
      </c>
      <c r="AJ187" s="13">
        <v>2613.8006</v>
      </c>
      <c r="AK187" s="13">
        <v>120.5348</v>
      </c>
      <c r="AL187" s="13">
        <v>2493.2658000000001</v>
      </c>
      <c r="AM187" s="13">
        <v>0</v>
      </c>
      <c r="AN187" s="13">
        <v>0</v>
      </c>
      <c r="AO187" s="13">
        <v>0</v>
      </c>
      <c r="AP187" s="13">
        <v>2558.4504999999999</v>
      </c>
      <c r="AQ187" s="13">
        <v>102.21339999999999</v>
      </c>
      <c r="AR187" s="13">
        <v>2456.2370999999998</v>
      </c>
      <c r="AS187" s="13">
        <v>0</v>
      </c>
      <c r="AT187" s="13">
        <v>0</v>
      </c>
      <c r="AU187" s="13">
        <v>0</v>
      </c>
      <c r="AV187" s="13">
        <v>3524.8604</v>
      </c>
      <c r="AW187" s="13">
        <v>155.24870000000001</v>
      </c>
      <c r="AX187" s="13">
        <v>3369.6116999999999</v>
      </c>
      <c r="AY187" s="13">
        <v>0</v>
      </c>
      <c r="AZ187" s="13">
        <v>0</v>
      </c>
      <c r="BA187" s="13">
        <v>0</v>
      </c>
      <c r="BB187" s="13">
        <v>2425.9569999999999</v>
      </c>
      <c r="BC187" s="13">
        <v>130.17760000000001</v>
      </c>
      <c r="BD187" s="13">
        <v>2295.7793999999999</v>
      </c>
      <c r="BE187" s="13">
        <v>0</v>
      </c>
      <c r="BF187" s="13">
        <v>0</v>
      </c>
      <c r="BG187" s="13">
        <v>0</v>
      </c>
      <c r="BH187" s="13">
        <v>2635.4007999999999</v>
      </c>
      <c r="BI187" s="13">
        <v>105.1063</v>
      </c>
      <c r="BJ187" s="13">
        <v>2530.2945</v>
      </c>
      <c r="BK187" s="13">
        <v>0</v>
      </c>
      <c r="BL187" s="13">
        <v>0</v>
      </c>
      <c r="BM187" s="13">
        <v>0</v>
      </c>
      <c r="BN187" s="13">
        <v>3772.4905999999996</v>
      </c>
      <c r="BO187" s="13">
        <v>81.963499999999996</v>
      </c>
      <c r="BP187" s="13">
        <v>3690.5270999999998</v>
      </c>
      <c r="BQ187" s="13">
        <v>0</v>
      </c>
      <c r="BR187" s="13">
        <v>0</v>
      </c>
      <c r="BS187" s="13">
        <v>0</v>
      </c>
      <c r="BT187" s="13">
        <v>3146.2818000000002</v>
      </c>
      <c r="BU187" s="13">
        <v>48.213900000000002</v>
      </c>
      <c r="BV187" s="13">
        <v>3098.0679</v>
      </c>
      <c r="BW187" s="13">
        <v>0</v>
      </c>
      <c r="BX187" s="13">
        <v>0</v>
      </c>
      <c r="BY187" s="13">
        <v>0</v>
      </c>
      <c r="BZ187" s="13">
        <v>2794.8941</v>
      </c>
      <c r="CA187" s="13">
        <v>104.14190000000001</v>
      </c>
      <c r="CB187" s="13">
        <v>2690.7521999999999</v>
      </c>
      <c r="CC187" s="13">
        <v>0</v>
      </c>
      <c r="CD187" s="13">
        <v>0</v>
      </c>
      <c r="CE187" s="13">
        <v>0</v>
      </c>
      <c r="CF187" s="13">
        <v>3690.9110000000001</v>
      </c>
      <c r="CG187" s="13">
        <v>148.49870000000001</v>
      </c>
      <c r="CH187" s="13">
        <v>3542.4123</v>
      </c>
      <c r="CI187" s="13">
        <v>0</v>
      </c>
      <c r="CJ187" s="13">
        <v>0</v>
      </c>
      <c r="CK187" s="13">
        <v>0</v>
      </c>
      <c r="CL187" s="13">
        <v>3088.4236000000001</v>
      </c>
      <c r="CM187" s="13">
        <v>113.7847</v>
      </c>
      <c r="CN187" s="13">
        <v>2974.6388999999999</v>
      </c>
      <c r="CO187" s="13">
        <v>0</v>
      </c>
      <c r="CP187" s="13">
        <v>0</v>
      </c>
      <c r="CQ187" s="13">
        <v>0</v>
      </c>
      <c r="CR187" s="13">
        <v>3147.8242</v>
      </c>
      <c r="CS187" s="13">
        <v>86.784999999999997</v>
      </c>
      <c r="CT187" s="13">
        <v>3061.0392000000002</v>
      </c>
      <c r="CU187" s="13">
        <f t="shared" si="20"/>
        <v>9</v>
      </c>
      <c r="CV187" s="13">
        <f t="shared" si="20"/>
        <v>9</v>
      </c>
      <c r="CW187" s="13">
        <f t="shared" si="20"/>
        <v>0</v>
      </c>
      <c r="CX187" s="13">
        <f t="shared" si="20"/>
        <v>36788.319200000005</v>
      </c>
      <c r="CY187" s="13">
        <f t="shared" si="20"/>
        <v>1327.1675</v>
      </c>
      <c r="CZ187" s="13">
        <f t="shared" si="20"/>
        <v>35461.151699999995</v>
      </c>
      <c r="DA187" s="13">
        <f t="shared" si="21"/>
        <v>0</v>
      </c>
      <c r="DB187" s="13">
        <f t="shared" si="21"/>
        <v>0</v>
      </c>
      <c r="DC187" s="13">
        <f t="shared" si="21"/>
        <v>0</v>
      </c>
      <c r="DD187" s="13">
        <f t="shared" si="21"/>
        <v>9927.1588000000011</v>
      </c>
      <c r="DE187" s="13">
        <f t="shared" si="21"/>
        <v>349.0684</v>
      </c>
      <c r="DF187" s="13">
        <f t="shared" si="21"/>
        <v>9578.090400000001</v>
      </c>
      <c r="DG187" s="13">
        <f t="shared" si="22"/>
        <v>0</v>
      </c>
      <c r="DH187" s="13">
        <f t="shared" si="22"/>
        <v>0</v>
      </c>
      <c r="DI187" s="13">
        <f t="shared" si="22"/>
        <v>0</v>
      </c>
      <c r="DJ187" s="13">
        <f t="shared" si="22"/>
        <v>9713.6664999999994</v>
      </c>
      <c r="DK187" s="13">
        <f t="shared" si="22"/>
        <v>234.3193</v>
      </c>
      <c r="DL187" s="13">
        <f t="shared" si="22"/>
        <v>9479.3472000000002</v>
      </c>
      <c r="DM187" s="13">
        <f t="shared" si="23"/>
        <v>0</v>
      </c>
      <c r="DN187" s="13">
        <f t="shared" si="23"/>
        <v>0</v>
      </c>
      <c r="DO187" s="13">
        <f t="shared" si="23"/>
        <v>0</v>
      </c>
      <c r="DP187" s="13">
        <f t="shared" si="23"/>
        <v>6236.2478000000001</v>
      </c>
      <c r="DQ187" s="13">
        <f t="shared" si="23"/>
        <v>200.56970000000001</v>
      </c>
      <c r="DR187" s="13">
        <f t="shared" si="23"/>
        <v>6035.6781000000001</v>
      </c>
      <c r="DS187" s="14" t="s">
        <v>60</v>
      </c>
      <c r="DT187" s="14" t="s">
        <v>81</v>
      </c>
      <c r="DU187" s="14" t="s">
        <v>73</v>
      </c>
      <c r="DV187" s="14" t="s">
        <v>82</v>
      </c>
      <c r="DW187" s="14" t="s">
        <v>74</v>
      </c>
    </row>
    <row r="188" spans="2:127" x14ac:dyDescent="0.3">
      <c r="B188" s="11" t="s">
        <v>53</v>
      </c>
      <c r="C188" s="14">
        <v>5001341822</v>
      </c>
      <c r="D188" s="11" t="s">
        <v>644</v>
      </c>
      <c r="E188" s="11" t="s">
        <v>522</v>
      </c>
      <c r="F188" s="11" t="s">
        <v>645</v>
      </c>
      <c r="G188" s="11" t="s">
        <v>646</v>
      </c>
      <c r="H188" s="11" t="s">
        <v>647</v>
      </c>
      <c r="I188" s="11">
        <v>83712</v>
      </c>
      <c r="J188" s="11" t="s">
        <v>80</v>
      </c>
      <c r="K188" s="11"/>
      <c r="L188" s="11"/>
      <c r="M188" s="11"/>
      <c r="N188" s="11"/>
      <c r="O188" s="13">
        <v>-10</v>
      </c>
      <c r="P188" s="13">
        <v>-10</v>
      </c>
      <c r="Q188" s="13">
        <v>0</v>
      </c>
      <c r="R188" s="13">
        <v>28428.038499999999</v>
      </c>
      <c r="S188" s="13">
        <v>298.56939999999997</v>
      </c>
      <c r="T188" s="13">
        <v>28129.469099999998</v>
      </c>
      <c r="U188" s="13">
        <v>0</v>
      </c>
      <c r="V188" s="13">
        <v>0</v>
      </c>
      <c r="W188" s="13">
        <v>0</v>
      </c>
      <c r="X188" s="13">
        <v>2497.5083999999997</v>
      </c>
      <c r="Y188" s="13">
        <v>28.9284</v>
      </c>
      <c r="Z188" s="13">
        <v>2468.58</v>
      </c>
      <c r="AA188" s="13">
        <v>0</v>
      </c>
      <c r="AB188" s="13">
        <v>0</v>
      </c>
      <c r="AC188" s="13">
        <v>0</v>
      </c>
      <c r="AD188" s="13">
        <v>2893.2527</v>
      </c>
      <c r="AE188" s="13">
        <v>17.356999999999999</v>
      </c>
      <c r="AF188" s="13">
        <v>2875.8957</v>
      </c>
      <c r="AG188" s="13">
        <v>0</v>
      </c>
      <c r="AH188" s="13">
        <v>0</v>
      </c>
      <c r="AI188" s="13">
        <v>0</v>
      </c>
      <c r="AJ188" s="13">
        <v>2572.3373000000001</v>
      </c>
      <c r="AK188" s="13">
        <v>17.356999999999999</v>
      </c>
      <c r="AL188" s="13">
        <v>2554.9803000000002</v>
      </c>
      <c r="AM188" s="13">
        <v>0</v>
      </c>
      <c r="AN188" s="13">
        <v>0</v>
      </c>
      <c r="AO188" s="13">
        <v>0</v>
      </c>
      <c r="AP188" s="13">
        <v>2548.8085999999998</v>
      </c>
      <c r="AQ188" s="13">
        <v>30.856999999999999</v>
      </c>
      <c r="AR188" s="13">
        <v>2517.9515999999999</v>
      </c>
      <c r="AS188" s="13">
        <v>0</v>
      </c>
      <c r="AT188" s="13">
        <v>0</v>
      </c>
      <c r="AU188" s="13">
        <v>0</v>
      </c>
      <c r="AV188" s="13">
        <v>3132.5893000000001</v>
      </c>
      <c r="AW188" s="13">
        <v>22.1785</v>
      </c>
      <c r="AX188" s="13">
        <v>3110.4108000000001</v>
      </c>
      <c r="AY188" s="13">
        <v>-11</v>
      </c>
      <c r="AZ188" s="13">
        <v>-11</v>
      </c>
      <c r="BA188" s="13">
        <v>0</v>
      </c>
      <c r="BB188" s="13">
        <v>2680.1376</v>
      </c>
      <c r="BC188" s="13">
        <v>14.071200000000001</v>
      </c>
      <c r="BD188" s="13">
        <v>2666.0664000000002</v>
      </c>
      <c r="BE188" s="13">
        <v>0</v>
      </c>
      <c r="BF188" s="13">
        <v>0</v>
      </c>
      <c r="BG188" s="13">
        <v>0</v>
      </c>
      <c r="BH188" s="13">
        <v>2276.1077</v>
      </c>
      <c r="BI188" s="13">
        <v>17.356999999999999</v>
      </c>
      <c r="BJ188" s="13">
        <v>2258.7507000000001</v>
      </c>
      <c r="BK188" s="13">
        <v>14</v>
      </c>
      <c r="BL188" s="13">
        <v>14</v>
      </c>
      <c r="BM188" s="13">
        <v>0</v>
      </c>
      <c r="BN188" s="13">
        <v>3492.5758999999998</v>
      </c>
      <c r="BO188" s="13">
        <v>61.249699999999997</v>
      </c>
      <c r="BP188" s="13">
        <v>3431.3262</v>
      </c>
      <c r="BQ188" s="13">
        <v>-13</v>
      </c>
      <c r="BR188" s="13">
        <v>-13</v>
      </c>
      <c r="BS188" s="13">
        <v>0</v>
      </c>
      <c r="BT188" s="13">
        <v>2530.0227999999997</v>
      </c>
      <c r="BU188" s="13">
        <v>12.071200000000001</v>
      </c>
      <c r="BV188" s="13">
        <v>2517.9515999999999</v>
      </c>
      <c r="BW188" s="13">
        <v>0</v>
      </c>
      <c r="BX188" s="13">
        <v>0</v>
      </c>
      <c r="BY188" s="13">
        <v>0</v>
      </c>
      <c r="BZ188" s="13">
        <v>2620.5520000000001</v>
      </c>
      <c r="CA188" s="13">
        <v>3.8572000000000002</v>
      </c>
      <c r="CB188" s="13">
        <v>2616.6948000000002</v>
      </c>
      <c r="CC188" s="13">
        <v>0</v>
      </c>
      <c r="CD188" s="13">
        <v>0</v>
      </c>
      <c r="CE188" s="13">
        <v>0</v>
      </c>
      <c r="CF188" s="13">
        <v>1042.2030999999999</v>
      </c>
      <c r="CG188" s="13">
        <v>42.428199999999997</v>
      </c>
      <c r="CH188" s="13">
        <v>999.7749</v>
      </c>
      <c r="CI188" s="13">
        <v>0</v>
      </c>
      <c r="CJ188" s="13">
        <v>0</v>
      </c>
      <c r="CK188" s="13">
        <v>0</v>
      </c>
      <c r="CL188" s="13">
        <v>84.857300000000009</v>
      </c>
      <c r="CM188" s="13">
        <v>23.142800000000001</v>
      </c>
      <c r="CN188" s="13">
        <v>61.714500000000001</v>
      </c>
      <c r="CO188" s="13">
        <v>0</v>
      </c>
      <c r="CP188" s="13">
        <v>0</v>
      </c>
      <c r="CQ188" s="13">
        <v>0</v>
      </c>
      <c r="CR188" s="13">
        <v>57.085799999999999</v>
      </c>
      <c r="CS188" s="13">
        <v>7.7141999999999999</v>
      </c>
      <c r="CT188" s="13">
        <v>49.371600000000001</v>
      </c>
      <c r="CU188" s="13">
        <f t="shared" si="20"/>
        <v>-10</v>
      </c>
      <c r="CV188" s="13">
        <f t="shared" si="20"/>
        <v>-10</v>
      </c>
      <c r="CW188" s="13">
        <f t="shared" si="20"/>
        <v>0</v>
      </c>
      <c r="CX188" s="13">
        <f t="shared" si="20"/>
        <v>25930.530099999996</v>
      </c>
      <c r="CY188" s="13">
        <f t="shared" si="20"/>
        <v>269.64100000000002</v>
      </c>
      <c r="CZ188" s="13">
        <f t="shared" si="20"/>
        <v>25660.8891</v>
      </c>
      <c r="DA188" s="13">
        <f t="shared" si="21"/>
        <v>0</v>
      </c>
      <c r="DB188" s="13">
        <f t="shared" si="21"/>
        <v>0</v>
      </c>
      <c r="DC188" s="13">
        <f t="shared" si="21"/>
        <v>0</v>
      </c>
      <c r="DD188" s="13">
        <f t="shared" si="21"/>
        <v>1184.1461999999999</v>
      </c>
      <c r="DE188" s="13">
        <f t="shared" si="21"/>
        <v>73.285200000000003</v>
      </c>
      <c r="DF188" s="13">
        <f t="shared" si="21"/>
        <v>1110.8609999999999</v>
      </c>
      <c r="DG188" s="13">
        <f t="shared" si="22"/>
        <v>1</v>
      </c>
      <c r="DH188" s="13">
        <f t="shared" si="22"/>
        <v>1</v>
      </c>
      <c r="DI188" s="13">
        <f t="shared" si="22"/>
        <v>0</v>
      </c>
      <c r="DJ188" s="13">
        <f t="shared" si="22"/>
        <v>8643.1507000000001</v>
      </c>
      <c r="DK188" s="13">
        <f t="shared" si="22"/>
        <v>77.178100000000001</v>
      </c>
      <c r="DL188" s="13">
        <f t="shared" si="22"/>
        <v>8565.972600000001</v>
      </c>
      <c r="DM188" s="13">
        <f t="shared" si="23"/>
        <v>0</v>
      </c>
      <c r="DN188" s="13">
        <f t="shared" si="23"/>
        <v>0</v>
      </c>
      <c r="DO188" s="13">
        <f t="shared" si="23"/>
        <v>0</v>
      </c>
      <c r="DP188" s="13">
        <f t="shared" si="23"/>
        <v>141.94310000000002</v>
      </c>
      <c r="DQ188" s="13">
        <f t="shared" si="23"/>
        <v>30.856999999999999</v>
      </c>
      <c r="DR188" s="13">
        <f t="shared" si="23"/>
        <v>111.0861</v>
      </c>
      <c r="DS188" s="14" t="s">
        <v>71</v>
      </c>
      <c r="DT188" s="14" t="s">
        <v>81</v>
      </c>
      <c r="DU188" s="14" t="s">
        <v>73</v>
      </c>
      <c r="DV188" s="14" t="s">
        <v>82</v>
      </c>
      <c r="DW188" s="14" t="s">
        <v>74</v>
      </c>
    </row>
    <row r="189" spans="2:127" x14ac:dyDescent="0.3">
      <c r="B189" s="11" t="s">
        <v>65</v>
      </c>
      <c r="C189" s="14">
        <v>5001341826</v>
      </c>
      <c r="D189" s="11" t="s">
        <v>648</v>
      </c>
      <c r="E189" s="11" t="s">
        <v>522</v>
      </c>
      <c r="F189" s="11" t="s">
        <v>649</v>
      </c>
      <c r="G189" s="11" t="s">
        <v>308</v>
      </c>
      <c r="H189" s="11" t="s">
        <v>206</v>
      </c>
      <c r="I189" s="11">
        <v>14642</v>
      </c>
      <c r="J189" s="11" t="s">
        <v>80</v>
      </c>
      <c r="K189" s="11"/>
      <c r="L189" s="11"/>
      <c r="M189" s="11"/>
      <c r="N189" s="11"/>
      <c r="O189" s="13">
        <v>1990</v>
      </c>
      <c r="P189" s="13">
        <v>1974</v>
      </c>
      <c r="Q189" s="13">
        <v>16</v>
      </c>
      <c r="R189" s="13">
        <v>55337.743999999999</v>
      </c>
      <c r="S189" s="13">
        <v>2457.1032999999998</v>
      </c>
      <c r="T189" s="13">
        <v>52880.640700000004</v>
      </c>
      <c r="U189" s="13">
        <v>244</v>
      </c>
      <c r="V189" s="13">
        <v>244</v>
      </c>
      <c r="W189" s="13">
        <v>0</v>
      </c>
      <c r="X189" s="13">
        <v>3612.8400999999999</v>
      </c>
      <c r="Y189" s="13">
        <v>255.57130000000001</v>
      </c>
      <c r="Z189" s="13">
        <v>3357.2687999999998</v>
      </c>
      <c r="AA189" s="13">
        <v>247</v>
      </c>
      <c r="AB189" s="13">
        <v>247</v>
      </c>
      <c r="AC189" s="13">
        <v>0</v>
      </c>
      <c r="AD189" s="13">
        <v>4397.4926999999998</v>
      </c>
      <c r="AE189" s="13">
        <v>274.96409999999997</v>
      </c>
      <c r="AF189" s="13">
        <v>4122.5285999999996</v>
      </c>
      <c r="AG189" s="13">
        <v>194</v>
      </c>
      <c r="AH189" s="13">
        <v>194</v>
      </c>
      <c r="AI189" s="13">
        <v>0</v>
      </c>
      <c r="AJ189" s="13">
        <v>4037.0771999999997</v>
      </c>
      <c r="AK189" s="13">
        <v>235.464</v>
      </c>
      <c r="AL189" s="13">
        <v>3801.6131999999998</v>
      </c>
      <c r="AM189" s="13">
        <v>220</v>
      </c>
      <c r="AN189" s="13">
        <v>220</v>
      </c>
      <c r="AO189" s="13">
        <v>0</v>
      </c>
      <c r="AP189" s="13">
        <v>3630.6903000000002</v>
      </c>
      <c r="AQ189" s="13">
        <v>236.39279999999999</v>
      </c>
      <c r="AR189" s="13">
        <v>3394.2975000000001</v>
      </c>
      <c r="AS189" s="13">
        <v>142</v>
      </c>
      <c r="AT189" s="13">
        <v>142</v>
      </c>
      <c r="AU189" s="13">
        <v>0</v>
      </c>
      <c r="AV189" s="13">
        <v>5618.1971000000003</v>
      </c>
      <c r="AW189" s="13">
        <v>187.3211</v>
      </c>
      <c r="AX189" s="13">
        <v>5430.8760000000002</v>
      </c>
      <c r="AY189" s="13">
        <v>104</v>
      </c>
      <c r="AZ189" s="13">
        <v>104</v>
      </c>
      <c r="BA189" s="13">
        <v>0</v>
      </c>
      <c r="BB189" s="13">
        <v>3795.1053000000002</v>
      </c>
      <c r="BC189" s="13">
        <v>141.6069</v>
      </c>
      <c r="BD189" s="13">
        <v>3653.4983999999999</v>
      </c>
      <c r="BE189" s="13">
        <v>132</v>
      </c>
      <c r="BF189" s="13">
        <v>132</v>
      </c>
      <c r="BG189" s="13">
        <v>0</v>
      </c>
      <c r="BH189" s="13">
        <v>3446.8397999999997</v>
      </c>
      <c r="BI189" s="13">
        <v>151.28550000000001</v>
      </c>
      <c r="BJ189" s="13">
        <v>3295.5542999999998</v>
      </c>
      <c r="BK189" s="13">
        <v>138</v>
      </c>
      <c r="BL189" s="13">
        <v>138</v>
      </c>
      <c r="BM189" s="13">
        <v>0</v>
      </c>
      <c r="BN189" s="13">
        <v>4898.1154000000006</v>
      </c>
      <c r="BO189" s="13">
        <v>232.4992</v>
      </c>
      <c r="BP189" s="13">
        <v>4665.6162000000004</v>
      </c>
      <c r="BQ189" s="13">
        <v>66</v>
      </c>
      <c r="BR189" s="13">
        <v>66</v>
      </c>
      <c r="BS189" s="13">
        <v>0</v>
      </c>
      <c r="BT189" s="13">
        <v>3954.3988999999997</v>
      </c>
      <c r="BU189" s="13">
        <v>91.071200000000005</v>
      </c>
      <c r="BV189" s="13">
        <v>3863.3276999999998</v>
      </c>
      <c r="BW189" s="13">
        <v>147</v>
      </c>
      <c r="BX189" s="13">
        <v>147</v>
      </c>
      <c r="BY189" s="13">
        <v>0</v>
      </c>
      <c r="BZ189" s="13">
        <v>4703.8440000000001</v>
      </c>
      <c r="CA189" s="13">
        <v>173.99969999999999</v>
      </c>
      <c r="CB189" s="13">
        <v>4529.8442999999997</v>
      </c>
      <c r="CC189" s="13">
        <v>79</v>
      </c>
      <c r="CD189" s="13">
        <v>79</v>
      </c>
      <c r="CE189" s="13">
        <v>0</v>
      </c>
      <c r="CF189" s="13">
        <v>4734.9727000000003</v>
      </c>
      <c r="CG189" s="13">
        <v>131.071</v>
      </c>
      <c r="CH189" s="13">
        <v>4603.9017000000003</v>
      </c>
      <c r="CI189" s="13">
        <v>124</v>
      </c>
      <c r="CJ189" s="13">
        <v>124</v>
      </c>
      <c r="CK189" s="13">
        <v>0</v>
      </c>
      <c r="CL189" s="13">
        <v>4062.9274</v>
      </c>
      <c r="CM189" s="13">
        <v>162.571</v>
      </c>
      <c r="CN189" s="13">
        <v>3900.3564000000001</v>
      </c>
      <c r="CO189" s="13">
        <v>153</v>
      </c>
      <c r="CP189" s="13">
        <v>137</v>
      </c>
      <c r="CQ189" s="13">
        <v>16</v>
      </c>
      <c r="CR189" s="13">
        <v>4445.2430999999997</v>
      </c>
      <c r="CS189" s="13">
        <v>183.28550000000001</v>
      </c>
      <c r="CT189" s="13">
        <v>4261.9575999999997</v>
      </c>
      <c r="CU189" s="13">
        <f t="shared" si="20"/>
        <v>1746</v>
      </c>
      <c r="CV189" s="13">
        <f t="shared" si="20"/>
        <v>1730</v>
      </c>
      <c r="CW189" s="13">
        <f t="shared" si="20"/>
        <v>16</v>
      </c>
      <c r="CX189" s="13">
        <f t="shared" si="20"/>
        <v>51724.903899999998</v>
      </c>
      <c r="CY189" s="13">
        <f t="shared" si="20"/>
        <v>2201.5320000000002</v>
      </c>
      <c r="CZ189" s="13">
        <f t="shared" si="20"/>
        <v>49523.371899999998</v>
      </c>
      <c r="DA189" s="13">
        <f t="shared" si="21"/>
        <v>356</v>
      </c>
      <c r="DB189" s="13">
        <f t="shared" si="21"/>
        <v>340</v>
      </c>
      <c r="DC189" s="13">
        <f t="shared" si="21"/>
        <v>16</v>
      </c>
      <c r="DD189" s="13">
        <f t="shared" si="21"/>
        <v>13243.1432</v>
      </c>
      <c r="DE189" s="13">
        <f t="shared" si="21"/>
        <v>476.92750000000001</v>
      </c>
      <c r="DF189" s="13">
        <f t="shared" si="21"/>
        <v>12766.215700000001</v>
      </c>
      <c r="DG189" s="13">
        <f t="shared" si="22"/>
        <v>351</v>
      </c>
      <c r="DH189" s="13">
        <f t="shared" si="22"/>
        <v>351</v>
      </c>
      <c r="DI189" s="13">
        <f t="shared" si="22"/>
        <v>0</v>
      </c>
      <c r="DJ189" s="13">
        <f t="shared" si="22"/>
        <v>13556.3583</v>
      </c>
      <c r="DK189" s="13">
        <f t="shared" si="22"/>
        <v>497.57010000000002</v>
      </c>
      <c r="DL189" s="13">
        <f t="shared" si="22"/>
        <v>13058.788199999999</v>
      </c>
      <c r="DM189" s="13">
        <f t="shared" si="23"/>
        <v>277</v>
      </c>
      <c r="DN189" s="13">
        <f t="shared" si="23"/>
        <v>261</v>
      </c>
      <c r="DO189" s="13">
        <f t="shared" si="23"/>
        <v>16</v>
      </c>
      <c r="DP189" s="13">
        <f t="shared" si="23"/>
        <v>8508.1705000000002</v>
      </c>
      <c r="DQ189" s="13">
        <f t="shared" si="23"/>
        <v>345.85649999999998</v>
      </c>
      <c r="DR189" s="13">
        <f t="shared" si="23"/>
        <v>8162.3140000000003</v>
      </c>
      <c r="DS189" s="14" t="s">
        <v>81</v>
      </c>
      <c r="DT189" s="14" t="s">
        <v>72</v>
      </c>
      <c r="DU189" s="14" t="s">
        <v>73</v>
      </c>
      <c r="DV189" s="14" t="s">
        <v>82</v>
      </c>
      <c r="DW189" s="14" t="s">
        <v>64</v>
      </c>
    </row>
    <row r="190" spans="2:127" x14ac:dyDescent="0.3">
      <c r="B190" s="11" t="s">
        <v>53</v>
      </c>
      <c r="C190" s="14">
        <v>5001341830</v>
      </c>
      <c r="D190" s="11" t="s">
        <v>650</v>
      </c>
      <c r="E190" s="11" t="s">
        <v>522</v>
      </c>
      <c r="F190" s="11" t="s">
        <v>651</v>
      </c>
      <c r="G190" s="11" t="s">
        <v>652</v>
      </c>
      <c r="H190" s="11" t="s">
        <v>58</v>
      </c>
      <c r="I190" s="11">
        <v>95833</v>
      </c>
      <c r="J190" s="11" t="s">
        <v>80</v>
      </c>
      <c r="K190" s="11"/>
      <c r="L190" s="11"/>
      <c r="M190" s="11"/>
      <c r="N190" s="11"/>
      <c r="O190" s="13">
        <v>1048</v>
      </c>
      <c r="P190" s="13">
        <v>1048</v>
      </c>
      <c r="Q190" s="13">
        <v>0</v>
      </c>
      <c r="R190" s="13">
        <v>72752.711299999995</v>
      </c>
      <c r="S190" s="13">
        <v>2533.9531999999999</v>
      </c>
      <c r="T190" s="13">
        <v>70218.758100000006</v>
      </c>
      <c r="U190" s="13">
        <v>56</v>
      </c>
      <c r="V190" s="13">
        <v>56</v>
      </c>
      <c r="W190" s="13">
        <v>0</v>
      </c>
      <c r="X190" s="13">
        <v>5157.6655000000001</v>
      </c>
      <c r="Y190" s="13">
        <v>257.5342</v>
      </c>
      <c r="Z190" s="13">
        <v>4900.1313</v>
      </c>
      <c r="AA190" s="13">
        <v>35</v>
      </c>
      <c r="AB190" s="13">
        <v>35</v>
      </c>
      <c r="AC190" s="13">
        <v>0</v>
      </c>
      <c r="AD190" s="13">
        <v>5475.1304</v>
      </c>
      <c r="AE190" s="13">
        <v>266.42660000000001</v>
      </c>
      <c r="AF190" s="13">
        <v>5208.7038000000002</v>
      </c>
      <c r="AG190" s="13">
        <v>32</v>
      </c>
      <c r="AH190" s="13">
        <v>32</v>
      </c>
      <c r="AI190" s="13">
        <v>0</v>
      </c>
      <c r="AJ190" s="13">
        <v>4576.6925000000001</v>
      </c>
      <c r="AK190" s="13">
        <v>194.96299999999999</v>
      </c>
      <c r="AL190" s="13">
        <v>4381.7295000000004</v>
      </c>
      <c r="AM190" s="13">
        <v>36</v>
      </c>
      <c r="AN190" s="13">
        <v>36</v>
      </c>
      <c r="AO190" s="13">
        <v>0</v>
      </c>
      <c r="AP190" s="13">
        <v>4770.0793000000003</v>
      </c>
      <c r="AQ190" s="13">
        <v>166.17760000000001</v>
      </c>
      <c r="AR190" s="13">
        <v>4603.9017000000003</v>
      </c>
      <c r="AS190" s="13">
        <v>108</v>
      </c>
      <c r="AT190" s="13">
        <v>108</v>
      </c>
      <c r="AU190" s="13">
        <v>0</v>
      </c>
      <c r="AV190" s="13">
        <v>6464.5923000000003</v>
      </c>
      <c r="AW190" s="13">
        <v>231.42779999999999</v>
      </c>
      <c r="AX190" s="13">
        <v>6233.1644999999999</v>
      </c>
      <c r="AY190" s="13">
        <v>94</v>
      </c>
      <c r="AZ190" s="13">
        <v>94</v>
      </c>
      <c r="BA190" s="13">
        <v>0</v>
      </c>
      <c r="BB190" s="13">
        <v>4703.1077999999998</v>
      </c>
      <c r="BC190" s="13">
        <v>185.60640000000001</v>
      </c>
      <c r="BD190" s="13">
        <v>4517.5014000000001</v>
      </c>
      <c r="BE190" s="13">
        <v>139</v>
      </c>
      <c r="BF190" s="13">
        <v>139</v>
      </c>
      <c r="BG190" s="13">
        <v>0</v>
      </c>
      <c r="BH190" s="13">
        <v>5148.0955000000004</v>
      </c>
      <c r="BI190" s="13">
        <v>186.24969999999999</v>
      </c>
      <c r="BJ190" s="13">
        <v>4961.8458000000001</v>
      </c>
      <c r="BK190" s="13">
        <v>151</v>
      </c>
      <c r="BL190" s="13">
        <v>151</v>
      </c>
      <c r="BM190" s="13">
        <v>0</v>
      </c>
      <c r="BN190" s="13">
        <v>6337.2988999999998</v>
      </c>
      <c r="BO190" s="13">
        <v>252.2492</v>
      </c>
      <c r="BP190" s="13">
        <v>6085.0496999999996</v>
      </c>
      <c r="BQ190" s="13">
        <v>106</v>
      </c>
      <c r="BR190" s="13">
        <v>106</v>
      </c>
      <c r="BS190" s="13">
        <v>0</v>
      </c>
      <c r="BT190" s="13">
        <v>5570.6257000000005</v>
      </c>
      <c r="BU190" s="13">
        <v>139.74969999999999</v>
      </c>
      <c r="BV190" s="13">
        <v>5430.8760000000002</v>
      </c>
      <c r="BW190" s="13">
        <v>75</v>
      </c>
      <c r="BX190" s="13">
        <v>75</v>
      </c>
      <c r="BY190" s="13">
        <v>0</v>
      </c>
      <c r="BZ190" s="13">
        <v>5462.8676999999998</v>
      </c>
      <c r="CA190" s="13">
        <v>180.10649999999998</v>
      </c>
      <c r="CB190" s="13">
        <v>5282.7611999999999</v>
      </c>
      <c r="CC190" s="13">
        <v>87</v>
      </c>
      <c r="CD190" s="13">
        <v>87</v>
      </c>
      <c r="CE190" s="13">
        <v>0</v>
      </c>
      <c r="CF190" s="13">
        <v>6979.3518000000004</v>
      </c>
      <c r="CG190" s="13">
        <v>166.071</v>
      </c>
      <c r="CH190" s="13">
        <v>6813.2808000000005</v>
      </c>
      <c r="CI190" s="13">
        <v>89</v>
      </c>
      <c r="CJ190" s="13">
        <v>89</v>
      </c>
      <c r="CK190" s="13">
        <v>0</v>
      </c>
      <c r="CL190" s="13">
        <v>6360.9278000000004</v>
      </c>
      <c r="CM190" s="13">
        <v>201.82069999999999</v>
      </c>
      <c r="CN190" s="13">
        <v>6159.1071000000002</v>
      </c>
      <c r="CO190" s="13">
        <v>40</v>
      </c>
      <c r="CP190" s="13">
        <v>40</v>
      </c>
      <c r="CQ190" s="13">
        <v>0</v>
      </c>
      <c r="CR190" s="13">
        <v>5746.2761</v>
      </c>
      <c r="CS190" s="13">
        <v>105.57080000000001</v>
      </c>
      <c r="CT190" s="13">
        <v>5640.7052999999996</v>
      </c>
      <c r="CU190" s="13">
        <f t="shared" si="20"/>
        <v>992</v>
      </c>
      <c r="CV190" s="13">
        <f t="shared" si="20"/>
        <v>992</v>
      </c>
      <c r="CW190" s="13">
        <f t="shared" si="20"/>
        <v>0</v>
      </c>
      <c r="CX190" s="13">
        <f t="shared" si="20"/>
        <v>67595.045799999993</v>
      </c>
      <c r="CY190" s="13">
        <f t="shared" si="20"/>
        <v>2276.4190000000003</v>
      </c>
      <c r="CZ190" s="13">
        <f t="shared" si="20"/>
        <v>65318.626800000005</v>
      </c>
      <c r="DA190" s="13">
        <f t="shared" si="21"/>
        <v>216</v>
      </c>
      <c r="DB190" s="13">
        <f t="shared" si="21"/>
        <v>216</v>
      </c>
      <c r="DC190" s="13">
        <f t="shared" si="21"/>
        <v>0</v>
      </c>
      <c r="DD190" s="13">
        <f t="shared" si="21"/>
        <v>19086.555700000001</v>
      </c>
      <c r="DE190" s="13">
        <f t="shared" si="21"/>
        <v>473.46250000000003</v>
      </c>
      <c r="DF190" s="13">
        <f t="shared" si="21"/>
        <v>18613.093200000003</v>
      </c>
      <c r="DG190" s="13">
        <f t="shared" si="22"/>
        <v>332</v>
      </c>
      <c r="DH190" s="13">
        <f t="shared" si="22"/>
        <v>332</v>
      </c>
      <c r="DI190" s="13">
        <f t="shared" si="22"/>
        <v>0</v>
      </c>
      <c r="DJ190" s="13">
        <f t="shared" si="22"/>
        <v>17370.792300000001</v>
      </c>
      <c r="DK190" s="13">
        <f t="shared" si="22"/>
        <v>572.10539999999992</v>
      </c>
      <c r="DL190" s="13">
        <f t="shared" si="22"/>
        <v>16798.686900000001</v>
      </c>
      <c r="DM190" s="13">
        <f t="shared" si="23"/>
        <v>129</v>
      </c>
      <c r="DN190" s="13">
        <f t="shared" si="23"/>
        <v>129</v>
      </c>
      <c r="DO190" s="13">
        <f t="shared" si="23"/>
        <v>0</v>
      </c>
      <c r="DP190" s="13">
        <f t="shared" si="23"/>
        <v>12107.2039</v>
      </c>
      <c r="DQ190" s="13">
        <f t="shared" si="23"/>
        <v>307.39150000000001</v>
      </c>
      <c r="DR190" s="13">
        <f t="shared" si="23"/>
        <v>11799.812399999999</v>
      </c>
      <c r="DS190" s="14" t="s">
        <v>71</v>
      </c>
      <c r="DT190" s="14" t="s">
        <v>125</v>
      </c>
      <c r="DU190" s="14" t="s">
        <v>73</v>
      </c>
      <c r="DV190" s="14" t="s">
        <v>82</v>
      </c>
      <c r="DW190" s="14" t="s">
        <v>74</v>
      </c>
    </row>
    <row r="191" spans="2:127" x14ac:dyDescent="0.3">
      <c r="B191" s="11" t="s">
        <v>65</v>
      </c>
      <c r="C191" s="14">
        <v>5001341839</v>
      </c>
      <c r="D191" s="11" t="s">
        <v>653</v>
      </c>
      <c r="E191" s="11" t="s">
        <v>522</v>
      </c>
      <c r="F191" s="11" t="s">
        <v>654</v>
      </c>
      <c r="G191" s="11" t="s">
        <v>655</v>
      </c>
      <c r="H191" s="11" t="s">
        <v>216</v>
      </c>
      <c r="I191" s="11">
        <v>44195</v>
      </c>
      <c r="J191" s="11" t="s">
        <v>59</v>
      </c>
      <c r="K191" s="11"/>
      <c r="L191" s="11"/>
      <c r="M191" s="11"/>
      <c r="N191" s="11"/>
      <c r="O191" s="13">
        <v>2641</v>
      </c>
      <c r="P191" s="13">
        <v>2641</v>
      </c>
      <c r="Q191" s="13">
        <v>0</v>
      </c>
      <c r="R191" s="13">
        <v>135599.6678</v>
      </c>
      <c r="S191" s="13">
        <v>4061.3824999999997</v>
      </c>
      <c r="T191" s="13">
        <v>131538.28529999999</v>
      </c>
      <c r="U191" s="13">
        <v>133</v>
      </c>
      <c r="V191" s="13">
        <v>133</v>
      </c>
      <c r="W191" s="13">
        <v>0</v>
      </c>
      <c r="X191" s="13">
        <v>9366.066499999999</v>
      </c>
      <c r="Y191" s="13">
        <v>232.32049999999998</v>
      </c>
      <c r="Z191" s="13">
        <v>9133.7459999999992</v>
      </c>
      <c r="AA191" s="13">
        <v>215</v>
      </c>
      <c r="AB191" s="13">
        <v>215</v>
      </c>
      <c r="AC191" s="13">
        <v>0</v>
      </c>
      <c r="AD191" s="13">
        <v>10365.105299999999</v>
      </c>
      <c r="AE191" s="13">
        <v>367.35630000000003</v>
      </c>
      <c r="AF191" s="13">
        <v>9997.7489999999998</v>
      </c>
      <c r="AG191" s="13">
        <v>127</v>
      </c>
      <c r="AH191" s="13">
        <v>127</v>
      </c>
      <c r="AI191" s="13">
        <v>0</v>
      </c>
      <c r="AJ191" s="13">
        <v>9839.1251999999986</v>
      </c>
      <c r="AK191" s="13">
        <v>261.03480000000002</v>
      </c>
      <c r="AL191" s="13">
        <v>9578.0903999999991</v>
      </c>
      <c r="AM191" s="13">
        <v>107</v>
      </c>
      <c r="AN191" s="13">
        <v>107</v>
      </c>
      <c r="AO191" s="13">
        <v>0</v>
      </c>
      <c r="AP191" s="13">
        <v>9237.080899999999</v>
      </c>
      <c r="AQ191" s="13">
        <v>177.39230000000001</v>
      </c>
      <c r="AR191" s="13">
        <v>9059.6885999999995</v>
      </c>
      <c r="AS191" s="13">
        <v>233</v>
      </c>
      <c r="AT191" s="13">
        <v>233</v>
      </c>
      <c r="AU191" s="13">
        <v>0</v>
      </c>
      <c r="AV191" s="13">
        <v>13084.079599999999</v>
      </c>
      <c r="AW191" s="13">
        <v>309.17809999999997</v>
      </c>
      <c r="AX191" s="13">
        <v>12774.9015</v>
      </c>
      <c r="AY191" s="13">
        <v>241</v>
      </c>
      <c r="AZ191" s="13">
        <v>241</v>
      </c>
      <c r="BA191" s="13">
        <v>0</v>
      </c>
      <c r="BB191" s="13">
        <v>9943.4829999999984</v>
      </c>
      <c r="BC191" s="13">
        <v>303.67809999999997</v>
      </c>
      <c r="BD191" s="13">
        <v>9639.8048999999992</v>
      </c>
      <c r="BE191" s="13">
        <v>286</v>
      </c>
      <c r="BF191" s="13">
        <v>286</v>
      </c>
      <c r="BG191" s="13">
        <v>0</v>
      </c>
      <c r="BH191" s="13">
        <v>9720.0249000000003</v>
      </c>
      <c r="BI191" s="13">
        <v>364.10669999999999</v>
      </c>
      <c r="BJ191" s="13">
        <v>9355.9182000000001</v>
      </c>
      <c r="BK191" s="13">
        <v>209</v>
      </c>
      <c r="BL191" s="13">
        <v>209</v>
      </c>
      <c r="BM191" s="13">
        <v>0</v>
      </c>
      <c r="BN191" s="13">
        <v>11582.017199999998</v>
      </c>
      <c r="BO191" s="13">
        <v>300.60660000000001</v>
      </c>
      <c r="BP191" s="13">
        <v>11281.410599999999</v>
      </c>
      <c r="BQ191" s="13">
        <v>221</v>
      </c>
      <c r="BR191" s="13">
        <v>221</v>
      </c>
      <c r="BS191" s="13">
        <v>0</v>
      </c>
      <c r="BT191" s="13">
        <v>10345.4557</v>
      </c>
      <c r="BU191" s="13">
        <v>310.678</v>
      </c>
      <c r="BV191" s="13">
        <v>10034.777700000001</v>
      </c>
      <c r="BW191" s="13">
        <v>206</v>
      </c>
      <c r="BX191" s="13">
        <v>206</v>
      </c>
      <c r="BY191" s="13">
        <v>0</v>
      </c>
      <c r="BZ191" s="13">
        <v>10730.249599999999</v>
      </c>
      <c r="CA191" s="13">
        <v>300.4991</v>
      </c>
      <c r="CB191" s="13">
        <v>10429.7505</v>
      </c>
      <c r="CC191" s="13">
        <v>316</v>
      </c>
      <c r="CD191" s="13">
        <v>316</v>
      </c>
      <c r="CE191" s="13">
        <v>0</v>
      </c>
      <c r="CF191" s="13">
        <v>10833.113599999999</v>
      </c>
      <c r="CG191" s="13">
        <v>440.39179999999999</v>
      </c>
      <c r="CH191" s="13">
        <v>10392.721799999999</v>
      </c>
      <c r="CI191" s="13">
        <v>157</v>
      </c>
      <c r="CJ191" s="13">
        <v>157</v>
      </c>
      <c r="CK191" s="13">
        <v>0</v>
      </c>
      <c r="CL191" s="13">
        <v>9984.8401999999987</v>
      </c>
      <c r="CM191" s="13">
        <v>283.32080000000002</v>
      </c>
      <c r="CN191" s="13">
        <v>9701.5193999999992</v>
      </c>
      <c r="CO191" s="13">
        <v>190</v>
      </c>
      <c r="CP191" s="13">
        <v>190</v>
      </c>
      <c r="CQ191" s="13">
        <v>0</v>
      </c>
      <c r="CR191" s="13">
        <v>10569.026100000001</v>
      </c>
      <c r="CS191" s="13">
        <v>410.81939999999997</v>
      </c>
      <c r="CT191" s="13">
        <v>10158.206700000001</v>
      </c>
      <c r="CU191" s="13">
        <f t="shared" si="20"/>
        <v>2508</v>
      </c>
      <c r="CV191" s="13">
        <f t="shared" si="20"/>
        <v>2508</v>
      </c>
      <c r="CW191" s="13">
        <f t="shared" si="20"/>
        <v>0</v>
      </c>
      <c r="CX191" s="13">
        <f t="shared" si="20"/>
        <v>126233.60129999999</v>
      </c>
      <c r="CY191" s="13">
        <f t="shared" si="20"/>
        <v>3829.0619999999994</v>
      </c>
      <c r="CZ191" s="13">
        <f t="shared" si="20"/>
        <v>122404.5393</v>
      </c>
      <c r="DA191" s="13">
        <f t="shared" si="21"/>
        <v>663</v>
      </c>
      <c r="DB191" s="13">
        <f t="shared" si="21"/>
        <v>663</v>
      </c>
      <c r="DC191" s="13">
        <f t="shared" si="21"/>
        <v>0</v>
      </c>
      <c r="DD191" s="13">
        <f t="shared" si="21"/>
        <v>31386.979899999998</v>
      </c>
      <c r="DE191" s="13">
        <f t="shared" si="21"/>
        <v>1134.5320000000002</v>
      </c>
      <c r="DF191" s="13">
        <f t="shared" si="21"/>
        <v>30252.447899999999</v>
      </c>
      <c r="DG191" s="13">
        <f t="shared" si="22"/>
        <v>636</v>
      </c>
      <c r="DH191" s="13">
        <f t="shared" si="22"/>
        <v>636</v>
      </c>
      <c r="DI191" s="13">
        <f t="shared" si="22"/>
        <v>0</v>
      </c>
      <c r="DJ191" s="13">
        <f t="shared" si="22"/>
        <v>32657.7225</v>
      </c>
      <c r="DK191" s="13">
        <f t="shared" si="22"/>
        <v>911.78369999999995</v>
      </c>
      <c r="DL191" s="13">
        <f t="shared" si="22"/>
        <v>31745.938800000004</v>
      </c>
      <c r="DM191" s="13">
        <f t="shared" si="23"/>
        <v>347</v>
      </c>
      <c r="DN191" s="13">
        <f t="shared" si="23"/>
        <v>347</v>
      </c>
      <c r="DO191" s="13">
        <f t="shared" si="23"/>
        <v>0</v>
      </c>
      <c r="DP191" s="13">
        <f t="shared" si="23"/>
        <v>20553.866300000002</v>
      </c>
      <c r="DQ191" s="13">
        <f t="shared" si="23"/>
        <v>694.14020000000005</v>
      </c>
      <c r="DR191" s="13">
        <f t="shared" si="23"/>
        <v>19859.7261</v>
      </c>
      <c r="DS191" s="14" t="s">
        <v>81</v>
      </c>
      <c r="DT191" s="14" t="s">
        <v>92</v>
      </c>
      <c r="DU191" s="14" t="s">
        <v>187</v>
      </c>
      <c r="DV191" s="14" t="s">
        <v>97</v>
      </c>
      <c r="DW191" s="14" t="s">
        <v>64</v>
      </c>
    </row>
    <row r="192" spans="2:127" x14ac:dyDescent="0.3">
      <c r="B192" s="11" t="s">
        <v>83</v>
      </c>
      <c r="C192" s="14">
        <v>5001341844</v>
      </c>
      <c r="D192" s="11" t="s">
        <v>656</v>
      </c>
      <c r="E192" s="11" t="s">
        <v>522</v>
      </c>
      <c r="F192" s="11" t="s">
        <v>657</v>
      </c>
      <c r="G192" s="11" t="s">
        <v>136</v>
      </c>
      <c r="H192" s="11" t="s">
        <v>137</v>
      </c>
      <c r="I192" s="11">
        <v>77030</v>
      </c>
      <c r="J192" s="11" t="s">
        <v>80</v>
      </c>
      <c r="K192" s="11"/>
      <c r="L192" s="11"/>
      <c r="M192" s="11"/>
      <c r="N192" s="11"/>
      <c r="O192" s="13">
        <v>346</v>
      </c>
      <c r="P192" s="13">
        <v>346</v>
      </c>
      <c r="Q192" s="13">
        <v>0</v>
      </c>
      <c r="R192" s="13">
        <v>45010.325499999999</v>
      </c>
      <c r="S192" s="13">
        <v>415.42779999999999</v>
      </c>
      <c r="T192" s="13">
        <v>44594.897700000001</v>
      </c>
      <c r="U192" s="13">
        <v>29</v>
      </c>
      <c r="V192" s="13">
        <v>29</v>
      </c>
      <c r="W192" s="13">
        <v>0</v>
      </c>
      <c r="X192" s="13">
        <v>2855.5241000000001</v>
      </c>
      <c r="Y192" s="13">
        <v>29</v>
      </c>
      <c r="Z192" s="13">
        <v>2826.5241000000001</v>
      </c>
      <c r="AA192" s="13">
        <v>37</v>
      </c>
      <c r="AB192" s="13">
        <v>37</v>
      </c>
      <c r="AC192" s="13">
        <v>0</v>
      </c>
      <c r="AD192" s="13">
        <v>3604.0981000000002</v>
      </c>
      <c r="AE192" s="13">
        <v>37</v>
      </c>
      <c r="AF192" s="13">
        <v>3567.0981000000002</v>
      </c>
      <c r="AG192" s="13">
        <v>30</v>
      </c>
      <c r="AH192" s="13">
        <v>30</v>
      </c>
      <c r="AI192" s="13">
        <v>0</v>
      </c>
      <c r="AJ192" s="13">
        <v>2733.0951</v>
      </c>
      <c r="AK192" s="13">
        <v>30</v>
      </c>
      <c r="AL192" s="13">
        <v>2703.0951</v>
      </c>
      <c r="AM192" s="13">
        <v>24</v>
      </c>
      <c r="AN192" s="13">
        <v>24</v>
      </c>
      <c r="AO192" s="13">
        <v>0</v>
      </c>
      <c r="AP192" s="13">
        <v>3171.4395</v>
      </c>
      <c r="AQ192" s="13">
        <v>24</v>
      </c>
      <c r="AR192" s="13">
        <v>3147.4395</v>
      </c>
      <c r="AS192" s="13">
        <v>14</v>
      </c>
      <c r="AT192" s="13">
        <v>14</v>
      </c>
      <c r="AU192" s="13">
        <v>0</v>
      </c>
      <c r="AV192" s="13">
        <v>3951.3851</v>
      </c>
      <c r="AW192" s="13">
        <v>14</v>
      </c>
      <c r="AX192" s="13">
        <v>3937.3851</v>
      </c>
      <c r="AY192" s="13">
        <v>28</v>
      </c>
      <c r="AZ192" s="13">
        <v>28</v>
      </c>
      <c r="BA192" s="13">
        <v>0</v>
      </c>
      <c r="BB192" s="13">
        <v>3052.0104999999999</v>
      </c>
      <c r="BC192" s="13">
        <v>28</v>
      </c>
      <c r="BD192" s="13">
        <v>3024.0104999999999</v>
      </c>
      <c r="BE192" s="13">
        <v>19</v>
      </c>
      <c r="BF192" s="13">
        <v>19</v>
      </c>
      <c r="BG192" s="13">
        <v>0</v>
      </c>
      <c r="BH192" s="13">
        <v>3339.2401</v>
      </c>
      <c r="BI192" s="13">
        <v>19</v>
      </c>
      <c r="BJ192" s="13">
        <v>3320.2401</v>
      </c>
      <c r="BK192" s="13">
        <v>35</v>
      </c>
      <c r="BL192" s="13">
        <v>35</v>
      </c>
      <c r="BM192" s="13">
        <v>0</v>
      </c>
      <c r="BN192" s="13">
        <v>4342.6720999999998</v>
      </c>
      <c r="BO192" s="13">
        <v>35</v>
      </c>
      <c r="BP192" s="13">
        <v>4307.6720999999998</v>
      </c>
      <c r="BQ192" s="13">
        <v>23</v>
      </c>
      <c r="BR192" s="13">
        <v>23</v>
      </c>
      <c r="BS192" s="13">
        <v>0</v>
      </c>
      <c r="BT192" s="13">
        <v>2923.5814999999998</v>
      </c>
      <c r="BU192" s="13">
        <v>23</v>
      </c>
      <c r="BV192" s="13">
        <v>2900.5814999999998</v>
      </c>
      <c r="BW192" s="13">
        <v>17</v>
      </c>
      <c r="BX192" s="13">
        <v>17</v>
      </c>
      <c r="BY192" s="13">
        <v>0</v>
      </c>
      <c r="BZ192" s="13">
        <v>3312.5542999999998</v>
      </c>
      <c r="CA192" s="13">
        <v>17</v>
      </c>
      <c r="CB192" s="13">
        <v>3295.5542999999998</v>
      </c>
      <c r="CC192" s="13">
        <v>47</v>
      </c>
      <c r="CD192" s="13">
        <v>47</v>
      </c>
      <c r="CE192" s="13">
        <v>0</v>
      </c>
      <c r="CF192" s="13">
        <v>4819.0736000000006</v>
      </c>
      <c r="CG192" s="13">
        <v>54.714199999999998</v>
      </c>
      <c r="CH192" s="13">
        <v>4764.3594000000003</v>
      </c>
      <c r="CI192" s="13">
        <v>24</v>
      </c>
      <c r="CJ192" s="13">
        <v>24</v>
      </c>
      <c r="CK192" s="13">
        <v>0</v>
      </c>
      <c r="CL192" s="13">
        <v>3375.0969</v>
      </c>
      <c r="CM192" s="13">
        <v>54.8568</v>
      </c>
      <c r="CN192" s="13">
        <v>3320.2401</v>
      </c>
      <c r="CO192" s="13">
        <v>19</v>
      </c>
      <c r="CP192" s="13">
        <v>19</v>
      </c>
      <c r="CQ192" s="13">
        <v>0</v>
      </c>
      <c r="CR192" s="13">
        <v>3530.5545999999999</v>
      </c>
      <c r="CS192" s="13">
        <v>49.8568</v>
      </c>
      <c r="CT192" s="13">
        <v>3480.6977999999999</v>
      </c>
      <c r="CU192" s="13">
        <f t="shared" si="20"/>
        <v>317</v>
      </c>
      <c r="CV192" s="13">
        <f t="shared" si="20"/>
        <v>317</v>
      </c>
      <c r="CW192" s="13">
        <f t="shared" si="20"/>
        <v>0</v>
      </c>
      <c r="CX192" s="13">
        <f t="shared" si="20"/>
        <v>42154.801399999997</v>
      </c>
      <c r="CY192" s="13">
        <f t="shared" si="20"/>
        <v>386.42780000000005</v>
      </c>
      <c r="CZ192" s="13">
        <f t="shared" si="20"/>
        <v>41768.373600000006</v>
      </c>
      <c r="DA192" s="13">
        <f t="shared" si="21"/>
        <v>90</v>
      </c>
      <c r="DB192" s="13">
        <f t="shared" si="21"/>
        <v>90</v>
      </c>
      <c r="DC192" s="13">
        <f t="shared" si="21"/>
        <v>0</v>
      </c>
      <c r="DD192" s="13">
        <f t="shared" si="21"/>
        <v>11724.7251</v>
      </c>
      <c r="DE192" s="13">
        <f t="shared" si="21"/>
        <v>159.42779999999999</v>
      </c>
      <c r="DF192" s="13">
        <f t="shared" si="21"/>
        <v>11565.2973</v>
      </c>
      <c r="DG192" s="13">
        <f t="shared" si="22"/>
        <v>75</v>
      </c>
      <c r="DH192" s="13">
        <f t="shared" si="22"/>
        <v>75</v>
      </c>
      <c r="DI192" s="13">
        <f t="shared" si="22"/>
        <v>0</v>
      </c>
      <c r="DJ192" s="13">
        <f t="shared" si="22"/>
        <v>10578.8079</v>
      </c>
      <c r="DK192" s="13">
        <f t="shared" si="22"/>
        <v>75</v>
      </c>
      <c r="DL192" s="13">
        <f t="shared" si="22"/>
        <v>10503.8079</v>
      </c>
      <c r="DM192" s="13">
        <f t="shared" si="23"/>
        <v>43</v>
      </c>
      <c r="DN192" s="13">
        <f t="shared" si="23"/>
        <v>43</v>
      </c>
      <c r="DO192" s="13">
        <f t="shared" si="23"/>
        <v>0</v>
      </c>
      <c r="DP192" s="13">
        <f t="shared" si="23"/>
        <v>6905.6514999999999</v>
      </c>
      <c r="DQ192" s="13">
        <f t="shared" si="23"/>
        <v>104.7136</v>
      </c>
      <c r="DR192" s="13">
        <f t="shared" si="23"/>
        <v>6800.9378999999999</v>
      </c>
      <c r="DS192" s="14" t="s">
        <v>138</v>
      </c>
      <c r="DT192" s="14" t="s">
        <v>81</v>
      </c>
      <c r="DU192" s="14" t="s">
        <v>73</v>
      </c>
      <c r="DV192" s="14" t="s">
        <v>97</v>
      </c>
      <c r="DW192" s="14" t="s">
        <v>64</v>
      </c>
    </row>
    <row r="193" spans="2:127" x14ac:dyDescent="0.3">
      <c r="B193" s="11" t="s">
        <v>75</v>
      </c>
      <c r="C193" s="14">
        <v>5001341851</v>
      </c>
      <c r="D193" s="11" t="s">
        <v>658</v>
      </c>
      <c r="E193" s="11" t="s">
        <v>522</v>
      </c>
      <c r="F193" s="11" t="s">
        <v>659</v>
      </c>
      <c r="G193" s="11" t="s">
        <v>660</v>
      </c>
      <c r="H193" s="11" t="s">
        <v>145</v>
      </c>
      <c r="I193" s="11">
        <v>35233</v>
      </c>
      <c r="J193" s="11" t="s">
        <v>59</v>
      </c>
      <c r="K193" s="11"/>
      <c r="L193" s="11"/>
      <c r="M193" s="11"/>
      <c r="N193" s="11"/>
      <c r="O193" s="13">
        <v>622</v>
      </c>
      <c r="P193" s="13">
        <v>598</v>
      </c>
      <c r="Q193" s="13">
        <v>24</v>
      </c>
      <c r="R193" s="13">
        <v>34930.239300000001</v>
      </c>
      <c r="S193" s="13">
        <v>1259.4938999999999</v>
      </c>
      <c r="T193" s="13">
        <v>33670.7454</v>
      </c>
      <c r="U193" s="13">
        <v>12</v>
      </c>
      <c r="V193" s="13">
        <v>12</v>
      </c>
      <c r="W193" s="13">
        <v>0</v>
      </c>
      <c r="X193" s="13">
        <v>2487.5225999999998</v>
      </c>
      <c r="Y193" s="13">
        <v>31.285499999999999</v>
      </c>
      <c r="Z193" s="13">
        <v>2456.2370999999998</v>
      </c>
      <c r="AA193" s="13">
        <v>61</v>
      </c>
      <c r="AB193" s="13">
        <v>61</v>
      </c>
      <c r="AC193" s="13">
        <v>0</v>
      </c>
      <c r="AD193" s="13">
        <v>3180.0884999999998</v>
      </c>
      <c r="AE193" s="13">
        <v>131.3922</v>
      </c>
      <c r="AF193" s="13">
        <v>3048.6963000000001</v>
      </c>
      <c r="AG193" s="13">
        <v>6</v>
      </c>
      <c r="AH193" s="13">
        <v>6</v>
      </c>
      <c r="AI193" s="13">
        <v>0</v>
      </c>
      <c r="AJ193" s="13">
        <v>2530.8942000000002</v>
      </c>
      <c r="AK193" s="13">
        <v>25.285499999999999</v>
      </c>
      <c r="AL193" s="13">
        <v>2505.6087000000002</v>
      </c>
      <c r="AM193" s="13">
        <v>55</v>
      </c>
      <c r="AN193" s="13">
        <v>55</v>
      </c>
      <c r="AO193" s="13">
        <v>0</v>
      </c>
      <c r="AP193" s="13">
        <v>2416.3501000000001</v>
      </c>
      <c r="AQ193" s="13">
        <v>120.5707</v>
      </c>
      <c r="AR193" s="13">
        <v>2295.7793999999999</v>
      </c>
      <c r="AS193" s="13">
        <v>6</v>
      </c>
      <c r="AT193" s="13">
        <v>6</v>
      </c>
      <c r="AU193" s="13">
        <v>0</v>
      </c>
      <c r="AV193" s="13">
        <v>2650.0801999999999</v>
      </c>
      <c r="AW193" s="13">
        <v>58.071199999999997</v>
      </c>
      <c r="AX193" s="13">
        <v>2592.009</v>
      </c>
      <c r="AY193" s="13">
        <v>56</v>
      </c>
      <c r="AZ193" s="13">
        <v>56</v>
      </c>
      <c r="BA193" s="13">
        <v>0</v>
      </c>
      <c r="BB193" s="13">
        <v>2901.8096</v>
      </c>
      <c r="BC193" s="13">
        <v>75.285499999999999</v>
      </c>
      <c r="BD193" s="13">
        <v>2826.5241000000001</v>
      </c>
      <c r="BE193" s="13">
        <v>56</v>
      </c>
      <c r="BF193" s="13">
        <v>56</v>
      </c>
      <c r="BG193" s="13">
        <v>0</v>
      </c>
      <c r="BH193" s="13">
        <v>2546.5641000000001</v>
      </c>
      <c r="BI193" s="13">
        <v>189.0702</v>
      </c>
      <c r="BJ193" s="13">
        <v>2357.4938999999999</v>
      </c>
      <c r="BK193" s="13">
        <v>62</v>
      </c>
      <c r="BL193" s="13">
        <v>62</v>
      </c>
      <c r="BM193" s="13">
        <v>0</v>
      </c>
      <c r="BN193" s="13">
        <v>3330.7455</v>
      </c>
      <c r="BO193" s="13">
        <v>170.9631</v>
      </c>
      <c r="BP193" s="13">
        <v>3159.7824000000001</v>
      </c>
      <c r="BQ193" s="13">
        <v>64</v>
      </c>
      <c r="BR193" s="13">
        <v>64</v>
      </c>
      <c r="BS193" s="13">
        <v>0</v>
      </c>
      <c r="BT193" s="13">
        <v>2790.6239999999998</v>
      </c>
      <c r="BU193" s="13">
        <v>50.5002</v>
      </c>
      <c r="BV193" s="13">
        <v>2740.1237999999998</v>
      </c>
      <c r="BW193" s="13">
        <v>50</v>
      </c>
      <c r="BX193" s="13">
        <v>50</v>
      </c>
      <c r="BY193" s="13">
        <v>0</v>
      </c>
      <c r="BZ193" s="13">
        <v>2213.0924</v>
      </c>
      <c r="CA193" s="13">
        <v>127.14230000000001</v>
      </c>
      <c r="CB193" s="13">
        <v>2085.9501</v>
      </c>
      <c r="CC193" s="13">
        <v>59</v>
      </c>
      <c r="CD193" s="13">
        <v>59</v>
      </c>
      <c r="CE193" s="13">
        <v>0</v>
      </c>
      <c r="CF193" s="13">
        <v>2956.1098000000002</v>
      </c>
      <c r="CG193" s="13">
        <v>80.214100000000002</v>
      </c>
      <c r="CH193" s="13">
        <v>2875.8957</v>
      </c>
      <c r="CI193" s="13">
        <v>61</v>
      </c>
      <c r="CJ193" s="13">
        <v>61</v>
      </c>
      <c r="CK193" s="13">
        <v>0</v>
      </c>
      <c r="CL193" s="13">
        <v>2448.9645</v>
      </c>
      <c r="CM193" s="13">
        <v>128.49930000000001</v>
      </c>
      <c r="CN193" s="13">
        <v>2320.4652000000001</v>
      </c>
      <c r="CO193" s="13">
        <v>74</v>
      </c>
      <c r="CP193" s="13">
        <v>50</v>
      </c>
      <c r="CQ193" s="13">
        <v>24</v>
      </c>
      <c r="CR193" s="13">
        <v>2477.3938000000003</v>
      </c>
      <c r="CS193" s="13">
        <v>71.214100000000002</v>
      </c>
      <c r="CT193" s="13">
        <v>2406.1797000000001</v>
      </c>
      <c r="CU193" s="13">
        <f t="shared" si="20"/>
        <v>610</v>
      </c>
      <c r="CV193" s="13">
        <f t="shared" si="20"/>
        <v>586</v>
      </c>
      <c r="CW193" s="13">
        <f t="shared" si="20"/>
        <v>24</v>
      </c>
      <c r="CX193" s="13">
        <f t="shared" si="20"/>
        <v>32442.716700000008</v>
      </c>
      <c r="CY193" s="13">
        <f t="shared" si="20"/>
        <v>1228.2083999999998</v>
      </c>
      <c r="CZ193" s="13">
        <f t="shared" si="20"/>
        <v>31214.508300000001</v>
      </c>
      <c r="DA193" s="13">
        <f t="shared" si="21"/>
        <v>194</v>
      </c>
      <c r="DB193" s="13">
        <f t="shared" si="21"/>
        <v>170</v>
      </c>
      <c r="DC193" s="13">
        <f t="shared" si="21"/>
        <v>24</v>
      </c>
      <c r="DD193" s="13">
        <f t="shared" si="21"/>
        <v>7882.4681</v>
      </c>
      <c r="DE193" s="13">
        <f t="shared" si="21"/>
        <v>279.92750000000001</v>
      </c>
      <c r="DF193" s="13">
        <f t="shared" si="21"/>
        <v>7602.5406000000003</v>
      </c>
      <c r="DG193" s="13">
        <f t="shared" si="22"/>
        <v>176</v>
      </c>
      <c r="DH193" s="13">
        <f t="shared" si="22"/>
        <v>176</v>
      </c>
      <c r="DI193" s="13">
        <f t="shared" si="22"/>
        <v>0</v>
      </c>
      <c r="DJ193" s="13">
        <f t="shared" si="22"/>
        <v>8334.4619000000002</v>
      </c>
      <c r="DK193" s="13">
        <f t="shared" si="22"/>
        <v>348.60559999999998</v>
      </c>
      <c r="DL193" s="13">
        <f t="shared" si="22"/>
        <v>7985.8562999999995</v>
      </c>
      <c r="DM193" s="13">
        <f t="shared" si="23"/>
        <v>135</v>
      </c>
      <c r="DN193" s="13">
        <f t="shared" si="23"/>
        <v>111</v>
      </c>
      <c r="DO193" s="13">
        <f t="shared" si="23"/>
        <v>24</v>
      </c>
      <c r="DP193" s="13">
        <f t="shared" si="23"/>
        <v>4926.3582999999999</v>
      </c>
      <c r="DQ193" s="13">
        <f t="shared" si="23"/>
        <v>199.71340000000001</v>
      </c>
      <c r="DR193" s="13">
        <f t="shared" si="23"/>
        <v>4726.6449000000002</v>
      </c>
      <c r="DS193" s="14" t="s">
        <v>60</v>
      </c>
      <c r="DT193" s="14" t="s">
        <v>81</v>
      </c>
      <c r="DU193" s="14" t="s">
        <v>73</v>
      </c>
      <c r="DV193" s="14" t="s">
        <v>82</v>
      </c>
      <c r="DW193" s="14" t="s">
        <v>74</v>
      </c>
    </row>
    <row r="194" spans="2:127" x14ac:dyDescent="0.3">
      <c r="B194" s="11" t="s">
        <v>83</v>
      </c>
      <c r="C194" s="14">
        <v>5001341853</v>
      </c>
      <c r="D194" s="11" t="s">
        <v>661</v>
      </c>
      <c r="E194" s="11" t="s">
        <v>522</v>
      </c>
      <c r="F194" s="11" t="s">
        <v>662</v>
      </c>
      <c r="G194" s="11" t="s">
        <v>295</v>
      </c>
      <c r="H194" s="11" t="s">
        <v>296</v>
      </c>
      <c r="I194" s="11">
        <v>60637</v>
      </c>
      <c r="J194" s="11" t="s">
        <v>59</v>
      </c>
      <c r="K194" s="11"/>
      <c r="L194" s="11"/>
      <c r="M194" s="11"/>
      <c r="N194" s="11"/>
      <c r="O194" s="13">
        <v>0</v>
      </c>
      <c r="P194" s="13">
        <v>0</v>
      </c>
      <c r="Q194" s="13">
        <v>0</v>
      </c>
      <c r="R194" s="13">
        <v>43359.635499999997</v>
      </c>
      <c r="S194" s="13">
        <v>924.74530000000004</v>
      </c>
      <c r="T194" s="13">
        <v>42434.890200000002</v>
      </c>
      <c r="U194" s="13">
        <v>0</v>
      </c>
      <c r="V194" s="13">
        <v>0</v>
      </c>
      <c r="W194" s="13">
        <v>0</v>
      </c>
      <c r="X194" s="13">
        <v>2817.0735</v>
      </c>
      <c r="Y194" s="13">
        <v>64.606800000000007</v>
      </c>
      <c r="Z194" s="13">
        <v>2752.4666999999999</v>
      </c>
      <c r="AA194" s="13">
        <v>0</v>
      </c>
      <c r="AB194" s="13">
        <v>0</v>
      </c>
      <c r="AC194" s="13">
        <v>0</v>
      </c>
      <c r="AD194" s="13">
        <v>3777.5047</v>
      </c>
      <c r="AE194" s="13">
        <v>99.320499999999996</v>
      </c>
      <c r="AF194" s="13">
        <v>3678.1842000000001</v>
      </c>
      <c r="AG194" s="13">
        <v>0</v>
      </c>
      <c r="AH194" s="13">
        <v>0</v>
      </c>
      <c r="AI194" s="13">
        <v>0</v>
      </c>
      <c r="AJ194" s="13">
        <v>2849.6659</v>
      </c>
      <c r="AK194" s="13">
        <v>84.856300000000005</v>
      </c>
      <c r="AL194" s="13">
        <v>2764.8096</v>
      </c>
      <c r="AM194" s="13">
        <v>0</v>
      </c>
      <c r="AN194" s="13">
        <v>0</v>
      </c>
      <c r="AO194" s="13">
        <v>0</v>
      </c>
      <c r="AP194" s="13">
        <v>2721.9947000000002</v>
      </c>
      <c r="AQ194" s="13">
        <v>55.9283</v>
      </c>
      <c r="AR194" s="13">
        <v>2666.0664000000002</v>
      </c>
      <c r="AS194" s="13">
        <v>0</v>
      </c>
      <c r="AT194" s="13">
        <v>0</v>
      </c>
      <c r="AU194" s="13">
        <v>0</v>
      </c>
      <c r="AV194" s="13">
        <v>4167.2708000000002</v>
      </c>
      <c r="AW194" s="13">
        <v>69.427999999999997</v>
      </c>
      <c r="AX194" s="13">
        <v>4097.8428000000004</v>
      </c>
      <c r="AY194" s="13">
        <v>0</v>
      </c>
      <c r="AZ194" s="13">
        <v>0</v>
      </c>
      <c r="BA194" s="13">
        <v>0</v>
      </c>
      <c r="BB194" s="13">
        <v>2476.2934999999998</v>
      </c>
      <c r="BC194" s="13">
        <v>69.427999999999997</v>
      </c>
      <c r="BD194" s="13">
        <v>2406.8654999999999</v>
      </c>
      <c r="BE194" s="13">
        <v>0</v>
      </c>
      <c r="BF194" s="13">
        <v>0</v>
      </c>
      <c r="BG194" s="13">
        <v>0</v>
      </c>
      <c r="BH194" s="13">
        <v>3276.268</v>
      </c>
      <c r="BI194" s="13">
        <v>104.1427</v>
      </c>
      <c r="BJ194" s="13">
        <v>3172.1253000000002</v>
      </c>
      <c r="BK194" s="13">
        <v>0</v>
      </c>
      <c r="BL194" s="13">
        <v>0</v>
      </c>
      <c r="BM194" s="13">
        <v>0</v>
      </c>
      <c r="BN194" s="13">
        <v>4036.7067000000002</v>
      </c>
      <c r="BO194" s="13">
        <v>99.321600000000004</v>
      </c>
      <c r="BP194" s="13">
        <v>3937.3851</v>
      </c>
      <c r="BQ194" s="13">
        <v>0</v>
      </c>
      <c r="BR194" s="13">
        <v>0</v>
      </c>
      <c r="BS194" s="13">
        <v>0</v>
      </c>
      <c r="BT194" s="13">
        <v>3616.8550999999998</v>
      </c>
      <c r="BU194" s="13">
        <v>86.785700000000006</v>
      </c>
      <c r="BV194" s="13">
        <v>3530.0693999999999</v>
      </c>
      <c r="BW194" s="13">
        <v>0</v>
      </c>
      <c r="BX194" s="13">
        <v>0</v>
      </c>
      <c r="BY194" s="13">
        <v>0</v>
      </c>
      <c r="BZ194" s="13">
        <v>3307.1256999999996</v>
      </c>
      <c r="CA194" s="13">
        <v>11.571400000000001</v>
      </c>
      <c r="CB194" s="13">
        <v>3295.5542999999998</v>
      </c>
      <c r="CC194" s="13">
        <v>0</v>
      </c>
      <c r="CD194" s="13">
        <v>0</v>
      </c>
      <c r="CE194" s="13">
        <v>0</v>
      </c>
      <c r="CF194" s="13">
        <v>4008.7417999999998</v>
      </c>
      <c r="CG194" s="13">
        <v>71.356700000000004</v>
      </c>
      <c r="CH194" s="13">
        <v>3937.3851</v>
      </c>
      <c r="CI194" s="13">
        <v>0</v>
      </c>
      <c r="CJ194" s="13">
        <v>0</v>
      </c>
      <c r="CK194" s="13">
        <v>0</v>
      </c>
      <c r="CL194" s="13">
        <v>3110.4102000000003</v>
      </c>
      <c r="CM194" s="13">
        <v>61.713900000000002</v>
      </c>
      <c r="CN194" s="13">
        <v>3048.6963000000001</v>
      </c>
      <c r="CO194" s="13">
        <v>0</v>
      </c>
      <c r="CP194" s="13">
        <v>0</v>
      </c>
      <c r="CQ194" s="13">
        <v>0</v>
      </c>
      <c r="CR194" s="13">
        <v>3193.7249000000002</v>
      </c>
      <c r="CS194" s="13">
        <v>46.285400000000003</v>
      </c>
      <c r="CT194" s="13">
        <v>3147.4395</v>
      </c>
      <c r="CU194" s="13">
        <f t="shared" si="20"/>
        <v>0</v>
      </c>
      <c r="CV194" s="13">
        <f t="shared" si="20"/>
        <v>0</v>
      </c>
      <c r="CW194" s="13">
        <f t="shared" si="20"/>
        <v>0</v>
      </c>
      <c r="CX194" s="13">
        <f t="shared" si="20"/>
        <v>40542.562000000005</v>
      </c>
      <c r="CY194" s="13">
        <f t="shared" si="20"/>
        <v>860.13850000000002</v>
      </c>
      <c r="CZ194" s="13">
        <f t="shared" si="20"/>
        <v>39682.423500000004</v>
      </c>
      <c r="DA194" s="13">
        <f t="shared" si="21"/>
        <v>0</v>
      </c>
      <c r="DB194" s="13">
        <f t="shared" si="21"/>
        <v>0</v>
      </c>
      <c r="DC194" s="13">
        <f t="shared" si="21"/>
        <v>0</v>
      </c>
      <c r="DD194" s="13">
        <f t="shared" si="21"/>
        <v>10312.876899999999</v>
      </c>
      <c r="DE194" s="13">
        <f t="shared" si="21"/>
        <v>179.35600000000002</v>
      </c>
      <c r="DF194" s="13">
        <f t="shared" si="21"/>
        <v>10133.5209</v>
      </c>
      <c r="DG194" s="13">
        <f t="shared" si="22"/>
        <v>0</v>
      </c>
      <c r="DH194" s="13">
        <f t="shared" si="22"/>
        <v>0</v>
      </c>
      <c r="DI194" s="13">
        <f t="shared" si="22"/>
        <v>0</v>
      </c>
      <c r="DJ194" s="13">
        <f t="shared" si="22"/>
        <v>10960.6875</v>
      </c>
      <c r="DK194" s="13">
        <f t="shared" si="22"/>
        <v>197.67870000000002</v>
      </c>
      <c r="DL194" s="13">
        <f t="shared" si="22"/>
        <v>10763.0088</v>
      </c>
      <c r="DM194" s="13">
        <f t="shared" si="23"/>
        <v>0</v>
      </c>
      <c r="DN194" s="13">
        <f t="shared" si="23"/>
        <v>0</v>
      </c>
      <c r="DO194" s="13">
        <f t="shared" si="23"/>
        <v>0</v>
      </c>
      <c r="DP194" s="13">
        <f t="shared" si="23"/>
        <v>6304.1351000000004</v>
      </c>
      <c r="DQ194" s="13">
        <f t="shared" si="23"/>
        <v>107.99930000000001</v>
      </c>
      <c r="DR194" s="13">
        <f t="shared" si="23"/>
        <v>6196.1358</v>
      </c>
      <c r="DS194" s="14" t="s">
        <v>71</v>
      </c>
      <c r="DT194" s="14" t="s">
        <v>72</v>
      </c>
      <c r="DU194" s="14" t="s">
        <v>187</v>
      </c>
      <c r="DV194" s="14" t="s">
        <v>82</v>
      </c>
      <c r="DW194" s="14" t="s">
        <v>64</v>
      </c>
    </row>
    <row r="195" spans="2:127" x14ac:dyDescent="0.3">
      <c r="B195" s="11" t="s">
        <v>75</v>
      </c>
      <c r="C195" s="14">
        <v>5001341854</v>
      </c>
      <c r="D195" s="11" t="s">
        <v>663</v>
      </c>
      <c r="E195" s="11" t="s">
        <v>522</v>
      </c>
      <c r="F195" s="11" t="s">
        <v>664</v>
      </c>
      <c r="G195" s="11" t="s">
        <v>331</v>
      </c>
      <c r="H195" s="11" t="s">
        <v>220</v>
      </c>
      <c r="I195" s="11">
        <v>27834</v>
      </c>
      <c r="J195" s="11" t="s">
        <v>80</v>
      </c>
      <c r="K195" s="11"/>
      <c r="L195" s="11"/>
      <c r="M195" s="11"/>
      <c r="N195" s="11"/>
      <c r="O195" s="13">
        <v>857</v>
      </c>
      <c r="P195" s="13">
        <v>857</v>
      </c>
      <c r="Q195" s="13">
        <v>0</v>
      </c>
      <c r="R195" s="13">
        <v>27317.473900000001</v>
      </c>
      <c r="S195" s="13">
        <v>1113.4972</v>
      </c>
      <c r="T195" s="13">
        <v>26203.976699999999</v>
      </c>
      <c r="U195" s="13">
        <v>29</v>
      </c>
      <c r="V195" s="13">
        <v>29</v>
      </c>
      <c r="W195" s="13">
        <v>0</v>
      </c>
      <c r="X195" s="13">
        <v>1510.9186999999999</v>
      </c>
      <c r="Y195" s="13">
        <v>79.142300000000006</v>
      </c>
      <c r="Z195" s="13">
        <v>1431.7764</v>
      </c>
      <c r="AA195" s="13">
        <v>104</v>
      </c>
      <c r="AB195" s="13">
        <v>104</v>
      </c>
      <c r="AC195" s="13">
        <v>0</v>
      </c>
      <c r="AD195" s="13">
        <v>2058.806</v>
      </c>
      <c r="AE195" s="13">
        <v>157.99940000000001</v>
      </c>
      <c r="AF195" s="13">
        <v>1900.8065999999999</v>
      </c>
      <c r="AG195" s="13">
        <v>72</v>
      </c>
      <c r="AH195" s="13">
        <v>72</v>
      </c>
      <c r="AI195" s="13">
        <v>0</v>
      </c>
      <c r="AJ195" s="13">
        <v>1462.1190000000001</v>
      </c>
      <c r="AK195" s="13">
        <v>79.714200000000005</v>
      </c>
      <c r="AL195" s="13">
        <v>1382.4048</v>
      </c>
      <c r="AM195" s="13">
        <v>64</v>
      </c>
      <c r="AN195" s="13">
        <v>64</v>
      </c>
      <c r="AO195" s="13">
        <v>0</v>
      </c>
      <c r="AP195" s="13">
        <v>2029.9920000000002</v>
      </c>
      <c r="AQ195" s="13">
        <v>104.4996</v>
      </c>
      <c r="AR195" s="13">
        <v>1925.4924000000001</v>
      </c>
      <c r="AS195" s="13">
        <v>82</v>
      </c>
      <c r="AT195" s="13">
        <v>82</v>
      </c>
      <c r="AU195" s="13">
        <v>0</v>
      </c>
      <c r="AV195" s="13">
        <v>2511.2365</v>
      </c>
      <c r="AW195" s="13">
        <v>116.7139</v>
      </c>
      <c r="AX195" s="13">
        <v>2394.5225999999998</v>
      </c>
      <c r="AY195" s="13">
        <v>58</v>
      </c>
      <c r="AZ195" s="13">
        <v>58</v>
      </c>
      <c r="BA195" s="13">
        <v>0</v>
      </c>
      <c r="BB195" s="13">
        <v>2094.5785000000001</v>
      </c>
      <c r="BC195" s="13">
        <v>58</v>
      </c>
      <c r="BD195" s="13">
        <v>2036.5785000000001</v>
      </c>
      <c r="BE195" s="13">
        <v>45</v>
      </c>
      <c r="BF195" s="13">
        <v>45</v>
      </c>
      <c r="BG195" s="13">
        <v>0</v>
      </c>
      <c r="BH195" s="13">
        <v>2192.6646000000001</v>
      </c>
      <c r="BI195" s="13">
        <v>45</v>
      </c>
      <c r="BJ195" s="13">
        <v>2147.6646000000001</v>
      </c>
      <c r="BK195" s="13">
        <v>58</v>
      </c>
      <c r="BL195" s="13">
        <v>58</v>
      </c>
      <c r="BM195" s="13">
        <v>0</v>
      </c>
      <c r="BN195" s="13">
        <v>2707.0947999999999</v>
      </c>
      <c r="BO195" s="13">
        <v>65.714200000000005</v>
      </c>
      <c r="BP195" s="13">
        <v>2641.3806</v>
      </c>
      <c r="BQ195" s="13">
        <v>56</v>
      </c>
      <c r="BR195" s="13">
        <v>56</v>
      </c>
      <c r="BS195" s="13">
        <v>0</v>
      </c>
      <c r="BT195" s="13">
        <v>1895.0921000000001</v>
      </c>
      <c r="BU195" s="13">
        <v>56</v>
      </c>
      <c r="BV195" s="13">
        <v>1839.0921000000001</v>
      </c>
      <c r="BW195" s="13">
        <v>57</v>
      </c>
      <c r="BX195" s="13">
        <v>57</v>
      </c>
      <c r="BY195" s="13">
        <v>0</v>
      </c>
      <c r="BZ195" s="13">
        <v>2195.4071999999996</v>
      </c>
      <c r="CA195" s="13">
        <v>72.428399999999996</v>
      </c>
      <c r="CB195" s="13">
        <v>2122.9787999999999</v>
      </c>
      <c r="CC195" s="13">
        <v>95</v>
      </c>
      <c r="CD195" s="13">
        <v>95</v>
      </c>
      <c r="CE195" s="13">
        <v>0</v>
      </c>
      <c r="CF195" s="13">
        <v>2616.0371</v>
      </c>
      <c r="CG195" s="13">
        <v>110.4284</v>
      </c>
      <c r="CH195" s="13">
        <v>2505.6087000000002</v>
      </c>
      <c r="CI195" s="13">
        <v>80</v>
      </c>
      <c r="CJ195" s="13">
        <v>80</v>
      </c>
      <c r="CK195" s="13">
        <v>0</v>
      </c>
      <c r="CL195" s="13">
        <v>1959.2063000000001</v>
      </c>
      <c r="CM195" s="13">
        <v>95.428399999999996</v>
      </c>
      <c r="CN195" s="13">
        <v>1863.7779</v>
      </c>
      <c r="CO195" s="13">
        <v>57</v>
      </c>
      <c r="CP195" s="13">
        <v>57</v>
      </c>
      <c r="CQ195" s="13">
        <v>0</v>
      </c>
      <c r="CR195" s="13">
        <v>2084.3211000000001</v>
      </c>
      <c r="CS195" s="13">
        <v>72.428399999999996</v>
      </c>
      <c r="CT195" s="13">
        <v>2011.8927000000001</v>
      </c>
      <c r="CU195" s="13">
        <f t="shared" si="20"/>
        <v>828</v>
      </c>
      <c r="CV195" s="13">
        <f t="shared" si="20"/>
        <v>828</v>
      </c>
      <c r="CW195" s="13">
        <f t="shared" si="20"/>
        <v>0</v>
      </c>
      <c r="CX195" s="13">
        <f t="shared" si="20"/>
        <v>25806.555200000006</v>
      </c>
      <c r="CY195" s="13">
        <f t="shared" si="20"/>
        <v>1034.3549</v>
      </c>
      <c r="CZ195" s="13">
        <f t="shared" si="20"/>
        <v>24772.2003</v>
      </c>
      <c r="DA195" s="13">
        <f t="shared" si="21"/>
        <v>232</v>
      </c>
      <c r="DB195" s="13">
        <f t="shared" si="21"/>
        <v>232</v>
      </c>
      <c r="DC195" s="13">
        <f t="shared" si="21"/>
        <v>0</v>
      </c>
      <c r="DD195" s="13">
        <f t="shared" si="21"/>
        <v>6659.5645000000004</v>
      </c>
      <c r="DE195" s="13">
        <f t="shared" si="21"/>
        <v>278.28519999999997</v>
      </c>
      <c r="DF195" s="13">
        <f t="shared" si="21"/>
        <v>6381.2793000000001</v>
      </c>
      <c r="DG195" s="13">
        <f t="shared" si="22"/>
        <v>171</v>
      </c>
      <c r="DH195" s="13">
        <f t="shared" si="22"/>
        <v>171</v>
      </c>
      <c r="DI195" s="13">
        <f t="shared" si="22"/>
        <v>0</v>
      </c>
      <c r="DJ195" s="13">
        <f t="shared" si="22"/>
        <v>6797.5940999999993</v>
      </c>
      <c r="DK195" s="13">
        <f t="shared" si="22"/>
        <v>194.14260000000002</v>
      </c>
      <c r="DL195" s="13">
        <f t="shared" si="22"/>
        <v>6603.4515000000001</v>
      </c>
      <c r="DM195" s="13">
        <f t="shared" si="23"/>
        <v>137</v>
      </c>
      <c r="DN195" s="13">
        <f t="shared" si="23"/>
        <v>137</v>
      </c>
      <c r="DO195" s="13">
        <f t="shared" si="23"/>
        <v>0</v>
      </c>
      <c r="DP195" s="13">
        <f t="shared" si="23"/>
        <v>4043.5273999999999</v>
      </c>
      <c r="DQ195" s="13">
        <f t="shared" si="23"/>
        <v>167.85679999999999</v>
      </c>
      <c r="DR195" s="13">
        <f t="shared" si="23"/>
        <v>3875.6706000000004</v>
      </c>
      <c r="DS195" s="14" t="s">
        <v>71</v>
      </c>
      <c r="DT195" s="14" t="s">
        <v>81</v>
      </c>
      <c r="DU195" s="14" t="s">
        <v>73</v>
      </c>
      <c r="DV195" s="14" t="s">
        <v>82</v>
      </c>
      <c r="DW195" s="14" t="s">
        <v>126</v>
      </c>
    </row>
    <row r="196" spans="2:127" x14ac:dyDescent="0.3">
      <c r="B196" s="11" t="s">
        <v>65</v>
      </c>
      <c r="C196" s="14">
        <v>5001341855</v>
      </c>
      <c r="D196" s="11" t="s">
        <v>665</v>
      </c>
      <c r="E196" s="11" t="s">
        <v>522</v>
      </c>
      <c r="F196" s="11" t="s">
        <v>666</v>
      </c>
      <c r="G196" s="11" t="s">
        <v>667</v>
      </c>
      <c r="H196" s="11" t="s">
        <v>216</v>
      </c>
      <c r="I196" s="11">
        <v>44122</v>
      </c>
      <c r="J196" s="11" t="s">
        <v>80</v>
      </c>
      <c r="K196" s="11"/>
      <c r="L196" s="11"/>
      <c r="M196" s="11"/>
      <c r="N196" s="11"/>
      <c r="O196" s="13">
        <v>1762</v>
      </c>
      <c r="P196" s="13">
        <v>1762</v>
      </c>
      <c r="Q196" s="13">
        <v>0</v>
      </c>
      <c r="R196" s="13">
        <v>46892.844299999997</v>
      </c>
      <c r="S196" s="13">
        <v>2223.8892000000001</v>
      </c>
      <c r="T196" s="13">
        <v>44668.955099999999</v>
      </c>
      <c r="U196" s="13">
        <v>144</v>
      </c>
      <c r="V196" s="13">
        <v>144</v>
      </c>
      <c r="W196" s="13">
        <v>0</v>
      </c>
      <c r="X196" s="13">
        <v>3969.1413000000002</v>
      </c>
      <c r="Y196" s="13">
        <v>192.2139</v>
      </c>
      <c r="Z196" s="13">
        <v>3776.9274</v>
      </c>
      <c r="AA196" s="13">
        <v>196</v>
      </c>
      <c r="AB196" s="13">
        <v>196</v>
      </c>
      <c r="AC196" s="13">
        <v>0</v>
      </c>
      <c r="AD196" s="13">
        <v>4288.8279999999995</v>
      </c>
      <c r="AE196" s="13">
        <v>240.35679999999999</v>
      </c>
      <c r="AF196" s="13">
        <v>4048.4712</v>
      </c>
      <c r="AG196" s="13">
        <v>142</v>
      </c>
      <c r="AH196" s="13">
        <v>142</v>
      </c>
      <c r="AI196" s="13">
        <v>0</v>
      </c>
      <c r="AJ196" s="13">
        <v>3561.7541999999999</v>
      </c>
      <c r="AK196" s="13">
        <v>192.14249999999998</v>
      </c>
      <c r="AL196" s="13">
        <v>3369.6116999999999</v>
      </c>
      <c r="AM196" s="13">
        <v>135</v>
      </c>
      <c r="AN196" s="13">
        <v>135</v>
      </c>
      <c r="AO196" s="13">
        <v>0</v>
      </c>
      <c r="AP196" s="13">
        <v>2938.1880000000001</v>
      </c>
      <c r="AQ196" s="13">
        <v>161.03550000000001</v>
      </c>
      <c r="AR196" s="13">
        <v>2777.1525000000001</v>
      </c>
      <c r="AS196" s="13">
        <v>232</v>
      </c>
      <c r="AT196" s="13">
        <v>232</v>
      </c>
      <c r="AU196" s="13">
        <v>0</v>
      </c>
      <c r="AV196" s="13">
        <v>3959.5551</v>
      </c>
      <c r="AW196" s="13">
        <v>293.71379999999999</v>
      </c>
      <c r="AX196" s="13">
        <v>3665.8413</v>
      </c>
      <c r="AY196" s="13">
        <v>159</v>
      </c>
      <c r="AZ196" s="13">
        <v>159</v>
      </c>
      <c r="BA196" s="13">
        <v>0</v>
      </c>
      <c r="BB196" s="13">
        <v>3097.1882999999998</v>
      </c>
      <c r="BC196" s="13">
        <v>196.60679999999999</v>
      </c>
      <c r="BD196" s="13">
        <v>2900.5814999999998</v>
      </c>
      <c r="BE196" s="13">
        <v>119</v>
      </c>
      <c r="BF196" s="13">
        <v>119</v>
      </c>
      <c r="BG196" s="13">
        <v>0</v>
      </c>
      <c r="BH196" s="13">
        <v>3035.0099</v>
      </c>
      <c r="BI196" s="13">
        <v>134.42840000000001</v>
      </c>
      <c r="BJ196" s="13">
        <v>2900.5814999999998</v>
      </c>
      <c r="BK196" s="13">
        <v>147</v>
      </c>
      <c r="BL196" s="13">
        <v>147</v>
      </c>
      <c r="BM196" s="13">
        <v>0</v>
      </c>
      <c r="BN196" s="13">
        <v>4261.6208999999999</v>
      </c>
      <c r="BO196" s="13">
        <v>188.4639</v>
      </c>
      <c r="BP196" s="13">
        <v>4073.1570000000002</v>
      </c>
      <c r="BQ196" s="13">
        <v>104</v>
      </c>
      <c r="BR196" s="13">
        <v>104</v>
      </c>
      <c r="BS196" s="13">
        <v>0</v>
      </c>
      <c r="BT196" s="13">
        <v>3211.9033999999997</v>
      </c>
      <c r="BU196" s="13">
        <v>126.1784</v>
      </c>
      <c r="BV196" s="13">
        <v>3085.7249999999999</v>
      </c>
      <c r="BW196" s="13">
        <v>98</v>
      </c>
      <c r="BX196" s="13">
        <v>98</v>
      </c>
      <c r="BY196" s="13">
        <v>0</v>
      </c>
      <c r="BZ196" s="13">
        <v>3304.6465999999996</v>
      </c>
      <c r="CA196" s="13">
        <v>120.1784</v>
      </c>
      <c r="CB196" s="13">
        <v>3184.4681999999998</v>
      </c>
      <c r="CC196" s="13">
        <v>159</v>
      </c>
      <c r="CD196" s="13">
        <v>159</v>
      </c>
      <c r="CE196" s="13">
        <v>0</v>
      </c>
      <c r="CF196" s="13">
        <v>4283.0711000000001</v>
      </c>
      <c r="CG196" s="13">
        <v>197.5712</v>
      </c>
      <c r="CH196" s="13">
        <v>4085.4998999999998</v>
      </c>
      <c r="CI196" s="13">
        <v>55</v>
      </c>
      <c r="CJ196" s="13">
        <v>55</v>
      </c>
      <c r="CK196" s="13">
        <v>0</v>
      </c>
      <c r="CL196" s="13">
        <v>3687.0909000000001</v>
      </c>
      <c r="CM196" s="13">
        <v>82.964100000000002</v>
      </c>
      <c r="CN196" s="13">
        <v>3604.1268</v>
      </c>
      <c r="CO196" s="13">
        <v>72</v>
      </c>
      <c r="CP196" s="13">
        <v>72</v>
      </c>
      <c r="CQ196" s="13">
        <v>0</v>
      </c>
      <c r="CR196" s="13">
        <v>3294.8465999999999</v>
      </c>
      <c r="CS196" s="13">
        <v>98.035499999999999</v>
      </c>
      <c r="CT196" s="13">
        <v>3196.8110999999999</v>
      </c>
      <c r="CU196" s="13">
        <f t="shared" si="20"/>
        <v>1618</v>
      </c>
      <c r="CV196" s="13">
        <f t="shared" si="20"/>
        <v>1618</v>
      </c>
      <c r="CW196" s="13">
        <f t="shared" si="20"/>
        <v>0</v>
      </c>
      <c r="CX196" s="13">
        <f t="shared" si="20"/>
        <v>42923.702999999994</v>
      </c>
      <c r="CY196" s="13">
        <f t="shared" si="20"/>
        <v>2031.6752999999999</v>
      </c>
      <c r="CZ196" s="13">
        <f t="shared" si="20"/>
        <v>40892.027699999991</v>
      </c>
      <c r="DA196" s="13">
        <f t="shared" si="21"/>
        <v>286</v>
      </c>
      <c r="DB196" s="13">
        <f t="shared" si="21"/>
        <v>286</v>
      </c>
      <c r="DC196" s="13">
        <f t="shared" si="21"/>
        <v>0</v>
      </c>
      <c r="DD196" s="13">
        <f t="shared" si="21"/>
        <v>11265.008600000001</v>
      </c>
      <c r="DE196" s="13">
        <f t="shared" si="21"/>
        <v>378.57080000000002</v>
      </c>
      <c r="DF196" s="13">
        <f t="shared" si="21"/>
        <v>10886.4378</v>
      </c>
      <c r="DG196" s="13">
        <f t="shared" si="22"/>
        <v>349</v>
      </c>
      <c r="DH196" s="13">
        <f t="shared" si="22"/>
        <v>349</v>
      </c>
      <c r="DI196" s="13">
        <f t="shared" si="22"/>
        <v>0</v>
      </c>
      <c r="DJ196" s="13">
        <f t="shared" si="22"/>
        <v>10778.170899999999</v>
      </c>
      <c r="DK196" s="13">
        <f t="shared" si="22"/>
        <v>434.82069999999999</v>
      </c>
      <c r="DL196" s="13">
        <f t="shared" si="22"/>
        <v>10343.350199999999</v>
      </c>
      <c r="DM196" s="13">
        <f t="shared" si="23"/>
        <v>127</v>
      </c>
      <c r="DN196" s="13">
        <f t="shared" si="23"/>
        <v>127</v>
      </c>
      <c r="DO196" s="13">
        <f t="shared" si="23"/>
        <v>0</v>
      </c>
      <c r="DP196" s="13">
        <f t="shared" si="23"/>
        <v>6981.9375</v>
      </c>
      <c r="DQ196" s="13">
        <f t="shared" si="23"/>
        <v>180.99959999999999</v>
      </c>
      <c r="DR196" s="13">
        <f t="shared" si="23"/>
        <v>6800.9378999999999</v>
      </c>
      <c r="DS196" s="14" t="s">
        <v>81</v>
      </c>
      <c r="DT196" s="14" t="s">
        <v>92</v>
      </c>
      <c r="DU196" s="14" t="s">
        <v>73</v>
      </c>
      <c r="DV196" s="14" t="s">
        <v>82</v>
      </c>
      <c r="DW196" s="14" t="s">
        <v>126</v>
      </c>
    </row>
    <row r="197" spans="2:127" x14ac:dyDescent="0.3">
      <c r="B197" s="11" t="s">
        <v>83</v>
      </c>
      <c r="C197" s="14">
        <v>5001341859</v>
      </c>
      <c r="D197" s="11" t="s">
        <v>668</v>
      </c>
      <c r="E197" s="11" t="s">
        <v>522</v>
      </c>
      <c r="F197" s="11" t="s">
        <v>669</v>
      </c>
      <c r="G197" s="11" t="s">
        <v>670</v>
      </c>
      <c r="H197" s="11" t="s">
        <v>227</v>
      </c>
      <c r="I197" s="11">
        <v>66160</v>
      </c>
      <c r="J197" s="11" t="s">
        <v>59</v>
      </c>
      <c r="K197" s="11"/>
      <c r="L197" s="11"/>
      <c r="M197" s="11"/>
      <c r="N197" s="11"/>
      <c r="O197" s="13">
        <v>638</v>
      </c>
      <c r="P197" s="13">
        <v>638</v>
      </c>
      <c r="Q197" s="13">
        <v>0</v>
      </c>
      <c r="R197" s="13">
        <v>65237.841899999999</v>
      </c>
      <c r="S197" s="13">
        <v>1005.3903</v>
      </c>
      <c r="T197" s="13">
        <v>64232.4516</v>
      </c>
      <c r="U197" s="13">
        <v>42</v>
      </c>
      <c r="V197" s="13">
        <v>42</v>
      </c>
      <c r="W197" s="13">
        <v>0</v>
      </c>
      <c r="X197" s="13">
        <v>4560.8504000000003</v>
      </c>
      <c r="Y197" s="13">
        <v>129.74930000000001</v>
      </c>
      <c r="Z197" s="13">
        <v>4431.1010999999999</v>
      </c>
      <c r="AA197" s="13">
        <v>81</v>
      </c>
      <c r="AB197" s="13">
        <v>81</v>
      </c>
      <c r="AC197" s="13">
        <v>0</v>
      </c>
      <c r="AD197" s="13">
        <v>5570.3108000000002</v>
      </c>
      <c r="AE197" s="13">
        <v>176.46350000000001</v>
      </c>
      <c r="AF197" s="13">
        <v>5393.8473000000004</v>
      </c>
      <c r="AG197" s="13">
        <v>81</v>
      </c>
      <c r="AH197" s="13">
        <v>81</v>
      </c>
      <c r="AI197" s="13">
        <v>0</v>
      </c>
      <c r="AJ197" s="13">
        <v>4814.8865999999998</v>
      </c>
      <c r="AK197" s="13">
        <v>198.642</v>
      </c>
      <c r="AL197" s="13">
        <v>4616.2446</v>
      </c>
      <c r="AM197" s="13">
        <v>66</v>
      </c>
      <c r="AN197" s="13">
        <v>66</v>
      </c>
      <c r="AO197" s="13">
        <v>0</v>
      </c>
      <c r="AP197" s="13">
        <v>4163.8428000000004</v>
      </c>
      <c r="AQ197" s="13">
        <v>66</v>
      </c>
      <c r="AR197" s="13">
        <v>4097.8428000000004</v>
      </c>
      <c r="AS197" s="13">
        <v>70</v>
      </c>
      <c r="AT197" s="13">
        <v>70</v>
      </c>
      <c r="AU197" s="13">
        <v>0</v>
      </c>
      <c r="AV197" s="13">
        <v>5375.3248999999996</v>
      </c>
      <c r="AW197" s="13">
        <v>117.2495</v>
      </c>
      <c r="AX197" s="13">
        <v>5258.0753999999997</v>
      </c>
      <c r="AY197" s="13">
        <v>9</v>
      </c>
      <c r="AZ197" s="13">
        <v>9</v>
      </c>
      <c r="BA197" s="13">
        <v>0</v>
      </c>
      <c r="BB197" s="13">
        <v>5090.6103999999996</v>
      </c>
      <c r="BC197" s="13">
        <v>17.6785</v>
      </c>
      <c r="BD197" s="13">
        <v>5072.9318999999996</v>
      </c>
      <c r="BE197" s="13">
        <v>32</v>
      </c>
      <c r="BF197" s="13">
        <v>32</v>
      </c>
      <c r="BG197" s="13">
        <v>0</v>
      </c>
      <c r="BH197" s="13">
        <v>4389.4295000000002</v>
      </c>
      <c r="BI197" s="13">
        <v>57.071600000000004</v>
      </c>
      <c r="BJ197" s="13">
        <v>4332.3579</v>
      </c>
      <c r="BK197" s="13">
        <v>45</v>
      </c>
      <c r="BL197" s="13">
        <v>45</v>
      </c>
      <c r="BM197" s="13">
        <v>0</v>
      </c>
      <c r="BN197" s="13">
        <v>5967.4708000000001</v>
      </c>
      <c r="BO197" s="13">
        <v>30.535899999999998</v>
      </c>
      <c r="BP197" s="13">
        <v>5936.9349000000002</v>
      </c>
      <c r="BQ197" s="13">
        <v>50</v>
      </c>
      <c r="BR197" s="13">
        <v>50</v>
      </c>
      <c r="BS197" s="13">
        <v>0</v>
      </c>
      <c r="BT197" s="13">
        <v>4567.5014000000001</v>
      </c>
      <c r="BU197" s="13">
        <v>50</v>
      </c>
      <c r="BV197" s="13">
        <v>4517.5014000000001</v>
      </c>
      <c r="BW197" s="13">
        <v>32</v>
      </c>
      <c r="BX197" s="13">
        <v>32</v>
      </c>
      <c r="BY197" s="13">
        <v>0</v>
      </c>
      <c r="BZ197" s="13">
        <v>5080.2461000000003</v>
      </c>
      <c r="CA197" s="13">
        <v>32</v>
      </c>
      <c r="CB197" s="13">
        <v>5048.2461000000003</v>
      </c>
      <c r="CC197" s="13">
        <v>59</v>
      </c>
      <c r="CD197" s="13">
        <v>59</v>
      </c>
      <c r="CE197" s="13">
        <v>0</v>
      </c>
      <c r="CF197" s="13">
        <v>5551.5905000000002</v>
      </c>
      <c r="CG197" s="13">
        <v>59</v>
      </c>
      <c r="CH197" s="13">
        <v>5492.5905000000002</v>
      </c>
      <c r="CI197" s="13">
        <v>46</v>
      </c>
      <c r="CJ197" s="13">
        <v>46</v>
      </c>
      <c r="CK197" s="13">
        <v>0</v>
      </c>
      <c r="CL197" s="13">
        <v>5402.8185999999996</v>
      </c>
      <c r="CM197" s="13">
        <v>46</v>
      </c>
      <c r="CN197" s="13">
        <v>5356.8185999999996</v>
      </c>
      <c r="CO197" s="13">
        <v>25</v>
      </c>
      <c r="CP197" s="13">
        <v>25</v>
      </c>
      <c r="CQ197" s="13">
        <v>0</v>
      </c>
      <c r="CR197" s="13">
        <v>4702.9591</v>
      </c>
      <c r="CS197" s="13">
        <v>25</v>
      </c>
      <c r="CT197" s="13">
        <v>4677.9591</v>
      </c>
      <c r="CU197" s="13">
        <f t="shared" si="20"/>
        <v>596</v>
      </c>
      <c r="CV197" s="13">
        <f t="shared" si="20"/>
        <v>596</v>
      </c>
      <c r="CW197" s="13">
        <f t="shared" si="20"/>
        <v>0</v>
      </c>
      <c r="CX197" s="13">
        <f t="shared" si="20"/>
        <v>60676.991500000004</v>
      </c>
      <c r="CY197" s="13">
        <f t="shared" si="20"/>
        <v>875.64099999999996</v>
      </c>
      <c r="CZ197" s="13">
        <f t="shared" si="20"/>
        <v>59801.3505</v>
      </c>
      <c r="DA197" s="13">
        <f t="shared" si="21"/>
        <v>130</v>
      </c>
      <c r="DB197" s="13">
        <f t="shared" si="21"/>
        <v>130</v>
      </c>
      <c r="DC197" s="13">
        <f t="shared" si="21"/>
        <v>0</v>
      </c>
      <c r="DD197" s="13">
        <f t="shared" si="21"/>
        <v>15657.368200000001</v>
      </c>
      <c r="DE197" s="13">
        <f t="shared" si="21"/>
        <v>130</v>
      </c>
      <c r="DF197" s="13">
        <f t="shared" si="21"/>
        <v>15527.368200000001</v>
      </c>
      <c r="DG197" s="13">
        <f t="shared" si="22"/>
        <v>127</v>
      </c>
      <c r="DH197" s="13">
        <f t="shared" si="22"/>
        <v>127</v>
      </c>
      <c r="DI197" s="13">
        <f t="shared" si="22"/>
        <v>0</v>
      </c>
      <c r="DJ197" s="13">
        <f t="shared" si="22"/>
        <v>15615.2183</v>
      </c>
      <c r="DK197" s="13">
        <f t="shared" si="22"/>
        <v>112.5359</v>
      </c>
      <c r="DL197" s="13">
        <f t="shared" si="22"/>
        <v>15502.682400000002</v>
      </c>
      <c r="DM197" s="13">
        <f t="shared" si="23"/>
        <v>71</v>
      </c>
      <c r="DN197" s="13">
        <f t="shared" si="23"/>
        <v>71</v>
      </c>
      <c r="DO197" s="13">
        <f t="shared" si="23"/>
        <v>0</v>
      </c>
      <c r="DP197" s="13">
        <f t="shared" si="23"/>
        <v>10105.777699999999</v>
      </c>
      <c r="DQ197" s="13">
        <f t="shared" si="23"/>
        <v>71</v>
      </c>
      <c r="DR197" s="13">
        <f t="shared" si="23"/>
        <v>10034.777699999999</v>
      </c>
      <c r="DS197" s="14" t="s">
        <v>60</v>
      </c>
      <c r="DT197" s="14" t="s">
        <v>81</v>
      </c>
      <c r="DU197" s="14" t="s">
        <v>113</v>
      </c>
      <c r="DV197" s="14" t="s">
        <v>82</v>
      </c>
      <c r="DW197" s="14" t="s">
        <v>671</v>
      </c>
    </row>
    <row r="198" spans="2:127" x14ac:dyDescent="0.3">
      <c r="B198" s="11" t="s">
        <v>65</v>
      </c>
      <c r="C198" s="14">
        <v>5001341862</v>
      </c>
      <c r="D198" s="11" t="s">
        <v>672</v>
      </c>
      <c r="E198" s="11" t="s">
        <v>522</v>
      </c>
      <c r="F198" s="11" t="s">
        <v>673</v>
      </c>
      <c r="G198" s="11" t="s">
        <v>674</v>
      </c>
      <c r="H198" s="11" t="s">
        <v>291</v>
      </c>
      <c r="I198" s="11">
        <v>1605</v>
      </c>
      <c r="J198" s="11" t="s">
        <v>80</v>
      </c>
      <c r="K198" s="11"/>
      <c r="L198" s="11"/>
      <c r="M198" s="11"/>
      <c r="N198" s="11"/>
      <c r="O198" s="13">
        <v>447</v>
      </c>
      <c r="P198" s="13">
        <v>447</v>
      </c>
      <c r="Q198" s="13">
        <v>0</v>
      </c>
      <c r="R198" s="13">
        <v>20501.511699999999</v>
      </c>
      <c r="S198" s="13">
        <v>518.35659999999996</v>
      </c>
      <c r="T198" s="13">
        <v>19983.1551</v>
      </c>
      <c r="U198" s="13">
        <v>50</v>
      </c>
      <c r="V198" s="13">
        <v>50</v>
      </c>
      <c r="W198" s="13">
        <v>0</v>
      </c>
      <c r="X198" s="13">
        <v>1197.8896999999999</v>
      </c>
      <c r="Y198" s="13">
        <v>50</v>
      </c>
      <c r="Z198" s="13">
        <v>1147.8896999999999</v>
      </c>
      <c r="AA198" s="13">
        <v>20</v>
      </c>
      <c r="AB198" s="13">
        <v>20</v>
      </c>
      <c r="AC198" s="13">
        <v>0</v>
      </c>
      <c r="AD198" s="13">
        <v>1461.4192</v>
      </c>
      <c r="AE198" s="13">
        <v>29.642800000000001</v>
      </c>
      <c r="AF198" s="13">
        <v>1431.7764</v>
      </c>
      <c r="AG198" s="13">
        <v>80</v>
      </c>
      <c r="AH198" s="13">
        <v>80</v>
      </c>
      <c r="AI198" s="13">
        <v>0</v>
      </c>
      <c r="AJ198" s="13">
        <v>1472.0476000000001</v>
      </c>
      <c r="AK198" s="13">
        <v>89.642799999999994</v>
      </c>
      <c r="AL198" s="13">
        <v>1382.4048</v>
      </c>
      <c r="AM198" s="13">
        <v>12</v>
      </c>
      <c r="AN198" s="13">
        <v>12</v>
      </c>
      <c r="AO198" s="13">
        <v>0</v>
      </c>
      <c r="AP198" s="13">
        <v>1209.2612999999999</v>
      </c>
      <c r="AQ198" s="13">
        <v>12</v>
      </c>
      <c r="AR198" s="13">
        <v>1197.2612999999999</v>
      </c>
      <c r="AS198" s="13">
        <v>35</v>
      </c>
      <c r="AT198" s="13">
        <v>35</v>
      </c>
      <c r="AU198" s="13">
        <v>0</v>
      </c>
      <c r="AV198" s="13">
        <v>2031.8497</v>
      </c>
      <c r="AW198" s="13">
        <v>44.642800000000001</v>
      </c>
      <c r="AX198" s="13">
        <v>1987.2068999999999</v>
      </c>
      <c r="AY198" s="13">
        <v>12</v>
      </c>
      <c r="AZ198" s="13">
        <v>12</v>
      </c>
      <c r="BA198" s="13">
        <v>0</v>
      </c>
      <c r="BB198" s="13">
        <v>1317.6473000000001</v>
      </c>
      <c r="BC198" s="13">
        <v>21.642800000000001</v>
      </c>
      <c r="BD198" s="13">
        <v>1296.0045</v>
      </c>
      <c r="BE198" s="13">
        <v>39</v>
      </c>
      <c r="BF198" s="13">
        <v>39</v>
      </c>
      <c r="BG198" s="13">
        <v>0</v>
      </c>
      <c r="BH198" s="13">
        <v>1544.8338000000001</v>
      </c>
      <c r="BI198" s="13">
        <v>39</v>
      </c>
      <c r="BJ198" s="13">
        <v>1505.8338000000001</v>
      </c>
      <c r="BK198" s="13">
        <v>37</v>
      </c>
      <c r="BL198" s="13">
        <v>37</v>
      </c>
      <c r="BM198" s="13">
        <v>0</v>
      </c>
      <c r="BN198" s="13">
        <v>1920.8349999999998</v>
      </c>
      <c r="BO198" s="13">
        <v>44.714199999999998</v>
      </c>
      <c r="BP198" s="13">
        <v>1876.1207999999999</v>
      </c>
      <c r="BQ198" s="13">
        <v>67</v>
      </c>
      <c r="BR198" s="13">
        <v>67</v>
      </c>
      <c r="BS198" s="13">
        <v>0</v>
      </c>
      <c r="BT198" s="13">
        <v>1445.7403999999999</v>
      </c>
      <c r="BU198" s="13">
        <v>75.6785</v>
      </c>
      <c r="BV198" s="13">
        <v>1370.0618999999999</v>
      </c>
      <c r="BW198" s="13">
        <v>20</v>
      </c>
      <c r="BX198" s="13">
        <v>20</v>
      </c>
      <c r="BY198" s="13">
        <v>0</v>
      </c>
      <c r="BZ198" s="13">
        <v>2093.6071999999999</v>
      </c>
      <c r="CA198" s="13">
        <v>20</v>
      </c>
      <c r="CB198" s="13">
        <v>2073.6071999999999</v>
      </c>
      <c r="CC198" s="13">
        <v>55</v>
      </c>
      <c r="CD198" s="13">
        <v>55</v>
      </c>
      <c r="CE198" s="13">
        <v>0</v>
      </c>
      <c r="CF198" s="13">
        <v>1642.6053999999999</v>
      </c>
      <c r="CG198" s="13">
        <v>62.714199999999998</v>
      </c>
      <c r="CH198" s="13">
        <v>1579.8912</v>
      </c>
      <c r="CI198" s="13">
        <v>0</v>
      </c>
      <c r="CJ198" s="13">
        <v>0</v>
      </c>
      <c r="CK198" s="13">
        <v>0</v>
      </c>
      <c r="CL198" s="13">
        <v>1761.3703</v>
      </c>
      <c r="CM198" s="13">
        <v>8.6784999999999997</v>
      </c>
      <c r="CN198" s="13">
        <v>1752.6918000000001</v>
      </c>
      <c r="CO198" s="13">
        <v>20</v>
      </c>
      <c r="CP198" s="13">
        <v>20</v>
      </c>
      <c r="CQ198" s="13">
        <v>0</v>
      </c>
      <c r="CR198" s="13">
        <v>1402.4048</v>
      </c>
      <c r="CS198" s="13">
        <v>20</v>
      </c>
      <c r="CT198" s="13">
        <v>1382.4048</v>
      </c>
      <c r="CU198" s="13">
        <f t="shared" si="20"/>
        <v>397</v>
      </c>
      <c r="CV198" s="13">
        <f t="shared" si="20"/>
        <v>397</v>
      </c>
      <c r="CW198" s="13">
        <f t="shared" si="20"/>
        <v>0</v>
      </c>
      <c r="CX198" s="13">
        <f t="shared" si="20"/>
        <v>19303.621999999999</v>
      </c>
      <c r="CY198" s="13">
        <f t="shared" si="20"/>
        <v>468.35659999999996</v>
      </c>
      <c r="CZ198" s="13">
        <f t="shared" si="20"/>
        <v>18835.2654</v>
      </c>
      <c r="DA198" s="13">
        <f t="shared" si="21"/>
        <v>75</v>
      </c>
      <c r="DB198" s="13">
        <f t="shared" si="21"/>
        <v>75</v>
      </c>
      <c r="DC198" s="13">
        <f t="shared" si="21"/>
        <v>0</v>
      </c>
      <c r="DD198" s="13">
        <f t="shared" si="21"/>
        <v>4806.3805000000002</v>
      </c>
      <c r="DE198" s="13">
        <f t="shared" si="21"/>
        <v>91.392699999999991</v>
      </c>
      <c r="DF198" s="13">
        <f t="shared" si="21"/>
        <v>4714.9877999999999</v>
      </c>
      <c r="DG198" s="13">
        <f t="shared" si="22"/>
        <v>124</v>
      </c>
      <c r="DH198" s="13">
        <f t="shared" si="22"/>
        <v>124</v>
      </c>
      <c r="DI198" s="13">
        <f t="shared" si="22"/>
        <v>0</v>
      </c>
      <c r="DJ198" s="13">
        <f t="shared" si="22"/>
        <v>5460.1826000000001</v>
      </c>
      <c r="DK198" s="13">
        <f t="shared" si="22"/>
        <v>140.39269999999999</v>
      </c>
      <c r="DL198" s="13">
        <f t="shared" si="22"/>
        <v>5319.7898999999998</v>
      </c>
      <c r="DM198" s="13">
        <f t="shared" si="23"/>
        <v>20</v>
      </c>
      <c r="DN198" s="13">
        <f t="shared" si="23"/>
        <v>20</v>
      </c>
      <c r="DO198" s="13">
        <f t="shared" si="23"/>
        <v>0</v>
      </c>
      <c r="DP198" s="13">
        <f t="shared" si="23"/>
        <v>3163.7750999999998</v>
      </c>
      <c r="DQ198" s="13">
        <f t="shared" si="23"/>
        <v>28.6785</v>
      </c>
      <c r="DR198" s="13">
        <f t="shared" si="23"/>
        <v>3135.0965999999999</v>
      </c>
      <c r="DS198" s="14" t="s">
        <v>60</v>
      </c>
      <c r="DT198" s="14" t="s">
        <v>81</v>
      </c>
      <c r="DU198" s="14" t="s">
        <v>73</v>
      </c>
      <c r="DV198" s="14" t="s">
        <v>82</v>
      </c>
      <c r="DW198" s="14" t="s">
        <v>74</v>
      </c>
    </row>
    <row r="199" spans="2:127" x14ac:dyDescent="0.3">
      <c r="B199" s="11" t="s">
        <v>65</v>
      </c>
      <c r="C199" s="14">
        <v>5001341865</v>
      </c>
      <c r="D199" s="11" t="s">
        <v>675</v>
      </c>
      <c r="E199" s="11" t="s">
        <v>522</v>
      </c>
      <c r="F199" s="11" t="s">
        <v>676</v>
      </c>
      <c r="G199" s="11" t="s">
        <v>677</v>
      </c>
      <c r="H199" s="11" t="s">
        <v>199</v>
      </c>
      <c r="I199" s="11">
        <v>48109</v>
      </c>
      <c r="J199" s="11" t="s">
        <v>59</v>
      </c>
      <c r="K199" s="11"/>
      <c r="L199" s="11"/>
      <c r="M199" s="11"/>
      <c r="N199" s="11"/>
      <c r="O199" s="13">
        <v>-10</v>
      </c>
      <c r="P199" s="13">
        <v>-10</v>
      </c>
      <c r="Q199" s="13">
        <v>0</v>
      </c>
      <c r="R199" s="13">
        <v>55029.469299999997</v>
      </c>
      <c r="S199" s="13">
        <v>2683.2303999999999</v>
      </c>
      <c r="T199" s="13">
        <v>52346.238899999997</v>
      </c>
      <c r="U199" s="13">
        <v>0</v>
      </c>
      <c r="V199" s="13">
        <v>0</v>
      </c>
      <c r="W199" s="13">
        <v>0</v>
      </c>
      <c r="X199" s="13">
        <v>4161.8658999999998</v>
      </c>
      <c r="Y199" s="13">
        <v>520.71040000000005</v>
      </c>
      <c r="Z199" s="13">
        <v>3641.1554999999998</v>
      </c>
      <c r="AA199" s="13">
        <v>0</v>
      </c>
      <c r="AB199" s="13">
        <v>0</v>
      </c>
      <c r="AC199" s="13">
        <v>0</v>
      </c>
      <c r="AD199" s="13">
        <v>5381.1140999999998</v>
      </c>
      <c r="AE199" s="13">
        <v>406.92540000000002</v>
      </c>
      <c r="AF199" s="13">
        <v>4974.1886999999997</v>
      </c>
      <c r="AG199" s="13">
        <v>0</v>
      </c>
      <c r="AH199" s="13">
        <v>0</v>
      </c>
      <c r="AI199" s="13">
        <v>0</v>
      </c>
      <c r="AJ199" s="13">
        <v>4356.6548000000003</v>
      </c>
      <c r="AK199" s="13">
        <v>283.49779999999998</v>
      </c>
      <c r="AL199" s="13">
        <v>4073.1570000000002</v>
      </c>
      <c r="AM199" s="13">
        <v>0</v>
      </c>
      <c r="AN199" s="13">
        <v>0</v>
      </c>
      <c r="AO199" s="13">
        <v>0</v>
      </c>
      <c r="AP199" s="13">
        <v>3981.5477000000001</v>
      </c>
      <c r="AQ199" s="13">
        <v>155.24870000000001</v>
      </c>
      <c r="AR199" s="13">
        <v>3826.299</v>
      </c>
      <c r="AS199" s="13">
        <v>0</v>
      </c>
      <c r="AT199" s="13">
        <v>0</v>
      </c>
      <c r="AU199" s="13">
        <v>0</v>
      </c>
      <c r="AV199" s="13">
        <v>4806.7858000000006</v>
      </c>
      <c r="AW199" s="13">
        <v>227.56989999999999</v>
      </c>
      <c r="AX199" s="13">
        <v>4579.2159000000001</v>
      </c>
      <c r="AY199" s="13">
        <v>-10</v>
      </c>
      <c r="AZ199" s="13">
        <v>-10</v>
      </c>
      <c r="BA199" s="13">
        <v>0</v>
      </c>
      <c r="BB199" s="13">
        <v>3479.5678000000003</v>
      </c>
      <c r="BC199" s="13">
        <v>134.64189999999999</v>
      </c>
      <c r="BD199" s="13">
        <v>3344.9259000000002</v>
      </c>
      <c r="BE199" s="13">
        <v>0</v>
      </c>
      <c r="BF199" s="13">
        <v>0</v>
      </c>
      <c r="BG199" s="13">
        <v>0</v>
      </c>
      <c r="BH199" s="13">
        <v>3205.4883</v>
      </c>
      <c r="BI199" s="13">
        <v>132.1062</v>
      </c>
      <c r="BJ199" s="13">
        <v>3073.3820999999998</v>
      </c>
      <c r="BK199" s="13">
        <v>0</v>
      </c>
      <c r="BL199" s="13">
        <v>0</v>
      </c>
      <c r="BM199" s="13">
        <v>0</v>
      </c>
      <c r="BN199" s="13">
        <v>4172.6698999999999</v>
      </c>
      <c r="BO199" s="13">
        <v>173.5703</v>
      </c>
      <c r="BP199" s="13">
        <v>3999.0996</v>
      </c>
      <c r="BQ199" s="13">
        <v>0</v>
      </c>
      <c r="BR199" s="13">
        <v>0</v>
      </c>
      <c r="BS199" s="13">
        <v>0</v>
      </c>
      <c r="BT199" s="13">
        <v>3202.7889</v>
      </c>
      <c r="BU199" s="13">
        <v>80.035200000000003</v>
      </c>
      <c r="BV199" s="13">
        <v>3122.7537000000002</v>
      </c>
      <c r="BW199" s="13">
        <v>0</v>
      </c>
      <c r="BX199" s="13">
        <v>0</v>
      </c>
      <c r="BY199" s="13">
        <v>0</v>
      </c>
      <c r="BZ199" s="13">
        <v>3672.7833000000001</v>
      </c>
      <c r="CA199" s="13">
        <v>80.999399999999994</v>
      </c>
      <c r="CB199" s="13">
        <v>3591.7838999999999</v>
      </c>
      <c r="CC199" s="13">
        <v>0</v>
      </c>
      <c r="CD199" s="13">
        <v>0</v>
      </c>
      <c r="CE199" s="13">
        <v>0</v>
      </c>
      <c r="CF199" s="13">
        <v>5311.8811999999998</v>
      </c>
      <c r="CG199" s="13">
        <v>164.89189999999999</v>
      </c>
      <c r="CH199" s="13">
        <v>5146.9893000000002</v>
      </c>
      <c r="CI199" s="13">
        <v>0</v>
      </c>
      <c r="CJ199" s="13">
        <v>0</v>
      </c>
      <c r="CK199" s="13">
        <v>0</v>
      </c>
      <c r="CL199" s="13">
        <v>4688.1778999999997</v>
      </c>
      <c r="CM199" s="13">
        <v>232.39099999999999</v>
      </c>
      <c r="CN199" s="13">
        <v>4455.7869000000001</v>
      </c>
      <c r="CO199" s="13">
        <v>0</v>
      </c>
      <c r="CP199" s="13">
        <v>0</v>
      </c>
      <c r="CQ199" s="13">
        <v>0</v>
      </c>
      <c r="CR199" s="13">
        <v>4608.1437000000005</v>
      </c>
      <c r="CS199" s="13">
        <v>90.642300000000006</v>
      </c>
      <c r="CT199" s="13">
        <v>4517.5014000000001</v>
      </c>
      <c r="CU199" s="13">
        <f t="shared" si="20"/>
        <v>-10</v>
      </c>
      <c r="CV199" s="13">
        <f t="shared" si="20"/>
        <v>-10</v>
      </c>
      <c r="CW199" s="13">
        <f t="shared" si="20"/>
        <v>0</v>
      </c>
      <c r="CX199" s="13">
        <f t="shared" si="20"/>
        <v>50867.6034</v>
      </c>
      <c r="CY199" s="13">
        <f t="shared" si="20"/>
        <v>2162.52</v>
      </c>
      <c r="CZ199" s="13">
        <f t="shared" si="20"/>
        <v>48705.083400000003</v>
      </c>
      <c r="DA199" s="13">
        <f t="shared" si="21"/>
        <v>0</v>
      </c>
      <c r="DB199" s="13">
        <f t="shared" si="21"/>
        <v>0</v>
      </c>
      <c r="DC199" s="13">
        <f t="shared" si="21"/>
        <v>0</v>
      </c>
      <c r="DD199" s="13">
        <f t="shared" si="21"/>
        <v>14608.202799999999</v>
      </c>
      <c r="DE199" s="13">
        <f t="shared" si="21"/>
        <v>487.92520000000002</v>
      </c>
      <c r="DF199" s="13">
        <f t="shared" si="21"/>
        <v>14120.277600000001</v>
      </c>
      <c r="DG199" s="13">
        <f t="shared" si="22"/>
        <v>0</v>
      </c>
      <c r="DH199" s="13">
        <f t="shared" si="22"/>
        <v>0</v>
      </c>
      <c r="DI199" s="13">
        <f t="shared" si="22"/>
        <v>0</v>
      </c>
      <c r="DJ199" s="13">
        <f t="shared" si="22"/>
        <v>11048.242099999999</v>
      </c>
      <c r="DK199" s="13">
        <f t="shared" si="22"/>
        <v>334.60489999999999</v>
      </c>
      <c r="DL199" s="13">
        <f t="shared" si="22"/>
        <v>10713.637200000001</v>
      </c>
      <c r="DM199" s="13">
        <f t="shared" si="23"/>
        <v>0</v>
      </c>
      <c r="DN199" s="13">
        <f t="shared" si="23"/>
        <v>0</v>
      </c>
      <c r="DO199" s="13">
        <f t="shared" si="23"/>
        <v>0</v>
      </c>
      <c r="DP199" s="13">
        <f t="shared" si="23"/>
        <v>9296.3215999999993</v>
      </c>
      <c r="DQ199" s="13">
        <f t="shared" si="23"/>
        <v>323.0333</v>
      </c>
      <c r="DR199" s="13">
        <f t="shared" si="23"/>
        <v>8973.2883000000002</v>
      </c>
      <c r="DS199" s="14" t="s">
        <v>81</v>
      </c>
      <c r="DT199" s="14" t="s">
        <v>81</v>
      </c>
      <c r="DU199" s="14" t="s">
        <v>62</v>
      </c>
      <c r="DV199" s="14" t="s">
        <v>82</v>
      </c>
      <c r="DW199" s="14" t="s">
        <v>74</v>
      </c>
    </row>
    <row r="200" spans="2:127" x14ac:dyDescent="0.3">
      <c r="B200" s="11" t="s">
        <v>53</v>
      </c>
      <c r="C200" s="14">
        <v>5001341872</v>
      </c>
      <c r="D200" s="11" t="s">
        <v>678</v>
      </c>
      <c r="E200" s="11" t="s">
        <v>522</v>
      </c>
      <c r="F200" s="11" t="s">
        <v>679</v>
      </c>
      <c r="G200" s="11" t="s">
        <v>680</v>
      </c>
      <c r="H200" s="11" t="s">
        <v>586</v>
      </c>
      <c r="I200" s="11">
        <v>80045</v>
      </c>
      <c r="J200" s="11" t="s">
        <v>59</v>
      </c>
      <c r="K200" s="11"/>
      <c r="L200" s="11"/>
      <c r="M200" s="11"/>
      <c r="N200" s="11"/>
      <c r="O200" s="13">
        <v>706</v>
      </c>
      <c r="P200" s="13">
        <v>706</v>
      </c>
      <c r="Q200" s="13">
        <v>0</v>
      </c>
      <c r="R200" s="13">
        <v>43872.388599999998</v>
      </c>
      <c r="S200" s="13">
        <v>1721.3851</v>
      </c>
      <c r="T200" s="13">
        <v>42151.003499999999</v>
      </c>
      <c r="U200" s="13">
        <v>62</v>
      </c>
      <c r="V200" s="13">
        <v>62</v>
      </c>
      <c r="W200" s="13">
        <v>0</v>
      </c>
      <c r="X200" s="13">
        <v>3529.1965</v>
      </c>
      <c r="Y200" s="13">
        <v>171.92770000000002</v>
      </c>
      <c r="Z200" s="13">
        <v>3357.2687999999998</v>
      </c>
      <c r="AA200" s="13">
        <v>26</v>
      </c>
      <c r="AB200" s="13">
        <v>26</v>
      </c>
      <c r="AC200" s="13">
        <v>0</v>
      </c>
      <c r="AD200" s="13">
        <v>3901.8619000000003</v>
      </c>
      <c r="AE200" s="13">
        <v>161.9632</v>
      </c>
      <c r="AF200" s="13">
        <v>3739.8987000000002</v>
      </c>
      <c r="AG200" s="13">
        <v>52</v>
      </c>
      <c r="AH200" s="13">
        <v>52</v>
      </c>
      <c r="AI200" s="13">
        <v>0</v>
      </c>
      <c r="AJ200" s="13">
        <v>2614.6938</v>
      </c>
      <c r="AK200" s="13">
        <v>121.428</v>
      </c>
      <c r="AL200" s="13">
        <v>2493.2658000000001</v>
      </c>
      <c r="AM200" s="13">
        <v>87</v>
      </c>
      <c r="AN200" s="13">
        <v>87</v>
      </c>
      <c r="AO200" s="13">
        <v>0</v>
      </c>
      <c r="AP200" s="13">
        <v>3252.9526999999998</v>
      </c>
      <c r="AQ200" s="13">
        <v>179.57060000000001</v>
      </c>
      <c r="AR200" s="13">
        <v>3073.3820999999998</v>
      </c>
      <c r="AS200" s="13">
        <v>74</v>
      </c>
      <c r="AT200" s="13">
        <v>74</v>
      </c>
      <c r="AU200" s="13">
        <v>0</v>
      </c>
      <c r="AV200" s="13">
        <v>3888.1482000000001</v>
      </c>
      <c r="AW200" s="13">
        <v>148.24950000000001</v>
      </c>
      <c r="AX200" s="13">
        <v>3739.8987000000002</v>
      </c>
      <c r="AY200" s="13">
        <v>88</v>
      </c>
      <c r="AZ200" s="13">
        <v>88</v>
      </c>
      <c r="BA200" s="13">
        <v>0</v>
      </c>
      <c r="BB200" s="13">
        <v>3235.6315999999997</v>
      </c>
      <c r="BC200" s="13">
        <v>162.24950000000001</v>
      </c>
      <c r="BD200" s="13">
        <v>3073.3820999999998</v>
      </c>
      <c r="BE200" s="13">
        <v>60</v>
      </c>
      <c r="BF200" s="13">
        <v>60</v>
      </c>
      <c r="BG200" s="13">
        <v>0</v>
      </c>
      <c r="BH200" s="13">
        <v>3069.7384000000002</v>
      </c>
      <c r="BI200" s="13">
        <v>119.78530000000001</v>
      </c>
      <c r="BJ200" s="13">
        <v>2949.9531000000002</v>
      </c>
      <c r="BK200" s="13">
        <v>80</v>
      </c>
      <c r="BL200" s="13">
        <v>80</v>
      </c>
      <c r="BM200" s="13">
        <v>0</v>
      </c>
      <c r="BN200" s="13">
        <v>4261.7350000000006</v>
      </c>
      <c r="BO200" s="13">
        <v>163.8922</v>
      </c>
      <c r="BP200" s="13">
        <v>4097.8428000000004</v>
      </c>
      <c r="BQ200" s="13">
        <v>37</v>
      </c>
      <c r="BR200" s="13">
        <v>37</v>
      </c>
      <c r="BS200" s="13">
        <v>0</v>
      </c>
      <c r="BT200" s="13">
        <v>3104.0169999999998</v>
      </c>
      <c r="BU200" s="13">
        <v>117.0352</v>
      </c>
      <c r="BV200" s="13">
        <v>2986.9818</v>
      </c>
      <c r="BW200" s="13">
        <v>45</v>
      </c>
      <c r="BX200" s="13">
        <v>45</v>
      </c>
      <c r="BY200" s="13">
        <v>0</v>
      </c>
      <c r="BZ200" s="13">
        <v>2756.3875000000003</v>
      </c>
      <c r="CA200" s="13">
        <v>90.321100000000001</v>
      </c>
      <c r="CB200" s="13">
        <v>2666.0664000000002</v>
      </c>
      <c r="CC200" s="13">
        <v>39</v>
      </c>
      <c r="CD200" s="13">
        <v>39</v>
      </c>
      <c r="CE200" s="13">
        <v>0</v>
      </c>
      <c r="CF200" s="13">
        <v>4354.0002999999997</v>
      </c>
      <c r="CG200" s="13">
        <v>83.356899999999996</v>
      </c>
      <c r="CH200" s="13">
        <v>4270.6433999999999</v>
      </c>
      <c r="CI200" s="13">
        <v>34</v>
      </c>
      <c r="CJ200" s="13">
        <v>34</v>
      </c>
      <c r="CK200" s="13">
        <v>0</v>
      </c>
      <c r="CL200" s="13">
        <v>2900.2521999999999</v>
      </c>
      <c r="CM200" s="13">
        <v>86.070999999999998</v>
      </c>
      <c r="CN200" s="13">
        <v>2814.1812</v>
      </c>
      <c r="CO200" s="13">
        <v>22</v>
      </c>
      <c r="CP200" s="13">
        <v>22</v>
      </c>
      <c r="CQ200" s="13">
        <v>0</v>
      </c>
      <c r="CR200" s="13">
        <v>3003.7735000000002</v>
      </c>
      <c r="CS200" s="13">
        <v>115.53489999999999</v>
      </c>
      <c r="CT200" s="13">
        <v>2888.2386000000001</v>
      </c>
      <c r="CU200" s="13">
        <f t="shared" si="20"/>
        <v>644</v>
      </c>
      <c r="CV200" s="13">
        <f t="shared" si="20"/>
        <v>644</v>
      </c>
      <c r="CW200" s="13">
        <f t="shared" si="20"/>
        <v>0</v>
      </c>
      <c r="CX200" s="13">
        <f t="shared" si="20"/>
        <v>40343.192100000007</v>
      </c>
      <c r="CY200" s="13">
        <f t="shared" si="20"/>
        <v>1549.4573999999998</v>
      </c>
      <c r="CZ200" s="13">
        <f t="shared" si="20"/>
        <v>38793.734699999994</v>
      </c>
      <c r="DA200" s="13">
        <f t="shared" si="21"/>
        <v>95</v>
      </c>
      <c r="DB200" s="13">
        <f t="shared" si="21"/>
        <v>95</v>
      </c>
      <c r="DC200" s="13">
        <f t="shared" si="21"/>
        <v>0</v>
      </c>
      <c r="DD200" s="13">
        <f t="shared" si="21"/>
        <v>10258.026</v>
      </c>
      <c r="DE200" s="13">
        <f t="shared" si="21"/>
        <v>284.96280000000002</v>
      </c>
      <c r="DF200" s="13">
        <f t="shared" si="21"/>
        <v>9973.0632000000005</v>
      </c>
      <c r="DG200" s="13">
        <f t="shared" si="22"/>
        <v>162</v>
      </c>
      <c r="DH200" s="13">
        <f t="shared" si="22"/>
        <v>162</v>
      </c>
      <c r="DI200" s="13">
        <f t="shared" si="22"/>
        <v>0</v>
      </c>
      <c r="DJ200" s="13">
        <f t="shared" si="22"/>
        <v>10122.139500000001</v>
      </c>
      <c r="DK200" s="13">
        <f t="shared" si="22"/>
        <v>371.24850000000004</v>
      </c>
      <c r="DL200" s="13">
        <f t="shared" si="22"/>
        <v>9750.8909999999996</v>
      </c>
      <c r="DM200" s="13">
        <f t="shared" si="23"/>
        <v>56</v>
      </c>
      <c r="DN200" s="13">
        <f t="shared" si="23"/>
        <v>56</v>
      </c>
      <c r="DO200" s="13">
        <f t="shared" si="23"/>
        <v>0</v>
      </c>
      <c r="DP200" s="13">
        <f t="shared" si="23"/>
        <v>5904.0257000000001</v>
      </c>
      <c r="DQ200" s="13">
        <f t="shared" si="23"/>
        <v>201.60589999999999</v>
      </c>
      <c r="DR200" s="13">
        <f t="shared" si="23"/>
        <v>5702.4197999999997</v>
      </c>
      <c r="DS200" s="14" t="s">
        <v>60</v>
      </c>
      <c r="DT200" s="14" t="s">
        <v>92</v>
      </c>
      <c r="DU200" s="14" t="s">
        <v>254</v>
      </c>
      <c r="DV200" s="14" t="s">
        <v>63</v>
      </c>
      <c r="DW200" s="14" t="s">
        <v>74</v>
      </c>
    </row>
    <row r="201" spans="2:127" x14ac:dyDescent="0.3">
      <c r="B201" s="11" t="s">
        <v>65</v>
      </c>
      <c r="C201" s="14">
        <v>5001341876</v>
      </c>
      <c r="D201" s="11" t="s">
        <v>681</v>
      </c>
      <c r="E201" s="11" t="s">
        <v>522</v>
      </c>
      <c r="F201" s="11" t="s">
        <v>682</v>
      </c>
      <c r="G201" s="11" t="s">
        <v>257</v>
      </c>
      <c r="H201" s="11" t="s">
        <v>239</v>
      </c>
      <c r="I201" s="11">
        <v>19104</v>
      </c>
      <c r="J201" s="11" t="s">
        <v>59</v>
      </c>
      <c r="K201" s="11"/>
      <c r="L201" s="11"/>
      <c r="M201" s="11"/>
      <c r="N201" s="11"/>
      <c r="O201" s="13">
        <v>356</v>
      </c>
      <c r="P201" s="13">
        <v>348</v>
      </c>
      <c r="Q201" s="13">
        <v>8</v>
      </c>
      <c r="R201" s="13">
        <v>142169.92689999999</v>
      </c>
      <c r="S201" s="13">
        <v>1687.3820000000001</v>
      </c>
      <c r="T201" s="13">
        <v>140482.54490000001</v>
      </c>
      <c r="U201" s="13">
        <v>22</v>
      </c>
      <c r="V201" s="13">
        <v>22</v>
      </c>
      <c r="W201" s="13">
        <v>0</v>
      </c>
      <c r="X201" s="13">
        <v>10372.677599999999</v>
      </c>
      <c r="Y201" s="13">
        <v>128.07060000000001</v>
      </c>
      <c r="Z201" s="13">
        <v>10244.607</v>
      </c>
      <c r="AA201" s="13">
        <v>29</v>
      </c>
      <c r="AB201" s="13">
        <v>29</v>
      </c>
      <c r="AC201" s="13">
        <v>0</v>
      </c>
      <c r="AD201" s="13">
        <v>12189.069</v>
      </c>
      <c r="AE201" s="13">
        <v>179.4273</v>
      </c>
      <c r="AF201" s="13">
        <v>12009.6417</v>
      </c>
      <c r="AG201" s="13">
        <v>45</v>
      </c>
      <c r="AH201" s="13">
        <v>45</v>
      </c>
      <c r="AI201" s="13">
        <v>0</v>
      </c>
      <c r="AJ201" s="13">
        <v>9495.6108000000004</v>
      </c>
      <c r="AK201" s="13">
        <v>90.320999999999998</v>
      </c>
      <c r="AL201" s="13">
        <v>9405.2898000000005</v>
      </c>
      <c r="AM201" s="13">
        <v>22</v>
      </c>
      <c r="AN201" s="13">
        <v>22</v>
      </c>
      <c r="AO201" s="13">
        <v>0</v>
      </c>
      <c r="AP201" s="13">
        <v>9091.3298999999988</v>
      </c>
      <c r="AQ201" s="13">
        <v>155.0703</v>
      </c>
      <c r="AR201" s="13">
        <v>8936.2595999999994</v>
      </c>
      <c r="AS201" s="13">
        <v>22</v>
      </c>
      <c r="AT201" s="13">
        <v>22</v>
      </c>
      <c r="AU201" s="13">
        <v>0</v>
      </c>
      <c r="AV201" s="13">
        <v>11956.812</v>
      </c>
      <c r="AW201" s="13">
        <v>95.2851</v>
      </c>
      <c r="AX201" s="13">
        <v>11861.526900000001</v>
      </c>
      <c r="AY201" s="13">
        <v>11</v>
      </c>
      <c r="AZ201" s="13">
        <v>11</v>
      </c>
      <c r="BA201" s="13">
        <v>0</v>
      </c>
      <c r="BB201" s="13">
        <v>9125.8443000000007</v>
      </c>
      <c r="BC201" s="13">
        <v>140.2131</v>
      </c>
      <c r="BD201" s="13">
        <v>8985.6311999999998</v>
      </c>
      <c r="BE201" s="13">
        <v>22</v>
      </c>
      <c r="BF201" s="13">
        <v>22</v>
      </c>
      <c r="BG201" s="13">
        <v>0</v>
      </c>
      <c r="BH201" s="13">
        <v>9507.1321000000007</v>
      </c>
      <c r="BI201" s="13">
        <v>89.499399999999994</v>
      </c>
      <c r="BJ201" s="13">
        <v>9417.6327000000001</v>
      </c>
      <c r="BK201" s="13">
        <v>41</v>
      </c>
      <c r="BL201" s="13">
        <v>41</v>
      </c>
      <c r="BM201" s="13">
        <v>0</v>
      </c>
      <c r="BN201" s="13">
        <v>13503.052099999999</v>
      </c>
      <c r="BO201" s="13">
        <v>209.74879999999999</v>
      </c>
      <c r="BP201" s="13">
        <v>13293.3033</v>
      </c>
      <c r="BQ201" s="13">
        <v>22</v>
      </c>
      <c r="BR201" s="13">
        <v>22</v>
      </c>
      <c r="BS201" s="13">
        <v>0</v>
      </c>
      <c r="BT201" s="13">
        <v>10928.4933</v>
      </c>
      <c r="BU201" s="13">
        <v>153.14160000000001</v>
      </c>
      <c r="BV201" s="13">
        <v>10775.351699999999</v>
      </c>
      <c r="BW201" s="13">
        <v>22</v>
      </c>
      <c r="BX201" s="13">
        <v>22</v>
      </c>
      <c r="BY201" s="13">
        <v>0</v>
      </c>
      <c r="BZ201" s="13">
        <v>10539.3073</v>
      </c>
      <c r="CA201" s="13">
        <v>97.213899999999995</v>
      </c>
      <c r="CB201" s="13">
        <v>10442.0934</v>
      </c>
      <c r="CC201" s="13">
        <v>43</v>
      </c>
      <c r="CD201" s="13">
        <v>43</v>
      </c>
      <c r="CE201" s="13">
        <v>0</v>
      </c>
      <c r="CF201" s="13">
        <v>13324.1525</v>
      </c>
      <c r="CG201" s="13">
        <v>117.2495</v>
      </c>
      <c r="CH201" s="13">
        <v>13206.903</v>
      </c>
      <c r="CI201" s="13">
        <v>36</v>
      </c>
      <c r="CJ201" s="13">
        <v>36</v>
      </c>
      <c r="CK201" s="13">
        <v>0</v>
      </c>
      <c r="CL201" s="13">
        <v>11165.051800000001</v>
      </c>
      <c r="CM201" s="13">
        <v>130.4992</v>
      </c>
      <c r="CN201" s="13">
        <v>11034.552600000001</v>
      </c>
      <c r="CO201" s="13">
        <v>19</v>
      </c>
      <c r="CP201" s="13">
        <v>11</v>
      </c>
      <c r="CQ201" s="13">
        <v>8</v>
      </c>
      <c r="CR201" s="13">
        <v>10971.394200000001</v>
      </c>
      <c r="CS201" s="13">
        <v>101.6422</v>
      </c>
      <c r="CT201" s="13">
        <v>10869.752</v>
      </c>
      <c r="CU201" s="13">
        <f t="shared" si="20"/>
        <v>334</v>
      </c>
      <c r="CV201" s="13">
        <f t="shared" si="20"/>
        <v>326</v>
      </c>
      <c r="CW201" s="13">
        <f t="shared" si="20"/>
        <v>8</v>
      </c>
      <c r="CX201" s="13">
        <f t="shared" si="20"/>
        <v>131797.2493</v>
      </c>
      <c r="CY201" s="13">
        <f t="shared" si="20"/>
        <v>1559.3113999999996</v>
      </c>
      <c r="CZ201" s="13">
        <f t="shared" si="20"/>
        <v>130237.93789999999</v>
      </c>
      <c r="DA201" s="13">
        <f t="shared" si="21"/>
        <v>98</v>
      </c>
      <c r="DB201" s="13">
        <f t="shared" si="21"/>
        <v>90</v>
      </c>
      <c r="DC201" s="13">
        <f t="shared" si="21"/>
        <v>8</v>
      </c>
      <c r="DD201" s="13">
        <f t="shared" si="21"/>
        <v>35460.5985</v>
      </c>
      <c r="DE201" s="13">
        <f t="shared" si="21"/>
        <v>349.39089999999999</v>
      </c>
      <c r="DF201" s="13">
        <f t="shared" si="21"/>
        <v>35111.207600000002</v>
      </c>
      <c r="DG201" s="13">
        <f t="shared" si="22"/>
        <v>85</v>
      </c>
      <c r="DH201" s="13">
        <f t="shared" si="22"/>
        <v>85</v>
      </c>
      <c r="DI201" s="13">
        <f t="shared" si="22"/>
        <v>0</v>
      </c>
      <c r="DJ201" s="13">
        <f t="shared" si="22"/>
        <v>34970.852700000003</v>
      </c>
      <c r="DK201" s="13">
        <f t="shared" si="22"/>
        <v>460.10429999999997</v>
      </c>
      <c r="DL201" s="13">
        <f t="shared" si="22"/>
        <v>34510.748399999997</v>
      </c>
      <c r="DM201" s="13">
        <f t="shared" si="23"/>
        <v>55</v>
      </c>
      <c r="DN201" s="13">
        <f t="shared" si="23"/>
        <v>47</v>
      </c>
      <c r="DO201" s="13">
        <f t="shared" si="23"/>
        <v>8</v>
      </c>
      <c r="DP201" s="13">
        <f t="shared" si="23"/>
        <v>22136.446000000004</v>
      </c>
      <c r="DQ201" s="13">
        <f t="shared" si="23"/>
        <v>232.1414</v>
      </c>
      <c r="DR201" s="13">
        <f t="shared" si="23"/>
        <v>21904.304600000003</v>
      </c>
      <c r="DS201" s="14" t="s">
        <v>60</v>
      </c>
      <c r="DT201" s="14" t="s">
        <v>81</v>
      </c>
      <c r="DU201" s="14" t="s">
        <v>73</v>
      </c>
      <c r="DV201" s="14" t="s">
        <v>82</v>
      </c>
      <c r="DW201" s="14" t="s">
        <v>64</v>
      </c>
    </row>
    <row r="202" spans="2:127" x14ac:dyDescent="0.3">
      <c r="B202" s="11" t="s">
        <v>65</v>
      </c>
      <c r="C202" s="14">
        <v>5001341877</v>
      </c>
      <c r="D202" s="11" t="s">
        <v>683</v>
      </c>
      <c r="E202" s="11" t="s">
        <v>522</v>
      </c>
      <c r="F202" s="11" t="s">
        <v>684</v>
      </c>
      <c r="G202" s="11" t="s">
        <v>635</v>
      </c>
      <c r="H202" s="11" t="s">
        <v>239</v>
      </c>
      <c r="I202" s="11">
        <v>15219</v>
      </c>
      <c r="J202" s="11" t="s">
        <v>59</v>
      </c>
      <c r="K202" s="11"/>
      <c r="L202" s="11"/>
      <c r="M202" s="11"/>
      <c r="N202" s="11"/>
      <c r="O202" s="13">
        <v>465</v>
      </c>
      <c r="P202" s="13">
        <v>457</v>
      </c>
      <c r="Q202" s="13">
        <v>8</v>
      </c>
      <c r="R202" s="13">
        <v>56126.056199999999</v>
      </c>
      <c r="S202" s="13">
        <v>2697.9850000000001</v>
      </c>
      <c r="T202" s="13">
        <v>53428.071199999998</v>
      </c>
      <c r="U202" s="13">
        <v>16</v>
      </c>
      <c r="V202" s="13">
        <v>16</v>
      </c>
      <c r="W202" s="13">
        <v>0</v>
      </c>
      <c r="X202" s="13">
        <v>3107.3163</v>
      </c>
      <c r="Y202" s="13">
        <v>194.39189999999999</v>
      </c>
      <c r="Z202" s="13">
        <v>2912.9243999999999</v>
      </c>
      <c r="AA202" s="13">
        <v>63</v>
      </c>
      <c r="AB202" s="13">
        <v>63</v>
      </c>
      <c r="AC202" s="13">
        <v>0</v>
      </c>
      <c r="AD202" s="13">
        <v>3848.0250000000001</v>
      </c>
      <c r="AE202" s="13">
        <v>280.92689999999999</v>
      </c>
      <c r="AF202" s="13">
        <v>3567.0981000000002</v>
      </c>
      <c r="AG202" s="13">
        <v>28</v>
      </c>
      <c r="AH202" s="13">
        <v>28</v>
      </c>
      <c r="AI202" s="13">
        <v>0</v>
      </c>
      <c r="AJ202" s="13">
        <v>3267.8161999999998</v>
      </c>
      <c r="AK202" s="13">
        <v>231.46279999999999</v>
      </c>
      <c r="AL202" s="13">
        <v>3036.3534</v>
      </c>
      <c r="AM202" s="13">
        <v>10</v>
      </c>
      <c r="AN202" s="13">
        <v>10</v>
      </c>
      <c r="AO202" s="13">
        <v>0</v>
      </c>
      <c r="AP202" s="13">
        <v>3614.7043000000003</v>
      </c>
      <c r="AQ202" s="13">
        <v>109.3207</v>
      </c>
      <c r="AR202" s="13">
        <v>3505.3836000000001</v>
      </c>
      <c r="AS202" s="13">
        <v>5</v>
      </c>
      <c r="AT202" s="13">
        <v>5</v>
      </c>
      <c r="AU202" s="13">
        <v>0</v>
      </c>
      <c r="AV202" s="13">
        <v>4559.3340000000007</v>
      </c>
      <c r="AW202" s="13">
        <v>301.0335</v>
      </c>
      <c r="AX202" s="13">
        <v>4258.3005000000003</v>
      </c>
      <c r="AY202" s="13">
        <v>47</v>
      </c>
      <c r="AZ202" s="13">
        <v>47</v>
      </c>
      <c r="BA202" s="13">
        <v>0</v>
      </c>
      <c r="BB202" s="13">
        <v>4644.1498000000001</v>
      </c>
      <c r="BC202" s="13">
        <v>225.39160000000001</v>
      </c>
      <c r="BD202" s="13">
        <v>4418.7582000000002</v>
      </c>
      <c r="BE202" s="13">
        <v>28</v>
      </c>
      <c r="BF202" s="13">
        <v>28</v>
      </c>
      <c r="BG202" s="13">
        <v>0</v>
      </c>
      <c r="BH202" s="13">
        <v>3502.1388999999999</v>
      </c>
      <c r="BI202" s="13">
        <v>218.92750000000001</v>
      </c>
      <c r="BJ202" s="13">
        <v>3283.2114000000001</v>
      </c>
      <c r="BK202" s="13">
        <v>40</v>
      </c>
      <c r="BL202" s="13">
        <v>40</v>
      </c>
      <c r="BM202" s="13">
        <v>0</v>
      </c>
      <c r="BN202" s="13">
        <v>5515.2313999999997</v>
      </c>
      <c r="BO202" s="13">
        <v>269.49889999999999</v>
      </c>
      <c r="BP202" s="13">
        <v>5245.7325000000001</v>
      </c>
      <c r="BQ202" s="13">
        <v>14</v>
      </c>
      <c r="BR202" s="13">
        <v>14</v>
      </c>
      <c r="BS202" s="13">
        <v>0</v>
      </c>
      <c r="BT202" s="13">
        <v>5252.4007999999994</v>
      </c>
      <c r="BU202" s="13">
        <v>278.21210000000002</v>
      </c>
      <c r="BV202" s="13">
        <v>4974.1886999999997</v>
      </c>
      <c r="BW202" s="13">
        <v>35</v>
      </c>
      <c r="BX202" s="13">
        <v>35</v>
      </c>
      <c r="BY202" s="13">
        <v>0</v>
      </c>
      <c r="BZ202" s="13">
        <v>4565.0366000000004</v>
      </c>
      <c r="CA202" s="13">
        <v>109.2497</v>
      </c>
      <c r="CB202" s="13">
        <v>4455.7869000000001</v>
      </c>
      <c r="CC202" s="13">
        <v>63</v>
      </c>
      <c r="CD202" s="13">
        <v>63</v>
      </c>
      <c r="CE202" s="13">
        <v>0</v>
      </c>
      <c r="CF202" s="13">
        <v>5292.7236999999996</v>
      </c>
      <c r="CG202" s="13">
        <v>195.10599999999999</v>
      </c>
      <c r="CH202" s="13">
        <v>5097.6176999999998</v>
      </c>
      <c r="CI202" s="13">
        <v>41</v>
      </c>
      <c r="CJ202" s="13">
        <v>41</v>
      </c>
      <c r="CK202" s="13">
        <v>0</v>
      </c>
      <c r="CL202" s="13">
        <v>4477.4998999999998</v>
      </c>
      <c r="CM202" s="13">
        <v>145.142</v>
      </c>
      <c r="CN202" s="13">
        <v>4332.3579</v>
      </c>
      <c r="CO202" s="13">
        <v>75</v>
      </c>
      <c r="CP202" s="13">
        <v>67</v>
      </c>
      <c r="CQ202" s="13">
        <v>8</v>
      </c>
      <c r="CR202" s="13">
        <v>4479.6792999999998</v>
      </c>
      <c r="CS202" s="13">
        <v>139.32139999999998</v>
      </c>
      <c r="CT202" s="13">
        <v>4340.3579</v>
      </c>
      <c r="CU202" s="13">
        <f t="shared" si="20"/>
        <v>449</v>
      </c>
      <c r="CV202" s="13">
        <f t="shared" si="20"/>
        <v>441</v>
      </c>
      <c r="CW202" s="13">
        <f t="shared" si="20"/>
        <v>8</v>
      </c>
      <c r="CX202" s="13">
        <f t="shared" si="20"/>
        <v>53018.7399</v>
      </c>
      <c r="CY202" s="13">
        <f t="shared" si="20"/>
        <v>2503.5930999999996</v>
      </c>
      <c r="CZ202" s="13">
        <f t="shared" si="20"/>
        <v>50515.14680000001</v>
      </c>
      <c r="DA202" s="13">
        <f t="shared" si="21"/>
        <v>179</v>
      </c>
      <c r="DB202" s="13">
        <f t="shared" si="21"/>
        <v>171</v>
      </c>
      <c r="DC202" s="13">
        <f t="shared" si="21"/>
        <v>8</v>
      </c>
      <c r="DD202" s="13">
        <f t="shared" si="21"/>
        <v>14249.902899999999</v>
      </c>
      <c r="DE202" s="13">
        <f t="shared" si="21"/>
        <v>479.56939999999997</v>
      </c>
      <c r="DF202" s="13">
        <f t="shared" si="21"/>
        <v>13770.333500000001</v>
      </c>
      <c r="DG202" s="13">
        <f t="shared" si="22"/>
        <v>89</v>
      </c>
      <c r="DH202" s="13">
        <f t="shared" si="22"/>
        <v>89</v>
      </c>
      <c r="DI202" s="13">
        <f t="shared" si="22"/>
        <v>0</v>
      </c>
      <c r="DJ202" s="13">
        <f t="shared" si="22"/>
        <v>15332.668799999999</v>
      </c>
      <c r="DK202" s="13">
        <f t="shared" si="22"/>
        <v>656.96069999999997</v>
      </c>
      <c r="DL202" s="13">
        <f t="shared" si="22"/>
        <v>14675.7081</v>
      </c>
      <c r="DM202" s="13">
        <f t="shared" si="23"/>
        <v>116</v>
      </c>
      <c r="DN202" s="13">
        <f t="shared" si="23"/>
        <v>108</v>
      </c>
      <c r="DO202" s="13">
        <f t="shared" si="23"/>
        <v>8</v>
      </c>
      <c r="DP202" s="13">
        <f t="shared" si="23"/>
        <v>8957.1791999999987</v>
      </c>
      <c r="DQ202" s="13">
        <f t="shared" si="23"/>
        <v>284.46339999999998</v>
      </c>
      <c r="DR202" s="13">
        <f t="shared" si="23"/>
        <v>8672.7157999999999</v>
      </c>
      <c r="DS202" s="14" t="s">
        <v>71</v>
      </c>
      <c r="DT202" s="14" t="s">
        <v>92</v>
      </c>
      <c r="DU202" s="14" t="s">
        <v>73</v>
      </c>
      <c r="DV202" s="14" t="s">
        <v>82</v>
      </c>
      <c r="DW202" s="14" t="s">
        <v>64</v>
      </c>
    </row>
    <row r="203" spans="2:127" x14ac:dyDescent="0.3">
      <c r="B203" s="11" t="s">
        <v>83</v>
      </c>
      <c r="C203" s="14">
        <v>5001341883</v>
      </c>
      <c r="D203" s="11" t="s">
        <v>685</v>
      </c>
      <c r="E203" s="11" t="s">
        <v>522</v>
      </c>
      <c r="F203" s="11" t="s">
        <v>686</v>
      </c>
      <c r="G203" s="11" t="s">
        <v>687</v>
      </c>
      <c r="H203" s="11" t="s">
        <v>309</v>
      </c>
      <c r="I203" s="11">
        <v>55422</v>
      </c>
      <c r="J203" s="11" t="s">
        <v>80</v>
      </c>
      <c r="K203" s="11"/>
      <c r="L203" s="11"/>
      <c r="M203" s="11"/>
      <c r="N203" s="11"/>
      <c r="O203" s="13">
        <v>378</v>
      </c>
      <c r="P203" s="13">
        <v>378</v>
      </c>
      <c r="Q203" s="13">
        <v>0</v>
      </c>
      <c r="R203" s="13">
        <v>5699.7152999999998</v>
      </c>
      <c r="S203" s="13">
        <v>688.49790000000007</v>
      </c>
      <c r="T203" s="13">
        <v>5011.2174000000005</v>
      </c>
      <c r="U203" s="13">
        <v>0</v>
      </c>
      <c r="V203" s="13">
        <v>0</v>
      </c>
      <c r="W203" s="13">
        <v>0</v>
      </c>
      <c r="X203" s="13">
        <v>443.57280000000003</v>
      </c>
      <c r="Y203" s="13">
        <v>11.571300000000001</v>
      </c>
      <c r="Z203" s="13">
        <v>432.00150000000002</v>
      </c>
      <c r="AA203" s="13">
        <v>0</v>
      </c>
      <c r="AB203" s="13">
        <v>0</v>
      </c>
      <c r="AC203" s="13">
        <v>0</v>
      </c>
      <c r="AD203" s="13">
        <v>594.38709999999992</v>
      </c>
      <c r="AE203" s="13">
        <v>63.642400000000002</v>
      </c>
      <c r="AF203" s="13">
        <v>530.74469999999997</v>
      </c>
      <c r="AG203" s="13">
        <v>41</v>
      </c>
      <c r="AH203" s="13">
        <v>41</v>
      </c>
      <c r="AI203" s="13">
        <v>0</v>
      </c>
      <c r="AJ203" s="13">
        <v>600.28690000000006</v>
      </c>
      <c r="AK203" s="13">
        <v>106.57089999999999</v>
      </c>
      <c r="AL203" s="13">
        <v>493.71600000000001</v>
      </c>
      <c r="AM203" s="13">
        <v>11</v>
      </c>
      <c r="AN203" s="13">
        <v>11</v>
      </c>
      <c r="AO203" s="13">
        <v>0</v>
      </c>
      <c r="AP203" s="13">
        <v>468.07270000000005</v>
      </c>
      <c r="AQ203" s="13">
        <v>36.071200000000005</v>
      </c>
      <c r="AR203" s="13">
        <v>432.00150000000002</v>
      </c>
      <c r="AS203" s="13">
        <v>11</v>
      </c>
      <c r="AT203" s="13">
        <v>11</v>
      </c>
      <c r="AU203" s="13">
        <v>0</v>
      </c>
      <c r="AV203" s="13">
        <v>603.45920000000001</v>
      </c>
      <c r="AW203" s="13">
        <v>11</v>
      </c>
      <c r="AX203" s="13">
        <v>592.45920000000001</v>
      </c>
      <c r="AY203" s="13">
        <v>39</v>
      </c>
      <c r="AZ203" s="13">
        <v>39</v>
      </c>
      <c r="BA203" s="13">
        <v>0</v>
      </c>
      <c r="BB203" s="13">
        <v>426.83679999999998</v>
      </c>
      <c r="BC203" s="13">
        <v>68.892700000000005</v>
      </c>
      <c r="BD203" s="13">
        <v>357.94409999999999</v>
      </c>
      <c r="BE203" s="13">
        <v>61</v>
      </c>
      <c r="BF203" s="13">
        <v>61</v>
      </c>
      <c r="BG203" s="13">
        <v>0</v>
      </c>
      <c r="BH203" s="13">
        <v>368.22209999999995</v>
      </c>
      <c r="BI203" s="13">
        <v>96.678300000000007</v>
      </c>
      <c r="BJ203" s="13">
        <v>271.54379999999998</v>
      </c>
      <c r="BK203" s="13">
        <v>29</v>
      </c>
      <c r="BL203" s="13">
        <v>29</v>
      </c>
      <c r="BM203" s="13">
        <v>0</v>
      </c>
      <c r="BN203" s="13">
        <v>560.70839999999998</v>
      </c>
      <c r="BO203" s="13">
        <v>91.678200000000004</v>
      </c>
      <c r="BP203" s="13">
        <v>469.03019999999998</v>
      </c>
      <c r="BQ203" s="13">
        <v>21</v>
      </c>
      <c r="BR203" s="13">
        <v>21</v>
      </c>
      <c r="BS203" s="13">
        <v>0</v>
      </c>
      <c r="BT203" s="13">
        <v>341.91539999999998</v>
      </c>
      <c r="BU203" s="13">
        <v>21</v>
      </c>
      <c r="BV203" s="13">
        <v>320.91539999999998</v>
      </c>
      <c r="BW203" s="13">
        <v>44</v>
      </c>
      <c r="BX203" s="13">
        <v>44</v>
      </c>
      <c r="BY203" s="13">
        <v>0</v>
      </c>
      <c r="BZ203" s="13">
        <v>326.15089999999998</v>
      </c>
      <c r="CA203" s="13">
        <v>54.607100000000003</v>
      </c>
      <c r="CB203" s="13">
        <v>271.54379999999998</v>
      </c>
      <c r="CC203" s="13">
        <v>69</v>
      </c>
      <c r="CD203" s="13">
        <v>69</v>
      </c>
      <c r="CE203" s="13">
        <v>0</v>
      </c>
      <c r="CF203" s="13">
        <v>343.43669999999997</v>
      </c>
      <c r="CG203" s="13">
        <v>71.892899999999997</v>
      </c>
      <c r="CH203" s="13">
        <v>271.54379999999998</v>
      </c>
      <c r="CI203" s="13">
        <v>26</v>
      </c>
      <c r="CJ203" s="13">
        <v>26</v>
      </c>
      <c r="CK203" s="13">
        <v>0</v>
      </c>
      <c r="CL203" s="13">
        <v>346.91539999999998</v>
      </c>
      <c r="CM203" s="13">
        <v>26</v>
      </c>
      <c r="CN203" s="13">
        <v>320.91539999999998</v>
      </c>
      <c r="CO203" s="13">
        <v>26</v>
      </c>
      <c r="CP203" s="13">
        <v>26</v>
      </c>
      <c r="CQ203" s="13">
        <v>0</v>
      </c>
      <c r="CR203" s="13">
        <v>275.7509</v>
      </c>
      <c r="CS203" s="13">
        <v>28.892900000000001</v>
      </c>
      <c r="CT203" s="13">
        <v>246.858</v>
      </c>
      <c r="CU203" s="13">
        <f t="shared" si="20"/>
        <v>378</v>
      </c>
      <c r="CV203" s="13">
        <f t="shared" si="20"/>
        <v>378</v>
      </c>
      <c r="CW203" s="13">
        <f t="shared" si="20"/>
        <v>0</v>
      </c>
      <c r="CX203" s="13">
        <f t="shared" si="20"/>
        <v>5256.1424999999999</v>
      </c>
      <c r="CY203" s="13">
        <f t="shared" si="20"/>
        <v>676.92660000000001</v>
      </c>
      <c r="CZ203" s="13">
        <f t="shared" si="20"/>
        <v>4579.2159000000001</v>
      </c>
      <c r="DA203" s="13">
        <f t="shared" si="21"/>
        <v>121</v>
      </c>
      <c r="DB203" s="13">
        <f t="shared" si="21"/>
        <v>121</v>
      </c>
      <c r="DC203" s="13">
        <f t="shared" si="21"/>
        <v>0</v>
      </c>
      <c r="DD203" s="13">
        <f t="shared" si="21"/>
        <v>966.10299999999995</v>
      </c>
      <c r="DE203" s="13">
        <f t="shared" si="21"/>
        <v>126.78579999999999</v>
      </c>
      <c r="DF203" s="13">
        <f t="shared" si="21"/>
        <v>839.31719999999996</v>
      </c>
      <c r="DG203" s="13">
        <f t="shared" si="22"/>
        <v>94</v>
      </c>
      <c r="DH203" s="13">
        <f t="shared" si="22"/>
        <v>94</v>
      </c>
      <c r="DI203" s="13">
        <f t="shared" si="22"/>
        <v>0</v>
      </c>
      <c r="DJ203" s="13">
        <f t="shared" si="22"/>
        <v>1228.7746999999999</v>
      </c>
      <c r="DK203" s="13">
        <f t="shared" si="22"/>
        <v>167.28530000000001</v>
      </c>
      <c r="DL203" s="13">
        <f t="shared" si="22"/>
        <v>1061.4893999999999</v>
      </c>
      <c r="DM203" s="13">
        <f t="shared" si="23"/>
        <v>52</v>
      </c>
      <c r="DN203" s="13">
        <f t="shared" si="23"/>
        <v>52</v>
      </c>
      <c r="DO203" s="13">
        <f t="shared" si="23"/>
        <v>0</v>
      </c>
      <c r="DP203" s="13">
        <f t="shared" si="23"/>
        <v>622.66629999999998</v>
      </c>
      <c r="DQ203" s="13">
        <f t="shared" si="23"/>
        <v>54.892899999999997</v>
      </c>
      <c r="DR203" s="13">
        <f t="shared" si="23"/>
        <v>567.77340000000004</v>
      </c>
      <c r="DS203" s="14" t="s">
        <v>60</v>
      </c>
      <c r="DT203" s="14" t="s">
        <v>81</v>
      </c>
      <c r="DU203" s="14" t="s">
        <v>73</v>
      </c>
      <c r="DV203" s="14" t="s">
        <v>82</v>
      </c>
      <c r="DW203" s="14" t="s">
        <v>74</v>
      </c>
    </row>
    <row r="204" spans="2:127" x14ac:dyDescent="0.3">
      <c r="B204" s="11" t="s">
        <v>83</v>
      </c>
      <c r="C204" s="14">
        <v>5001341885</v>
      </c>
      <c r="D204" s="11" t="s">
        <v>688</v>
      </c>
      <c r="E204" s="11" t="s">
        <v>522</v>
      </c>
      <c r="F204" s="11" t="s">
        <v>689</v>
      </c>
      <c r="G204" s="11" t="s">
        <v>295</v>
      </c>
      <c r="H204" s="11" t="s">
        <v>296</v>
      </c>
      <c r="I204" s="11">
        <v>60611</v>
      </c>
      <c r="J204" s="11" t="s">
        <v>59</v>
      </c>
      <c r="K204" s="11"/>
      <c r="L204" s="11"/>
      <c r="M204" s="11"/>
      <c r="N204" s="11"/>
      <c r="O204" s="13">
        <v>0</v>
      </c>
      <c r="P204" s="13">
        <v>0</v>
      </c>
      <c r="Q204" s="13">
        <v>0</v>
      </c>
      <c r="R204" s="13">
        <v>132661.65270000001</v>
      </c>
      <c r="S204" s="13">
        <v>2419.3719000000001</v>
      </c>
      <c r="T204" s="13">
        <v>130242.28079999999</v>
      </c>
      <c r="U204" s="13">
        <v>0</v>
      </c>
      <c r="V204" s="13">
        <v>0</v>
      </c>
      <c r="W204" s="13">
        <v>0</v>
      </c>
      <c r="X204" s="13">
        <v>8711.9625999999989</v>
      </c>
      <c r="Y204" s="13">
        <v>294.10480000000001</v>
      </c>
      <c r="Z204" s="13">
        <v>8417.8577999999998</v>
      </c>
      <c r="AA204" s="13">
        <v>0</v>
      </c>
      <c r="AB204" s="13">
        <v>0</v>
      </c>
      <c r="AC204" s="13">
        <v>0</v>
      </c>
      <c r="AD204" s="13">
        <v>10720.3837</v>
      </c>
      <c r="AE204" s="13">
        <v>253.6045</v>
      </c>
      <c r="AF204" s="13">
        <v>10466.779200000001</v>
      </c>
      <c r="AG204" s="13">
        <v>0</v>
      </c>
      <c r="AH204" s="13">
        <v>0</v>
      </c>
      <c r="AI204" s="13">
        <v>0</v>
      </c>
      <c r="AJ204" s="13">
        <v>9271.0609000000004</v>
      </c>
      <c r="AK204" s="13">
        <v>38.5717</v>
      </c>
      <c r="AL204" s="13">
        <v>9232.4892</v>
      </c>
      <c r="AM204" s="13">
        <v>0</v>
      </c>
      <c r="AN204" s="13">
        <v>0</v>
      </c>
      <c r="AO204" s="13">
        <v>0</v>
      </c>
      <c r="AP204" s="13">
        <v>7772.7453000000005</v>
      </c>
      <c r="AQ204" s="13">
        <v>218.8905</v>
      </c>
      <c r="AR204" s="13">
        <v>7553.8548000000001</v>
      </c>
      <c r="AS204" s="13">
        <v>0</v>
      </c>
      <c r="AT204" s="13">
        <v>0</v>
      </c>
      <c r="AU204" s="13">
        <v>0</v>
      </c>
      <c r="AV204" s="13">
        <v>11128.0861</v>
      </c>
      <c r="AW204" s="13">
        <v>216.96250000000001</v>
      </c>
      <c r="AX204" s="13">
        <v>10911.123600000001</v>
      </c>
      <c r="AY204" s="13">
        <v>0</v>
      </c>
      <c r="AZ204" s="13">
        <v>0</v>
      </c>
      <c r="BA204" s="13">
        <v>0</v>
      </c>
      <c r="BB204" s="13">
        <v>9067.4000999999989</v>
      </c>
      <c r="BC204" s="13">
        <v>192.85499999999999</v>
      </c>
      <c r="BD204" s="13">
        <v>8874.5450999999994</v>
      </c>
      <c r="BE204" s="13">
        <v>0</v>
      </c>
      <c r="BF204" s="13">
        <v>0</v>
      </c>
      <c r="BG204" s="13">
        <v>0</v>
      </c>
      <c r="BH204" s="13">
        <v>9010.7029999999995</v>
      </c>
      <c r="BI204" s="13">
        <v>25.0718</v>
      </c>
      <c r="BJ204" s="13">
        <v>8985.6311999999998</v>
      </c>
      <c r="BK204" s="13">
        <v>0</v>
      </c>
      <c r="BL204" s="13">
        <v>0</v>
      </c>
      <c r="BM204" s="13">
        <v>0</v>
      </c>
      <c r="BN204" s="13">
        <v>12246.853999999999</v>
      </c>
      <c r="BO204" s="13">
        <v>237.2123</v>
      </c>
      <c r="BP204" s="13">
        <v>12009.6417</v>
      </c>
      <c r="BQ204" s="13">
        <v>0</v>
      </c>
      <c r="BR204" s="13">
        <v>0</v>
      </c>
      <c r="BS204" s="13">
        <v>0</v>
      </c>
      <c r="BT204" s="13">
        <v>9395.2580999999991</v>
      </c>
      <c r="BU204" s="13">
        <v>212.1405</v>
      </c>
      <c r="BV204" s="13">
        <v>9183.1175999999996</v>
      </c>
      <c r="BW204" s="13">
        <v>0</v>
      </c>
      <c r="BX204" s="13">
        <v>0</v>
      </c>
      <c r="BY204" s="13">
        <v>0</v>
      </c>
      <c r="BZ204" s="13">
        <v>9899.0058000000008</v>
      </c>
      <c r="CA204" s="13">
        <v>0</v>
      </c>
      <c r="CB204" s="13">
        <v>9899.0058000000008</v>
      </c>
      <c r="CC204" s="13">
        <v>0</v>
      </c>
      <c r="CD204" s="13">
        <v>0</v>
      </c>
      <c r="CE204" s="13">
        <v>0</v>
      </c>
      <c r="CF204" s="13">
        <v>13004.5924</v>
      </c>
      <c r="CG204" s="13">
        <v>242.03380000000001</v>
      </c>
      <c r="CH204" s="13">
        <v>12762.5586</v>
      </c>
      <c r="CI204" s="13">
        <v>0</v>
      </c>
      <c r="CJ204" s="13">
        <v>0</v>
      </c>
      <c r="CK204" s="13">
        <v>0</v>
      </c>
      <c r="CL204" s="13">
        <v>11470.215600000001</v>
      </c>
      <c r="CM204" s="13">
        <v>238.17660000000001</v>
      </c>
      <c r="CN204" s="13">
        <v>11232.039000000001</v>
      </c>
      <c r="CO204" s="13">
        <v>0</v>
      </c>
      <c r="CP204" s="13">
        <v>0</v>
      </c>
      <c r="CQ204" s="13">
        <v>0</v>
      </c>
      <c r="CR204" s="13">
        <v>10963.3851</v>
      </c>
      <c r="CS204" s="13">
        <v>249.74789999999999</v>
      </c>
      <c r="CT204" s="13">
        <v>10713.637199999999</v>
      </c>
      <c r="CU204" s="13">
        <f t="shared" si="20"/>
        <v>0</v>
      </c>
      <c r="CV204" s="13">
        <f t="shared" si="20"/>
        <v>0</v>
      </c>
      <c r="CW204" s="13">
        <f t="shared" si="20"/>
        <v>0</v>
      </c>
      <c r="CX204" s="13">
        <f t="shared" si="20"/>
        <v>123949.69010000001</v>
      </c>
      <c r="CY204" s="13">
        <f t="shared" si="20"/>
        <v>2125.2671</v>
      </c>
      <c r="CZ204" s="13">
        <f t="shared" si="20"/>
        <v>121824.423</v>
      </c>
      <c r="DA204" s="13">
        <f t="shared" si="21"/>
        <v>0</v>
      </c>
      <c r="DB204" s="13">
        <f t="shared" si="21"/>
        <v>0</v>
      </c>
      <c r="DC204" s="13">
        <f t="shared" si="21"/>
        <v>0</v>
      </c>
      <c r="DD204" s="13">
        <f t="shared" si="21"/>
        <v>35438.193100000004</v>
      </c>
      <c r="DE204" s="13">
        <f t="shared" si="21"/>
        <v>729.95830000000001</v>
      </c>
      <c r="DF204" s="13">
        <f t="shared" si="21"/>
        <v>34708.234799999998</v>
      </c>
      <c r="DG204" s="13">
        <f t="shared" si="22"/>
        <v>0</v>
      </c>
      <c r="DH204" s="13">
        <f t="shared" si="22"/>
        <v>0</v>
      </c>
      <c r="DI204" s="13">
        <f t="shared" si="22"/>
        <v>0</v>
      </c>
      <c r="DJ204" s="13">
        <f t="shared" si="22"/>
        <v>31541.117899999997</v>
      </c>
      <c r="DK204" s="13">
        <f t="shared" si="22"/>
        <v>449.3528</v>
      </c>
      <c r="DL204" s="13">
        <f t="shared" si="22"/>
        <v>31091.765099999997</v>
      </c>
      <c r="DM204" s="13">
        <f t="shared" si="23"/>
        <v>0</v>
      </c>
      <c r="DN204" s="13">
        <f t="shared" si="23"/>
        <v>0</v>
      </c>
      <c r="DO204" s="13">
        <f t="shared" si="23"/>
        <v>0</v>
      </c>
      <c r="DP204" s="13">
        <f t="shared" si="23"/>
        <v>22433.600700000003</v>
      </c>
      <c r="DQ204" s="13">
        <f t="shared" si="23"/>
        <v>487.92449999999997</v>
      </c>
      <c r="DR204" s="13">
        <f t="shared" si="23"/>
        <v>21945.676200000002</v>
      </c>
      <c r="DS204" s="14" t="s">
        <v>60</v>
      </c>
      <c r="DT204" s="14" t="s">
        <v>92</v>
      </c>
      <c r="DU204" s="14" t="s">
        <v>73</v>
      </c>
      <c r="DV204" s="14" t="s">
        <v>63</v>
      </c>
      <c r="DW204" s="14" t="s">
        <v>64</v>
      </c>
    </row>
    <row r="205" spans="2:127" x14ac:dyDescent="0.3">
      <c r="B205" s="11" t="s">
        <v>65</v>
      </c>
      <c r="C205" s="14">
        <v>5001341886</v>
      </c>
      <c r="D205" s="11" t="s">
        <v>690</v>
      </c>
      <c r="E205" s="11" t="s">
        <v>522</v>
      </c>
      <c r="F205" s="11" t="s">
        <v>691</v>
      </c>
      <c r="G205" s="11" t="s">
        <v>692</v>
      </c>
      <c r="H205" s="11" t="s">
        <v>206</v>
      </c>
      <c r="I205" s="11">
        <v>11042</v>
      </c>
      <c r="J205" s="11" t="s">
        <v>80</v>
      </c>
      <c r="K205" s="11"/>
      <c r="L205" s="11"/>
      <c r="M205" s="11"/>
      <c r="N205" s="11"/>
      <c r="O205" s="13">
        <v>1164</v>
      </c>
      <c r="P205" s="13">
        <v>1164</v>
      </c>
      <c r="Q205" s="13">
        <v>0</v>
      </c>
      <c r="R205" s="13">
        <v>81692.337299999999</v>
      </c>
      <c r="S205" s="13">
        <v>2981.6639999999998</v>
      </c>
      <c r="T205" s="13">
        <v>78710.673299999995</v>
      </c>
      <c r="U205" s="13">
        <v>63</v>
      </c>
      <c r="V205" s="13">
        <v>63</v>
      </c>
      <c r="W205" s="13">
        <v>0</v>
      </c>
      <c r="X205" s="13">
        <v>5812.8608999999997</v>
      </c>
      <c r="Y205" s="13">
        <v>246.21299999999999</v>
      </c>
      <c r="Z205" s="13">
        <v>5566.6478999999999</v>
      </c>
      <c r="AA205" s="13">
        <v>95</v>
      </c>
      <c r="AB205" s="13">
        <v>95</v>
      </c>
      <c r="AC205" s="13">
        <v>0</v>
      </c>
      <c r="AD205" s="13">
        <v>6855.0496999999996</v>
      </c>
      <c r="AE205" s="13">
        <v>276.28399999999999</v>
      </c>
      <c r="AF205" s="13">
        <v>6578.7656999999999</v>
      </c>
      <c r="AG205" s="13">
        <v>87</v>
      </c>
      <c r="AH205" s="13">
        <v>87</v>
      </c>
      <c r="AI205" s="13">
        <v>0</v>
      </c>
      <c r="AJ205" s="13">
        <v>5455.5812999999998</v>
      </c>
      <c r="AK205" s="13">
        <v>234.53460000000001</v>
      </c>
      <c r="AL205" s="13">
        <v>5221.0466999999999</v>
      </c>
      <c r="AM205" s="13">
        <v>122</v>
      </c>
      <c r="AN205" s="13">
        <v>122</v>
      </c>
      <c r="AO205" s="13">
        <v>0</v>
      </c>
      <c r="AP205" s="13">
        <v>5776.9741000000004</v>
      </c>
      <c r="AQ205" s="13">
        <v>370.78390000000002</v>
      </c>
      <c r="AR205" s="13">
        <v>5406.1902</v>
      </c>
      <c r="AS205" s="13">
        <v>142</v>
      </c>
      <c r="AT205" s="13">
        <v>142</v>
      </c>
      <c r="AU205" s="13">
        <v>0</v>
      </c>
      <c r="AV205" s="13">
        <v>6530.0279</v>
      </c>
      <c r="AW205" s="13">
        <v>272.17759999999998</v>
      </c>
      <c r="AX205" s="13">
        <v>6257.8503000000001</v>
      </c>
      <c r="AY205" s="13">
        <v>51</v>
      </c>
      <c r="AZ205" s="13">
        <v>51</v>
      </c>
      <c r="BA205" s="13">
        <v>0</v>
      </c>
      <c r="BB205" s="13">
        <v>5538.1887999999999</v>
      </c>
      <c r="BC205" s="13">
        <v>193.7131</v>
      </c>
      <c r="BD205" s="13">
        <v>5344.4757</v>
      </c>
      <c r="BE205" s="13">
        <v>76</v>
      </c>
      <c r="BF205" s="13">
        <v>76</v>
      </c>
      <c r="BG205" s="13">
        <v>0</v>
      </c>
      <c r="BH205" s="13">
        <v>5064.2658999999994</v>
      </c>
      <c r="BI205" s="13">
        <v>188.82040000000001</v>
      </c>
      <c r="BJ205" s="13">
        <v>4875.4454999999998</v>
      </c>
      <c r="BK205" s="13">
        <v>103</v>
      </c>
      <c r="BL205" s="13">
        <v>103</v>
      </c>
      <c r="BM205" s="13">
        <v>0</v>
      </c>
      <c r="BN205" s="13">
        <v>7883.4607999999998</v>
      </c>
      <c r="BO205" s="13">
        <v>267.89150000000001</v>
      </c>
      <c r="BP205" s="13">
        <v>7615.5693000000001</v>
      </c>
      <c r="BQ205" s="13">
        <v>95</v>
      </c>
      <c r="BR205" s="13">
        <v>95</v>
      </c>
      <c r="BS205" s="13">
        <v>0</v>
      </c>
      <c r="BT205" s="13">
        <v>6208.3987000000006</v>
      </c>
      <c r="BU205" s="13">
        <v>209.74930000000001</v>
      </c>
      <c r="BV205" s="13">
        <v>5998.6494000000002</v>
      </c>
      <c r="BW205" s="13">
        <v>97</v>
      </c>
      <c r="BX205" s="13">
        <v>97</v>
      </c>
      <c r="BY205" s="13">
        <v>0</v>
      </c>
      <c r="BZ205" s="13">
        <v>6294.4839999999995</v>
      </c>
      <c r="CA205" s="13">
        <v>246.46299999999999</v>
      </c>
      <c r="CB205" s="13">
        <v>6048.0209999999997</v>
      </c>
      <c r="CC205" s="13">
        <v>99</v>
      </c>
      <c r="CD205" s="13">
        <v>99</v>
      </c>
      <c r="CE205" s="13">
        <v>0</v>
      </c>
      <c r="CF205" s="13">
        <v>7893.7322999999997</v>
      </c>
      <c r="CG205" s="13">
        <v>265.82010000000002</v>
      </c>
      <c r="CH205" s="13">
        <v>7627.9121999999998</v>
      </c>
      <c r="CI205" s="13">
        <v>90</v>
      </c>
      <c r="CJ205" s="13">
        <v>90</v>
      </c>
      <c r="CK205" s="13">
        <v>0</v>
      </c>
      <c r="CL205" s="13">
        <v>6337.8213000000005</v>
      </c>
      <c r="CM205" s="13">
        <v>116.9997</v>
      </c>
      <c r="CN205" s="13">
        <v>6220.8216000000002</v>
      </c>
      <c r="CO205" s="13">
        <v>44</v>
      </c>
      <c r="CP205" s="13">
        <v>44</v>
      </c>
      <c r="CQ205" s="13">
        <v>0</v>
      </c>
      <c r="CR205" s="13">
        <v>6041.4915999999994</v>
      </c>
      <c r="CS205" s="13">
        <v>92.213799999999992</v>
      </c>
      <c r="CT205" s="13">
        <v>5949.2777999999998</v>
      </c>
      <c r="CU205" s="13">
        <f t="shared" si="20"/>
        <v>1101</v>
      </c>
      <c r="CV205" s="13">
        <f t="shared" si="20"/>
        <v>1101</v>
      </c>
      <c r="CW205" s="13">
        <f t="shared" si="20"/>
        <v>0</v>
      </c>
      <c r="CX205" s="13">
        <f t="shared" si="20"/>
        <v>75879.476399999985</v>
      </c>
      <c r="CY205" s="13">
        <f t="shared" si="20"/>
        <v>2735.4509999999996</v>
      </c>
      <c r="CZ205" s="13">
        <f t="shared" si="20"/>
        <v>73144.025399999999</v>
      </c>
      <c r="DA205" s="13">
        <f t="shared" si="21"/>
        <v>233</v>
      </c>
      <c r="DB205" s="13">
        <f t="shared" si="21"/>
        <v>233</v>
      </c>
      <c r="DC205" s="13">
        <f t="shared" si="21"/>
        <v>0</v>
      </c>
      <c r="DD205" s="13">
        <f t="shared" si="21"/>
        <v>20273.0452</v>
      </c>
      <c r="DE205" s="13">
        <f t="shared" si="21"/>
        <v>475.03360000000004</v>
      </c>
      <c r="DF205" s="13">
        <f t="shared" si="21"/>
        <v>19798.011599999998</v>
      </c>
      <c r="DG205" s="13">
        <f t="shared" si="22"/>
        <v>295</v>
      </c>
      <c r="DH205" s="13">
        <f t="shared" si="22"/>
        <v>295</v>
      </c>
      <c r="DI205" s="13">
        <f t="shared" si="22"/>
        <v>0</v>
      </c>
      <c r="DJ205" s="13">
        <f t="shared" si="22"/>
        <v>20386.343499999999</v>
      </c>
      <c r="DK205" s="13">
        <f t="shared" si="22"/>
        <v>724.10379999999998</v>
      </c>
      <c r="DL205" s="13">
        <f t="shared" si="22"/>
        <v>19662.239700000002</v>
      </c>
      <c r="DM205" s="13">
        <f t="shared" si="23"/>
        <v>134</v>
      </c>
      <c r="DN205" s="13">
        <f t="shared" si="23"/>
        <v>134</v>
      </c>
      <c r="DO205" s="13">
        <f t="shared" si="23"/>
        <v>0</v>
      </c>
      <c r="DP205" s="13">
        <f t="shared" si="23"/>
        <v>12379.312900000001</v>
      </c>
      <c r="DQ205" s="13">
        <f t="shared" si="23"/>
        <v>209.21350000000001</v>
      </c>
      <c r="DR205" s="13">
        <f t="shared" si="23"/>
        <v>12170.099399999999</v>
      </c>
      <c r="DS205" s="14" t="s">
        <v>60</v>
      </c>
      <c r="DT205" s="14" t="s">
        <v>81</v>
      </c>
      <c r="DU205" s="14" t="s">
        <v>187</v>
      </c>
      <c r="DV205" s="14" t="s">
        <v>82</v>
      </c>
      <c r="DW205" s="14" t="s">
        <v>64</v>
      </c>
    </row>
    <row r="206" spans="2:127" x14ac:dyDescent="0.3">
      <c r="B206" s="11" t="s">
        <v>75</v>
      </c>
      <c r="C206" s="14">
        <v>5001341894</v>
      </c>
      <c r="D206" s="11" t="s">
        <v>693</v>
      </c>
      <c r="E206" s="11" t="s">
        <v>522</v>
      </c>
      <c r="F206" s="11" t="s">
        <v>694</v>
      </c>
      <c r="G206" s="11" t="s">
        <v>695</v>
      </c>
      <c r="H206" s="11" t="s">
        <v>104</v>
      </c>
      <c r="I206" s="11">
        <v>32806</v>
      </c>
      <c r="J206" s="11" t="s">
        <v>80</v>
      </c>
      <c r="K206" s="11"/>
      <c r="L206" s="11"/>
      <c r="M206" s="11"/>
      <c r="N206" s="11"/>
      <c r="O206" s="13">
        <v>491</v>
      </c>
      <c r="P206" s="13">
        <v>491</v>
      </c>
      <c r="Q206" s="13">
        <v>0</v>
      </c>
      <c r="R206" s="13">
        <v>32053.1378</v>
      </c>
      <c r="S206" s="13">
        <v>1072.4587999999999</v>
      </c>
      <c r="T206" s="13">
        <v>30980.679</v>
      </c>
      <c r="U206" s="13">
        <v>36</v>
      </c>
      <c r="V206" s="13">
        <v>36</v>
      </c>
      <c r="W206" s="13">
        <v>0</v>
      </c>
      <c r="X206" s="13">
        <v>2030.7275999999999</v>
      </c>
      <c r="Y206" s="13">
        <v>92.892300000000006</v>
      </c>
      <c r="Z206" s="13">
        <v>1937.8353</v>
      </c>
      <c r="AA206" s="13">
        <v>23</v>
      </c>
      <c r="AB206" s="13">
        <v>23</v>
      </c>
      <c r="AC206" s="13">
        <v>0</v>
      </c>
      <c r="AD206" s="13">
        <v>2332.4719999999998</v>
      </c>
      <c r="AE206" s="13">
        <v>49.035499999999999</v>
      </c>
      <c r="AF206" s="13">
        <v>2283.4364999999998</v>
      </c>
      <c r="AG206" s="13">
        <v>43</v>
      </c>
      <c r="AH206" s="13">
        <v>43</v>
      </c>
      <c r="AI206" s="13">
        <v>0</v>
      </c>
      <c r="AJ206" s="13">
        <v>1947.0847999999999</v>
      </c>
      <c r="AK206" s="13">
        <v>70.963999999999999</v>
      </c>
      <c r="AL206" s="13">
        <v>1876.1207999999999</v>
      </c>
      <c r="AM206" s="13">
        <v>21</v>
      </c>
      <c r="AN206" s="13">
        <v>21</v>
      </c>
      <c r="AO206" s="13">
        <v>0</v>
      </c>
      <c r="AP206" s="13">
        <v>2100.5855999999999</v>
      </c>
      <c r="AQ206" s="13">
        <v>39.321300000000001</v>
      </c>
      <c r="AR206" s="13">
        <v>2061.2642999999998</v>
      </c>
      <c r="AS206" s="13">
        <v>58</v>
      </c>
      <c r="AT206" s="13">
        <v>58</v>
      </c>
      <c r="AU206" s="13">
        <v>0</v>
      </c>
      <c r="AV206" s="13">
        <v>3027.8166999999999</v>
      </c>
      <c r="AW206" s="13">
        <v>114.89230000000001</v>
      </c>
      <c r="AX206" s="13">
        <v>2912.9243999999999</v>
      </c>
      <c r="AY206" s="13">
        <v>55</v>
      </c>
      <c r="AZ206" s="13">
        <v>55</v>
      </c>
      <c r="BA206" s="13">
        <v>0</v>
      </c>
      <c r="BB206" s="13">
        <v>2451.8366000000001</v>
      </c>
      <c r="BC206" s="13">
        <v>81.999799999999993</v>
      </c>
      <c r="BD206" s="13">
        <v>2369.8368</v>
      </c>
      <c r="BE206" s="13">
        <v>30</v>
      </c>
      <c r="BF206" s="13">
        <v>30</v>
      </c>
      <c r="BG206" s="13">
        <v>0</v>
      </c>
      <c r="BH206" s="13">
        <v>2780.3445999999999</v>
      </c>
      <c r="BI206" s="13">
        <v>77.249499999999998</v>
      </c>
      <c r="BJ206" s="13">
        <v>2703.0951</v>
      </c>
      <c r="BK206" s="13">
        <v>75</v>
      </c>
      <c r="BL206" s="13">
        <v>75</v>
      </c>
      <c r="BM206" s="13">
        <v>0</v>
      </c>
      <c r="BN206" s="13">
        <v>3234.9742999999999</v>
      </c>
      <c r="BO206" s="13">
        <v>149.24930000000001</v>
      </c>
      <c r="BP206" s="13">
        <v>3085.7249999999999</v>
      </c>
      <c r="BQ206" s="13">
        <v>26</v>
      </c>
      <c r="BR206" s="13">
        <v>26</v>
      </c>
      <c r="BS206" s="13">
        <v>0</v>
      </c>
      <c r="BT206" s="13">
        <v>2384.4573999999998</v>
      </c>
      <c r="BU206" s="13">
        <v>88.677999999999997</v>
      </c>
      <c r="BV206" s="13">
        <v>2295.7793999999999</v>
      </c>
      <c r="BW206" s="13">
        <v>52</v>
      </c>
      <c r="BX206" s="13">
        <v>52</v>
      </c>
      <c r="BY206" s="13">
        <v>0</v>
      </c>
      <c r="BZ206" s="13">
        <v>1920.4058</v>
      </c>
      <c r="CA206" s="13">
        <v>105.9995</v>
      </c>
      <c r="CB206" s="13">
        <v>1814.4063000000001</v>
      </c>
      <c r="CC206" s="13">
        <v>20</v>
      </c>
      <c r="CD206" s="13">
        <v>20</v>
      </c>
      <c r="CE206" s="13">
        <v>0</v>
      </c>
      <c r="CF206" s="13">
        <v>2925.0167000000001</v>
      </c>
      <c r="CG206" s="13">
        <v>61.463900000000002</v>
      </c>
      <c r="CH206" s="13">
        <v>2863.5527999999999</v>
      </c>
      <c r="CI206" s="13">
        <v>20</v>
      </c>
      <c r="CJ206" s="13">
        <v>20</v>
      </c>
      <c r="CK206" s="13">
        <v>0</v>
      </c>
      <c r="CL206" s="13">
        <v>2431.1080000000002</v>
      </c>
      <c r="CM206" s="13">
        <v>48.9283</v>
      </c>
      <c r="CN206" s="13">
        <v>2382.1797000000001</v>
      </c>
      <c r="CO206" s="13">
        <v>32</v>
      </c>
      <c r="CP206" s="13">
        <v>32</v>
      </c>
      <c r="CQ206" s="13">
        <v>0</v>
      </c>
      <c r="CR206" s="13">
        <v>2486.3076999999998</v>
      </c>
      <c r="CS206" s="13">
        <v>91.7851</v>
      </c>
      <c r="CT206" s="13">
        <v>2394.5225999999998</v>
      </c>
      <c r="CU206" s="13">
        <f t="shared" si="20"/>
        <v>455</v>
      </c>
      <c r="CV206" s="13">
        <f t="shared" si="20"/>
        <v>455</v>
      </c>
      <c r="CW206" s="13">
        <f t="shared" si="20"/>
        <v>0</v>
      </c>
      <c r="CX206" s="13">
        <f t="shared" si="20"/>
        <v>30022.410200000002</v>
      </c>
      <c r="CY206" s="13">
        <f t="shared" si="20"/>
        <v>979.56650000000013</v>
      </c>
      <c r="CZ206" s="13">
        <f t="shared" si="20"/>
        <v>29042.843700000001</v>
      </c>
      <c r="DA206" s="13">
        <f t="shared" si="21"/>
        <v>72</v>
      </c>
      <c r="DB206" s="13">
        <f t="shared" si="21"/>
        <v>72</v>
      </c>
      <c r="DC206" s="13">
        <f t="shared" si="21"/>
        <v>0</v>
      </c>
      <c r="DD206" s="13">
        <f t="shared" si="21"/>
        <v>7842.4323999999997</v>
      </c>
      <c r="DE206" s="13">
        <f t="shared" si="21"/>
        <v>202.1773</v>
      </c>
      <c r="DF206" s="13">
        <f t="shared" si="21"/>
        <v>7640.2551000000003</v>
      </c>
      <c r="DG206" s="13">
        <f t="shared" si="22"/>
        <v>153</v>
      </c>
      <c r="DH206" s="13">
        <f t="shared" si="22"/>
        <v>153</v>
      </c>
      <c r="DI206" s="13">
        <f t="shared" si="22"/>
        <v>0</v>
      </c>
      <c r="DJ206" s="13">
        <f t="shared" si="22"/>
        <v>7539.8374999999996</v>
      </c>
      <c r="DK206" s="13">
        <f t="shared" si="22"/>
        <v>343.92680000000001</v>
      </c>
      <c r="DL206" s="13">
        <f t="shared" si="22"/>
        <v>7195.9107000000004</v>
      </c>
      <c r="DM206" s="13">
        <f t="shared" si="23"/>
        <v>52</v>
      </c>
      <c r="DN206" s="13">
        <f t="shared" si="23"/>
        <v>52</v>
      </c>
      <c r="DO206" s="13">
        <f t="shared" si="23"/>
        <v>0</v>
      </c>
      <c r="DP206" s="13">
        <f t="shared" si="23"/>
        <v>4917.4156999999996</v>
      </c>
      <c r="DQ206" s="13">
        <f t="shared" si="23"/>
        <v>140.71340000000001</v>
      </c>
      <c r="DR206" s="13">
        <f t="shared" si="23"/>
        <v>4776.7022999999999</v>
      </c>
      <c r="DS206" s="14" t="s">
        <v>71</v>
      </c>
      <c r="DT206" s="14" t="s">
        <v>81</v>
      </c>
      <c r="DU206" s="14" t="s">
        <v>73</v>
      </c>
      <c r="DV206" s="14" t="s">
        <v>82</v>
      </c>
      <c r="DW206" s="14" t="s">
        <v>126</v>
      </c>
    </row>
    <row r="207" spans="2:127" x14ac:dyDescent="0.3">
      <c r="B207" s="11" t="s">
        <v>65</v>
      </c>
      <c r="C207" s="14">
        <v>5001341899</v>
      </c>
      <c r="D207" s="11" t="s">
        <v>696</v>
      </c>
      <c r="E207" s="11" t="s">
        <v>522</v>
      </c>
      <c r="F207" s="11" t="s">
        <v>697</v>
      </c>
      <c r="G207" s="11" t="s">
        <v>149</v>
      </c>
      <c r="H207" s="11" t="s">
        <v>150</v>
      </c>
      <c r="I207" s="11">
        <v>46808</v>
      </c>
      <c r="J207" s="11" t="s">
        <v>80</v>
      </c>
      <c r="K207" s="11"/>
      <c r="L207" s="11"/>
      <c r="M207" s="11"/>
      <c r="N207" s="11"/>
      <c r="O207" s="13">
        <v>202</v>
      </c>
      <c r="P207" s="13">
        <v>202</v>
      </c>
      <c r="Q207" s="13">
        <v>0</v>
      </c>
      <c r="R207" s="13">
        <v>19962.982899999999</v>
      </c>
      <c r="S207" s="13">
        <v>202</v>
      </c>
      <c r="T207" s="13">
        <v>19760.982899999999</v>
      </c>
      <c r="U207" s="13">
        <v>12</v>
      </c>
      <c r="V207" s="13">
        <v>12</v>
      </c>
      <c r="W207" s="13">
        <v>0</v>
      </c>
      <c r="X207" s="13">
        <v>1024.1178</v>
      </c>
      <c r="Y207" s="13">
        <v>12</v>
      </c>
      <c r="Z207" s="13">
        <v>1012.1178</v>
      </c>
      <c r="AA207" s="13">
        <v>12</v>
      </c>
      <c r="AB207" s="13">
        <v>12</v>
      </c>
      <c r="AC207" s="13">
        <v>0</v>
      </c>
      <c r="AD207" s="13">
        <v>1752.3489</v>
      </c>
      <c r="AE207" s="13">
        <v>12</v>
      </c>
      <c r="AF207" s="13">
        <v>1740.3489</v>
      </c>
      <c r="AG207" s="13">
        <v>14</v>
      </c>
      <c r="AH207" s="13">
        <v>14</v>
      </c>
      <c r="AI207" s="13">
        <v>0</v>
      </c>
      <c r="AJ207" s="13">
        <v>1988.864</v>
      </c>
      <c r="AK207" s="13">
        <v>14</v>
      </c>
      <c r="AL207" s="13">
        <v>1974.864</v>
      </c>
      <c r="AM207" s="13">
        <v>14</v>
      </c>
      <c r="AN207" s="13">
        <v>14</v>
      </c>
      <c r="AO207" s="13">
        <v>0</v>
      </c>
      <c r="AP207" s="13">
        <v>1359.3761</v>
      </c>
      <c r="AQ207" s="13">
        <v>14</v>
      </c>
      <c r="AR207" s="13">
        <v>1345.3761</v>
      </c>
      <c r="AS207" s="13">
        <v>14</v>
      </c>
      <c r="AT207" s="13">
        <v>14</v>
      </c>
      <c r="AU207" s="13">
        <v>0</v>
      </c>
      <c r="AV207" s="13">
        <v>1495.1479999999999</v>
      </c>
      <c r="AW207" s="13">
        <v>14</v>
      </c>
      <c r="AX207" s="13">
        <v>1481.1479999999999</v>
      </c>
      <c r="AY207" s="13">
        <v>21</v>
      </c>
      <c r="AZ207" s="13">
        <v>21</v>
      </c>
      <c r="BA207" s="13">
        <v>0</v>
      </c>
      <c r="BB207" s="13">
        <v>2230.3791000000001</v>
      </c>
      <c r="BC207" s="13">
        <v>21</v>
      </c>
      <c r="BD207" s="13">
        <v>2209.3791000000001</v>
      </c>
      <c r="BE207" s="13">
        <v>14</v>
      </c>
      <c r="BF207" s="13">
        <v>14</v>
      </c>
      <c r="BG207" s="13">
        <v>0</v>
      </c>
      <c r="BH207" s="13">
        <v>594.11630000000002</v>
      </c>
      <c r="BI207" s="13">
        <v>14</v>
      </c>
      <c r="BJ207" s="13">
        <v>580.11630000000002</v>
      </c>
      <c r="BK207" s="13">
        <v>14</v>
      </c>
      <c r="BL207" s="13">
        <v>14</v>
      </c>
      <c r="BM207" s="13">
        <v>0</v>
      </c>
      <c r="BN207" s="13">
        <v>1742.0060000000001</v>
      </c>
      <c r="BO207" s="13">
        <v>14</v>
      </c>
      <c r="BP207" s="13">
        <v>1728.0060000000001</v>
      </c>
      <c r="BQ207" s="13">
        <v>14</v>
      </c>
      <c r="BR207" s="13">
        <v>14</v>
      </c>
      <c r="BS207" s="13">
        <v>0</v>
      </c>
      <c r="BT207" s="13">
        <v>1519.8338000000001</v>
      </c>
      <c r="BU207" s="13">
        <v>14</v>
      </c>
      <c r="BV207" s="13">
        <v>1505.8338000000001</v>
      </c>
      <c r="BW207" s="13">
        <v>14</v>
      </c>
      <c r="BX207" s="13">
        <v>14</v>
      </c>
      <c r="BY207" s="13">
        <v>0</v>
      </c>
      <c r="BZ207" s="13">
        <v>1951.8353</v>
      </c>
      <c r="CA207" s="13">
        <v>14</v>
      </c>
      <c r="CB207" s="13">
        <v>1937.8353</v>
      </c>
      <c r="CC207" s="13">
        <v>59</v>
      </c>
      <c r="CD207" s="13">
        <v>59</v>
      </c>
      <c r="CE207" s="13">
        <v>0</v>
      </c>
      <c r="CF207" s="13">
        <v>1466.0906</v>
      </c>
      <c r="CG207" s="13">
        <v>59</v>
      </c>
      <c r="CH207" s="13">
        <v>1407.0906</v>
      </c>
      <c r="CI207" s="13">
        <v>0</v>
      </c>
      <c r="CJ207" s="13">
        <v>0</v>
      </c>
      <c r="CK207" s="13">
        <v>0</v>
      </c>
      <c r="CL207" s="13">
        <v>1666.2915</v>
      </c>
      <c r="CM207" s="13">
        <v>0</v>
      </c>
      <c r="CN207" s="13">
        <v>1666.2915</v>
      </c>
      <c r="CO207" s="13">
        <v>0</v>
      </c>
      <c r="CP207" s="13">
        <v>0</v>
      </c>
      <c r="CQ207" s="13">
        <v>0</v>
      </c>
      <c r="CR207" s="13">
        <v>1172.5754999999999</v>
      </c>
      <c r="CS207" s="13">
        <v>0</v>
      </c>
      <c r="CT207" s="13">
        <v>1172.5754999999999</v>
      </c>
      <c r="CU207" s="13">
        <f t="shared" si="20"/>
        <v>190</v>
      </c>
      <c r="CV207" s="13">
        <f t="shared" si="20"/>
        <v>190</v>
      </c>
      <c r="CW207" s="13">
        <f t="shared" si="20"/>
        <v>0</v>
      </c>
      <c r="CX207" s="13">
        <f t="shared" si="20"/>
        <v>18938.865099999999</v>
      </c>
      <c r="CY207" s="13">
        <f t="shared" si="20"/>
        <v>190</v>
      </c>
      <c r="CZ207" s="13">
        <f t="shared" si="20"/>
        <v>18748.865099999999</v>
      </c>
      <c r="DA207" s="13">
        <f t="shared" si="21"/>
        <v>59</v>
      </c>
      <c r="DB207" s="13">
        <f t="shared" si="21"/>
        <v>59</v>
      </c>
      <c r="DC207" s="13">
        <f t="shared" si="21"/>
        <v>0</v>
      </c>
      <c r="DD207" s="13">
        <f t="shared" si="21"/>
        <v>4304.9575999999997</v>
      </c>
      <c r="DE207" s="13">
        <f t="shared" si="21"/>
        <v>59</v>
      </c>
      <c r="DF207" s="13">
        <f t="shared" si="21"/>
        <v>4245.9575999999997</v>
      </c>
      <c r="DG207" s="13">
        <f t="shared" si="22"/>
        <v>42</v>
      </c>
      <c r="DH207" s="13">
        <f t="shared" si="22"/>
        <v>42</v>
      </c>
      <c r="DI207" s="13">
        <f t="shared" si="22"/>
        <v>0</v>
      </c>
      <c r="DJ207" s="13">
        <f t="shared" si="22"/>
        <v>5213.6751000000004</v>
      </c>
      <c r="DK207" s="13">
        <f t="shared" si="22"/>
        <v>42</v>
      </c>
      <c r="DL207" s="13">
        <f t="shared" si="22"/>
        <v>5171.6751000000004</v>
      </c>
      <c r="DM207" s="13">
        <f t="shared" si="23"/>
        <v>0</v>
      </c>
      <c r="DN207" s="13">
        <f t="shared" si="23"/>
        <v>0</v>
      </c>
      <c r="DO207" s="13">
        <f t="shared" si="23"/>
        <v>0</v>
      </c>
      <c r="DP207" s="13">
        <f t="shared" si="23"/>
        <v>2838.8670000000002</v>
      </c>
      <c r="DQ207" s="13">
        <f t="shared" si="23"/>
        <v>0</v>
      </c>
      <c r="DR207" s="13">
        <f t="shared" si="23"/>
        <v>2838.8670000000002</v>
      </c>
      <c r="DS207" s="14" t="s">
        <v>138</v>
      </c>
      <c r="DT207" s="14" t="s">
        <v>81</v>
      </c>
      <c r="DU207" s="14" t="s">
        <v>73</v>
      </c>
      <c r="DV207" s="14" t="s">
        <v>97</v>
      </c>
      <c r="DW207" s="14" t="s">
        <v>74</v>
      </c>
    </row>
    <row r="208" spans="2:127" x14ac:dyDescent="0.3">
      <c r="B208" s="11" t="s">
        <v>53</v>
      </c>
      <c r="C208" s="14">
        <v>5001341901</v>
      </c>
      <c r="D208" s="11" t="s">
        <v>698</v>
      </c>
      <c r="E208" s="11" t="s">
        <v>522</v>
      </c>
      <c r="F208" s="11" t="s">
        <v>699</v>
      </c>
      <c r="G208" s="11" t="s">
        <v>427</v>
      </c>
      <c r="H208" s="11" t="s">
        <v>173</v>
      </c>
      <c r="I208" s="11">
        <v>98683</v>
      </c>
      <c r="J208" s="11" t="s">
        <v>80</v>
      </c>
      <c r="K208" s="11"/>
      <c r="L208" s="11"/>
      <c r="M208" s="11"/>
      <c r="N208" s="11"/>
      <c r="O208" s="13">
        <v>416</v>
      </c>
      <c r="P208" s="13">
        <v>416</v>
      </c>
      <c r="Q208" s="13">
        <v>0</v>
      </c>
      <c r="R208" s="13">
        <v>16242.6777</v>
      </c>
      <c r="S208" s="13">
        <v>863.42430000000002</v>
      </c>
      <c r="T208" s="13">
        <v>15379.2534</v>
      </c>
      <c r="U208" s="13">
        <v>16</v>
      </c>
      <c r="V208" s="13">
        <v>16</v>
      </c>
      <c r="W208" s="13">
        <v>0</v>
      </c>
      <c r="X208" s="13">
        <v>1064.7602999999999</v>
      </c>
      <c r="Y208" s="13">
        <v>52.642499999999998</v>
      </c>
      <c r="Z208" s="13">
        <v>1012.1178</v>
      </c>
      <c r="AA208" s="13">
        <v>16</v>
      </c>
      <c r="AB208" s="13">
        <v>16</v>
      </c>
      <c r="AC208" s="13">
        <v>0</v>
      </c>
      <c r="AD208" s="13">
        <v>1336.3040999999998</v>
      </c>
      <c r="AE208" s="13">
        <v>52.642499999999998</v>
      </c>
      <c r="AF208" s="13">
        <v>1283.6615999999999</v>
      </c>
      <c r="AG208" s="13">
        <v>24</v>
      </c>
      <c r="AH208" s="13">
        <v>24</v>
      </c>
      <c r="AI208" s="13">
        <v>0</v>
      </c>
      <c r="AJ208" s="13">
        <v>974.01710000000003</v>
      </c>
      <c r="AK208" s="13">
        <v>60.642499999999998</v>
      </c>
      <c r="AL208" s="13">
        <v>913.37459999999999</v>
      </c>
      <c r="AM208" s="13">
        <v>16</v>
      </c>
      <c r="AN208" s="13">
        <v>16</v>
      </c>
      <c r="AO208" s="13">
        <v>0</v>
      </c>
      <c r="AP208" s="13">
        <v>918.18870000000004</v>
      </c>
      <c r="AQ208" s="13">
        <v>29.4999</v>
      </c>
      <c r="AR208" s="13">
        <v>888.68880000000001</v>
      </c>
      <c r="AS208" s="13">
        <v>16</v>
      </c>
      <c r="AT208" s="13">
        <v>16</v>
      </c>
      <c r="AU208" s="13">
        <v>0</v>
      </c>
      <c r="AV208" s="13">
        <v>1040.0744999999999</v>
      </c>
      <c r="AW208" s="13">
        <v>52.642499999999998</v>
      </c>
      <c r="AX208" s="13">
        <v>987.43200000000002</v>
      </c>
      <c r="AY208" s="13">
        <v>16</v>
      </c>
      <c r="AZ208" s="13">
        <v>16</v>
      </c>
      <c r="BA208" s="13">
        <v>0</v>
      </c>
      <c r="BB208" s="13">
        <v>1066.6889000000001</v>
      </c>
      <c r="BC208" s="13">
        <v>54.571100000000001</v>
      </c>
      <c r="BD208" s="13">
        <v>1012.1178</v>
      </c>
      <c r="BE208" s="13">
        <v>0</v>
      </c>
      <c r="BF208" s="13">
        <v>0</v>
      </c>
      <c r="BG208" s="13">
        <v>0</v>
      </c>
      <c r="BH208" s="13">
        <v>1108.5463</v>
      </c>
      <c r="BI208" s="13">
        <v>34.713999999999999</v>
      </c>
      <c r="BJ208" s="13">
        <v>1073.8323</v>
      </c>
      <c r="BK208" s="13">
        <v>18</v>
      </c>
      <c r="BL208" s="13">
        <v>18</v>
      </c>
      <c r="BM208" s="13">
        <v>0</v>
      </c>
      <c r="BN208" s="13">
        <v>1514.9618</v>
      </c>
      <c r="BO208" s="13">
        <v>58.499600000000001</v>
      </c>
      <c r="BP208" s="13">
        <v>1456.4621999999999</v>
      </c>
      <c r="BQ208" s="13">
        <v>67</v>
      </c>
      <c r="BR208" s="13">
        <v>67</v>
      </c>
      <c r="BS208" s="13">
        <v>0</v>
      </c>
      <c r="BT208" s="13">
        <v>1271.204</v>
      </c>
      <c r="BU208" s="13">
        <v>86.285600000000002</v>
      </c>
      <c r="BV208" s="13">
        <v>1184.9184</v>
      </c>
      <c r="BW208" s="13">
        <v>56</v>
      </c>
      <c r="BX208" s="13">
        <v>56</v>
      </c>
      <c r="BY208" s="13">
        <v>0</v>
      </c>
      <c r="BZ208" s="13">
        <v>1329.6327000000001</v>
      </c>
      <c r="CA208" s="13">
        <v>82.999799999999993</v>
      </c>
      <c r="CB208" s="13">
        <v>1246.6329000000001</v>
      </c>
      <c r="CC208" s="13">
        <v>43</v>
      </c>
      <c r="CD208" s="13">
        <v>43</v>
      </c>
      <c r="CE208" s="13">
        <v>0</v>
      </c>
      <c r="CF208" s="13">
        <v>1720.0911999999998</v>
      </c>
      <c r="CG208" s="13">
        <v>66.142600000000002</v>
      </c>
      <c r="CH208" s="13">
        <v>1653.9485999999999</v>
      </c>
      <c r="CI208" s="13">
        <v>51</v>
      </c>
      <c r="CJ208" s="13">
        <v>51</v>
      </c>
      <c r="CK208" s="13">
        <v>0</v>
      </c>
      <c r="CL208" s="13">
        <v>1415.6615999999999</v>
      </c>
      <c r="CM208" s="13">
        <v>70.285499999999999</v>
      </c>
      <c r="CN208" s="13">
        <v>1345.3761</v>
      </c>
      <c r="CO208" s="13">
        <v>77</v>
      </c>
      <c r="CP208" s="13">
        <v>77</v>
      </c>
      <c r="CQ208" s="13">
        <v>0</v>
      </c>
      <c r="CR208" s="13">
        <v>1482.5464999999999</v>
      </c>
      <c r="CS208" s="13">
        <v>161.8562</v>
      </c>
      <c r="CT208" s="13">
        <v>1320.6903</v>
      </c>
      <c r="CU208" s="13">
        <f t="shared" si="20"/>
        <v>400</v>
      </c>
      <c r="CV208" s="13">
        <f t="shared" si="20"/>
        <v>400</v>
      </c>
      <c r="CW208" s="13">
        <f t="shared" si="20"/>
        <v>0</v>
      </c>
      <c r="CX208" s="13">
        <f t="shared" si="20"/>
        <v>15177.917399999998</v>
      </c>
      <c r="CY208" s="13">
        <f t="shared" si="20"/>
        <v>810.78179999999998</v>
      </c>
      <c r="CZ208" s="13">
        <f t="shared" si="20"/>
        <v>14367.1356</v>
      </c>
      <c r="DA208" s="13">
        <f t="shared" si="21"/>
        <v>171</v>
      </c>
      <c r="DB208" s="13">
        <f t="shared" si="21"/>
        <v>171</v>
      </c>
      <c r="DC208" s="13">
        <f t="shared" si="21"/>
        <v>0</v>
      </c>
      <c r="DD208" s="13">
        <f t="shared" si="21"/>
        <v>4618.2992999999997</v>
      </c>
      <c r="DE208" s="13">
        <f t="shared" si="21"/>
        <v>298.28430000000003</v>
      </c>
      <c r="DF208" s="13">
        <f t="shared" si="21"/>
        <v>4320.0150000000003</v>
      </c>
      <c r="DG208" s="13">
        <f t="shared" si="22"/>
        <v>141</v>
      </c>
      <c r="DH208" s="13">
        <f t="shared" si="22"/>
        <v>141</v>
      </c>
      <c r="DI208" s="13">
        <f t="shared" si="22"/>
        <v>0</v>
      </c>
      <c r="DJ208" s="13">
        <f t="shared" si="22"/>
        <v>4115.7984999999999</v>
      </c>
      <c r="DK208" s="13">
        <f t="shared" si="22"/>
        <v>227.785</v>
      </c>
      <c r="DL208" s="13">
        <f t="shared" si="22"/>
        <v>3888.0135</v>
      </c>
      <c r="DM208" s="13">
        <f t="shared" si="23"/>
        <v>128</v>
      </c>
      <c r="DN208" s="13">
        <f t="shared" si="23"/>
        <v>128</v>
      </c>
      <c r="DO208" s="13">
        <f t="shared" si="23"/>
        <v>0</v>
      </c>
      <c r="DP208" s="13">
        <f t="shared" si="23"/>
        <v>2898.2080999999998</v>
      </c>
      <c r="DQ208" s="13">
        <f t="shared" si="23"/>
        <v>232.14170000000001</v>
      </c>
      <c r="DR208" s="13">
        <f t="shared" si="23"/>
        <v>2666.0663999999997</v>
      </c>
      <c r="DS208" s="14" t="s">
        <v>138</v>
      </c>
      <c r="DT208" s="14" t="s">
        <v>81</v>
      </c>
      <c r="DU208" s="14" t="s">
        <v>73</v>
      </c>
      <c r="DV208" s="14" t="s">
        <v>82</v>
      </c>
      <c r="DW208" s="14" t="s">
        <v>74</v>
      </c>
    </row>
    <row r="209" spans="2:127" x14ac:dyDescent="0.3">
      <c r="B209" s="11" t="s">
        <v>65</v>
      </c>
      <c r="C209" s="14">
        <v>5001341906</v>
      </c>
      <c r="D209" s="11" t="s">
        <v>700</v>
      </c>
      <c r="E209" s="11" t="s">
        <v>522</v>
      </c>
      <c r="F209" s="11" t="s">
        <v>701</v>
      </c>
      <c r="G209" s="11" t="s">
        <v>702</v>
      </c>
      <c r="H209" s="11" t="s">
        <v>216</v>
      </c>
      <c r="I209" s="11">
        <v>43604</v>
      </c>
      <c r="J209" s="11" t="s">
        <v>80</v>
      </c>
      <c r="K209" s="11"/>
      <c r="L209" s="11"/>
      <c r="M209" s="11"/>
      <c r="N209" s="11"/>
      <c r="O209" s="13">
        <v>0</v>
      </c>
      <c r="P209" s="13">
        <v>0</v>
      </c>
      <c r="Q209" s="13">
        <v>0</v>
      </c>
      <c r="R209" s="13">
        <v>14963.642900000001</v>
      </c>
      <c r="S209" s="13">
        <v>201.53450000000001</v>
      </c>
      <c r="T209" s="13">
        <v>14762.108399999999</v>
      </c>
      <c r="U209" s="13">
        <v>0</v>
      </c>
      <c r="V209" s="13">
        <v>0</v>
      </c>
      <c r="W209" s="13">
        <v>0</v>
      </c>
      <c r="X209" s="13">
        <v>829.09559999999999</v>
      </c>
      <c r="Y209" s="13">
        <v>14.4642</v>
      </c>
      <c r="Z209" s="13">
        <v>814.63139999999999</v>
      </c>
      <c r="AA209" s="13">
        <v>0</v>
      </c>
      <c r="AB209" s="13">
        <v>0</v>
      </c>
      <c r="AC209" s="13">
        <v>0</v>
      </c>
      <c r="AD209" s="13">
        <v>1026.5819999999999</v>
      </c>
      <c r="AE209" s="13">
        <v>14.4642</v>
      </c>
      <c r="AF209" s="13">
        <v>1012.1178</v>
      </c>
      <c r="AG209" s="13">
        <v>0</v>
      </c>
      <c r="AH209" s="13">
        <v>0</v>
      </c>
      <c r="AI209" s="13">
        <v>0</v>
      </c>
      <c r="AJ209" s="13">
        <v>878.46720000000005</v>
      </c>
      <c r="AK209" s="13">
        <v>14.4642</v>
      </c>
      <c r="AL209" s="13">
        <v>864.00300000000004</v>
      </c>
      <c r="AM209" s="13">
        <v>0</v>
      </c>
      <c r="AN209" s="13">
        <v>0</v>
      </c>
      <c r="AO209" s="13">
        <v>0</v>
      </c>
      <c r="AP209" s="13">
        <v>816.7527</v>
      </c>
      <c r="AQ209" s="13">
        <v>14.4642</v>
      </c>
      <c r="AR209" s="13">
        <v>802.2885</v>
      </c>
      <c r="AS209" s="13">
        <v>0</v>
      </c>
      <c r="AT209" s="13">
        <v>0</v>
      </c>
      <c r="AU209" s="13">
        <v>0</v>
      </c>
      <c r="AV209" s="13">
        <v>1287.9041999999999</v>
      </c>
      <c r="AW209" s="13">
        <v>28.9284</v>
      </c>
      <c r="AX209" s="13">
        <v>1258.9757999999999</v>
      </c>
      <c r="AY209" s="13">
        <v>0</v>
      </c>
      <c r="AZ209" s="13">
        <v>0</v>
      </c>
      <c r="BA209" s="13">
        <v>0</v>
      </c>
      <c r="BB209" s="13">
        <v>1100.6393999999998</v>
      </c>
      <c r="BC209" s="13">
        <v>14.4642</v>
      </c>
      <c r="BD209" s="13">
        <v>1086.1751999999999</v>
      </c>
      <c r="BE209" s="13">
        <v>0</v>
      </c>
      <c r="BF209" s="13">
        <v>0</v>
      </c>
      <c r="BG209" s="13">
        <v>0</v>
      </c>
      <c r="BH209" s="13">
        <v>901.0317</v>
      </c>
      <c r="BI209" s="13">
        <v>0</v>
      </c>
      <c r="BJ209" s="13">
        <v>901.0317</v>
      </c>
      <c r="BK209" s="13">
        <v>0</v>
      </c>
      <c r="BL209" s="13">
        <v>0</v>
      </c>
      <c r="BM209" s="13">
        <v>0</v>
      </c>
      <c r="BN209" s="13">
        <v>1299.2828</v>
      </c>
      <c r="BO209" s="13">
        <v>27.964099999999998</v>
      </c>
      <c r="BP209" s="13">
        <v>1271.3187</v>
      </c>
      <c r="BQ209" s="13">
        <v>0</v>
      </c>
      <c r="BR209" s="13">
        <v>0</v>
      </c>
      <c r="BS209" s="13">
        <v>0</v>
      </c>
      <c r="BT209" s="13">
        <v>1372.1831999999999</v>
      </c>
      <c r="BU209" s="13">
        <v>14.4642</v>
      </c>
      <c r="BV209" s="13">
        <v>1357.7190000000001</v>
      </c>
      <c r="BW209" s="13">
        <v>0</v>
      </c>
      <c r="BX209" s="13">
        <v>0</v>
      </c>
      <c r="BY209" s="13">
        <v>0</v>
      </c>
      <c r="BZ209" s="13">
        <v>1396.8689999999999</v>
      </c>
      <c r="CA209" s="13">
        <v>14.4642</v>
      </c>
      <c r="CB209" s="13">
        <v>1382.4048</v>
      </c>
      <c r="CC209" s="13">
        <v>0</v>
      </c>
      <c r="CD209" s="13">
        <v>0</v>
      </c>
      <c r="CE209" s="13">
        <v>0</v>
      </c>
      <c r="CF209" s="13">
        <v>1631.3841</v>
      </c>
      <c r="CG209" s="13">
        <v>14.4642</v>
      </c>
      <c r="CH209" s="13">
        <v>1616.9199000000001</v>
      </c>
      <c r="CI209" s="13">
        <v>0</v>
      </c>
      <c r="CJ209" s="13">
        <v>0</v>
      </c>
      <c r="CK209" s="13">
        <v>0</v>
      </c>
      <c r="CL209" s="13">
        <v>1224.0683999999999</v>
      </c>
      <c r="CM209" s="13">
        <v>14.4642</v>
      </c>
      <c r="CN209" s="13">
        <v>1209.6042</v>
      </c>
      <c r="CO209" s="13">
        <v>0</v>
      </c>
      <c r="CP209" s="13">
        <v>0</v>
      </c>
      <c r="CQ209" s="13">
        <v>0</v>
      </c>
      <c r="CR209" s="13">
        <v>1199.3825999999999</v>
      </c>
      <c r="CS209" s="13">
        <v>14.4642</v>
      </c>
      <c r="CT209" s="13">
        <v>1184.9184</v>
      </c>
      <c r="CU209" s="13">
        <f t="shared" si="20"/>
        <v>0</v>
      </c>
      <c r="CV209" s="13">
        <f t="shared" si="20"/>
        <v>0</v>
      </c>
      <c r="CW209" s="13">
        <f t="shared" si="20"/>
        <v>0</v>
      </c>
      <c r="CX209" s="13">
        <f t="shared" si="20"/>
        <v>14134.547299999998</v>
      </c>
      <c r="CY209" s="13">
        <f t="shared" si="20"/>
        <v>187.07030000000003</v>
      </c>
      <c r="CZ209" s="13">
        <f t="shared" si="20"/>
        <v>13947.477000000003</v>
      </c>
      <c r="DA209" s="13">
        <f t="shared" si="21"/>
        <v>0</v>
      </c>
      <c r="DB209" s="13">
        <f t="shared" si="21"/>
        <v>0</v>
      </c>
      <c r="DC209" s="13">
        <f t="shared" si="21"/>
        <v>0</v>
      </c>
      <c r="DD209" s="13">
        <f t="shared" si="21"/>
        <v>4054.8350999999998</v>
      </c>
      <c r="DE209" s="13">
        <f t="shared" si="21"/>
        <v>43.392600000000002</v>
      </c>
      <c r="DF209" s="13">
        <f t="shared" si="21"/>
        <v>4011.4425000000001</v>
      </c>
      <c r="DG209" s="13">
        <f t="shared" si="22"/>
        <v>0</v>
      </c>
      <c r="DH209" s="13">
        <f t="shared" si="22"/>
        <v>0</v>
      </c>
      <c r="DI209" s="13">
        <f t="shared" si="22"/>
        <v>0</v>
      </c>
      <c r="DJ209" s="13">
        <f t="shared" si="22"/>
        <v>4068.335</v>
      </c>
      <c r="DK209" s="13">
        <f t="shared" si="22"/>
        <v>56.892499999999998</v>
      </c>
      <c r="DL209" s="13">
        <f t="shared" si="22"/>
        <v>4011.4425000000001</v>
      </c>
      <c r="DM209" s="13">
        <f t="shared" si="23"/>
        <v>0</v>
      </c>
      <c r="DN209" s="13">
        <f t="shared" si="23"/>
        <v>0</v>
      </c>
      <c r="DO209" s="13">
        <f t="shared" si="23"/>
        <v>0</v>
      </c>
      <c r="DP209" s="13">
        <f t="shared" si="23"/>
        <v>2423.451</v>
      </c>
      <c r="DQ209" s="13">
        <f t="shared" si="23"/>
        <v>28.9284</v>
      </c>
      <c r="DR209" s="13">
        <f t="shared" si="23"/>
        <v>2394.5226000000002</v>
      </c>
      <c r="DS209" s="14" t="s">
        <v>138</v>
      </c>
      <c r="DT209" s="14" t="s">
        <v>81</v>
      </c>
      <c r="DU209" s="14" t="s">
        <v>73</v>
      </c>
      <c r="DV209" s="14" t="s">
        <v>82</v>
      </c>
      <c r="DW209" s="14" t="s">
        <v>74</v>
      </c>
    </row>
    <row r="210" spans="2:127" x14ac:dyDescent="0.3">
      <c r="B210" s="11" t="s">
        <v>53</v>
      </c>
      <c r="C210" s="14">
        <v>5001341922</v>
      </c>
      <c r="D210" s="11" t="s">
        <v>703</v>
      </c>
      <c r="E210" s="11" t="s">
        <v>522</v>
      </c>
      <c r="F210" s="11" t="s">
        <v>704</v>
      </c>
      <c r="G210" s="11" t="s">
        <v>183</v>
      </c>
      <c r="H210" s="11" t="s">
        <v>58</v>
      </c>
      <c r="I210" s="11">
        <v>92121</v>
      </c>
      <c r="J210" s="11" t="s">
        <v>80</v>
      </c>
      <c r="K210" s="11"/>
      <c r="L210" s="11"/>
      <c r="M210" s="11"/>
      <c r="N210" s="11"/>
      <c r="O210" s="13">
        <v>459</v>
      </c>
      <c r="P210" s="13">
        <v>459</v>
      </c>
      <c r="Q210" s="13">
        <v>0</v>
      </c>
      <c r="R210" s="13">
        <v>28677.358800000002</v>
      </c>
      <c r="S210" s="13">
        <v>1979.6660999999999</v>
      </c>
      <c r="T210" s="13">
        <v>26697.6927</v>
      </c>
      <c r="U210" s="13">
        <v>32</v>
      </c>
      <c r="V210" s="13">
        <v>32</v>
      </c>
      <c r="W210" s="13">
        <v>0</v>
      </c>
      <c r="X210" s="13">
        <v>2094.8053</v>
      </c>
      <c r="Y210" s="13">
        <v>193.99870000000001</v>
      </c>
      <c r="Z210" s="13">
        <v>1900.8065999999999</v>
      </c>
      <c r="AA210" s="13">
        <v>49</v>
      </c>
      <c r="AB210" s="13">
        <v>49</v>
      </c>
      <c r="AC210" s="13">
        <v>0</v>
      </c>
      <c r="AD210" s="13">
        <v>2110.8416999999999</v>
      </c>
      <c r="AE210" s="13">
        <v>148.32060000000001</v>
      </c>
      <c r="AF210" s="13">
        <v>1962.5210999999999</v>
      </c>
      <c r="AG210" s="13">
        <v>31</v>
      </c>
      <c r="AH210" s="13">
        <v>31</v>
      </c>
      <c r="AI210" s="13">
        <v>0</v>
      </c>
      <c r="AJ210" s="13">
        <v>1885.5199</v>
      </c>
      <c r="AK210" s="13">
        <v>108.14230000000001</v>
      </c>
      <c r="AL210" s="13">
        <v>1777.3776</v>
      </c>
      <c r="AM210" s="13">
        <v>24</v>
      </c>
      <c r="AN210" s="13">
        <v>24</v>
      </c>
      <c r="AO210" s="13">
        <v>0</v>
      </c>
      <c r="AP210" s="13">
        <v>1699.9335000000001</v>
      </c>
      <c r="AQ210" s="13">
        <v>95.356499999999997</v>
      </c>
      <c r="AR210" s="13">
        <v>1604.577</v>
      </c>
      <c r="AS210" s="13">
        <v>26</v>
      </c>
      <c r="AT210" s="13">
        <v>26</v>
      </c>
      <c r="AU210" s="13">
        <v>0</v>
      </c>
      <c r="AV210" s="13">
        <v>2505.5708</v>
      </c>
      <c r="AW210" s="13">
        <v>185.10560000000001</v>
      </c>
      <c r="AX210" s="13">
        <v>2320.4652000000001</v>
      </c>
      <c r="AY210" s="13">
        <v>25</v>
      </c>
      <c r="AZ210" s="13">
        <v>25</v>
      </c>
      <c r="BA210" s="13">
        <v>0</v>
      </c>
      <c r="BB210" s="13">
        <v>2006.6126999999999</v>
      </c>
      <c r="BC210" s="13">
        <v>155.17769999999999</v>
      </c>
      <c r="BD210" s="13">
        <v>1851.4349999999999</v>
      </c>
      <c r="BE210" s="13">
        <v>25</v>
      </c>
      <c r="BF210" s="13">
        <v>25</v>
      </c>
      <c r="BG210" s="13">
        <v>0</v>
      </c>
      <c r="BH210" s="13">
        <v>2031.2991</v>
      </c>
      <c r="BI210" s="13">
        <v>93.463800000000006</v>
      </c>
      <c r="BJ210" s="13">
        <v>1937.8353</v>
      </c>
      <c r="BK210" s="13">
        <v>35</v>
      </c>
      <c r="BL210" s="13">
        <v>35</v>
      </c>
      <c r="BM210" s="13">
        <v>0</v>
      </c>
      <c r="BN210" s="13">
        <v>2567.9926999999998</v>
      </c>
      <c r="BO210" s="13">
        <v>210.49879999999999</v>
      </c>
      <c r="BP210" s="13">
        <v>2357.4938999999999</v>
      </c>
      <c r="BQ210" s="13">
        <v>55</v>
      </c>
      <c r="BR210" s="13">
        <v>55</v>
      </c>
      <c r="BS210" s="13">
        <v>0</v>
      </c>
      <c r="BT210" s="13">
        <v>2606.5068999999999</v>
      </c>
      <c r="BU210" s="13">
        <v>199.6414</v>
      </c>
      <c r="BV210" s="13">
        <v>2406.8654999999999</v>
      </c>
      <c r="BW210" s="13">
        <v>35</v>
      </c>
      <c r="BX210" s="13">
        <v>35</v>
      </c>
      <c r="BY210" s="13">
        <v>0</v>
      </c>
      <c r="BZ210" s="13">
        <v>2528.0716000000002</v>
      </c>
      <c r="CA210" s="13">
        <v>145.89190000000002</v>
      </c>
      <c r="CB210" s="13">
        <v>2382.1797000000001</v>
      </c>
      <c r="CC210" s="13">
        <v>41</v>
      </c>
      <c r="CD210" s="13">
        <v>41</v>
      </c>
      <c r="CE210" s="13">
        <v>0</v>
      </c>
      <c r="CF210" s="13">
        <v>2522.4997000000003</v>
      </c>
      <c r="CG210" s="13">
        <v>202.03450000000001</v>
      </c>
      <c r="CH210" s="13">
        <v>2320.4652000000001</v>
      </c>
      <c r="CI210" s="13">
        <v>49</v>
      </c>
      <c r="CJ210" s="13">
        <v>49</v>
      </c>
      <c r="CK210" s="13">
        <v>0</v>
      </c>
      <c r="CL210" s="13">
        <v>2094.6415999999999</v>
      </c>
      <c r="CM210" s="13">
        <v>144.46339999999998</v>
      </c>
      <c r="CN210" s="13">
        <v>1950.1782000000001</v>
      </c>
      <c r="CO210" s="13">
        <v>32</v>
      </c>
      <c r="CP210" s="13">
        <v>32</v>
      </c>
      <c r="CQ210" s="13">
        <v>0</v>
      </c>
      <c r="CR210" s="13">
        <v>2023.0633</v>
      </c>
      <c r="CS210" s="13">
        <v>97.570899999999995</v>
      </c>
      <c r="CT210" s="13">
        <v>1925.4924000000001</v>
      </c>
      <c r="CU210" s="13">
        <f t="shared" si="20"/>
        <v>427</v>
      </c>
      <c r="CV210" s="13">
        <f t="shared" si="20"/>
        <v>427</v>
      </c>
      <c r="CW210" s="13">
        <f t="shared" si="20"/>
        <v>0</v>
      </c>
      <c r="CX210" s="13">
        <f t="shared" si="20"/>
        <v>26582.553500000002</v>
      </c>
      <c r="CY210" s="13">
        <f t="shared" si="20"/>
        <v>1785.6674</v>
      </c>
      <c r="CZ210" s="13">
        <f t="shared" si="20"/>
        <v>24796.886099999996</v>
      </c>
      <c r="DA210" s="13">
        <f t="shared" si="21"/>
        <v>122</v>
      </c>
      <c r="DB210" s="13">
        <f t="shared" si="21"/>
        <v>122</v>
      </c>
      <c r="DC210" s="13">
        <f t="shared" si="21"/>
        <v>0</v>
      </c>
      <c r="DD210" s="13">
        <f t="shared" si="21"/>
        <v>6640.2046</v>
      </c>
      <c r="DE210" s="13">
        <f t="shared" si="21"/>
        <v>444.06879999999995</v>
      </c>
      <c r="DF210" s="13">
        <f t="shared" si="21"/>
        <v>6196.1358</v>
      </c>
      <c r="DG210" s="13">
        <f t="shared" si="22"/>
        <v>125</v>
      </c>
      <c r="DH210" s="13">
        <f t="shared" si="22"/>
        <v>125</v>
      </c>
      <c r="DI210" s="13">
        <f t="shared" si="22"/>
        <v>0</v>
      </c>
      <c r="DJ210" s="13">
        <f t="shared" si="22"/>
        <v>7702.5711999999994</v>
      </c>
      <c r="DK210" s="13">
        <f t="shared" si="22"/>
        <v>556.03210000000001</v>
      </c>
      <c r="DL210" s="13">
        <f t="shared" si="22"/>
        <v>7146.5391</v>
      </c>
      <c r="DM210" s="13">
        <f t="shared" si="23"/>
        <v>81</v>
      </c>
      <c r="DN210" s="13">
        <f t="shared" si="23"/>
        <v>81</v>
      </c>
      <c r="DO210" s="13">
        <f t="shared" si="23"/>
        <v>0</v>
      </c>
      <c r="DP210" s="13">
        <f t="shared" si="23"/>
        <v>4117.7048999999997</v>
      </c>
      <c r="DQ210" s="13">
        <f t="shared" si="23"/>
        <v>242.03429999999997</v>
      </c>
      <c r="DR210" s="13">
        <f t="shared" si="23"/>
        <v>3875.6706000000004</v>
      </c>
      <c r="DS210" s="14" t="s">
        <v>60</v>
      </c>
      <c r="DT210" s="14" t="s">
        <v>81</v>
      </c>
      <c r="DU210" s="14" t="s">
        <v>73</v>
      </c>
      <c r="DV210" s="14" t="s">
        <v>97</v>
      </c>
      <c r="DW210" s="14" t="s">
        <v>74</v>
      </c>
    </row>
    <row r="211" spans="2:127" x14ac:dyDescent="0.3">
      <c r="B211" s="11" t="s">
        <v>75</v>
      </c>
      <c r="C211" s="14">
        <v>5001341924</v>
      </c>
      <c r="D211" s="11" t="s">
        <v>705</v>
      </c>
      <c r="E211" s="11" t="s">
        <v>522</v>
      </c>
      <c r="F211" s="11" t="s">
        <v>706</v>
      </c>
      <c r="G211" s="11" t="s">
        <v>707</v>
      </c>
      <c r="H211" s="11" t="s">
        <v>104</v>
      </c>
      <c r="I211" s="11">
        <v>32610</v>
      </c>
      <c r="J211" s="11" t="s">
        <v>59</v>
      </c>
      <c r="K211" s="11"/>
      <c r="L211" s="11"/>
      <c r="M211" s="11"/>
      <c r="N211" s="11"/>
      <c r="O211" s="13">
        <v>262</v>
      </c>
      <c r="P211" s="13">
        <v>262</v>
      </c>
      <c r="Q211" s="13">
        <v>0</v>
      </c>
      <c r="R211" s="13">
        <v>262</v>
      </c>
      <c r="S211" s="13">
        <v>262</v>
      </c>
      <c r="T211" s="13">
        <v>0</v>
      </c>
      <c r="U211" s="13">
        <v>21</v>
      </c>
      <c r="V211" s="13">
        <v>21</v>
      </c>
      <c r="W211" s="13">
        <v>0</v>
      </c>
      <c r="X211" s="13">
        <v>21</v>
      </c>
      <c r="Y211" s="13">
        <v>21</v>
      </c>
      <c r="Z211" s="13">
        <v>0</v>
      </c>
      <c r="AA211" s="13">
        <v>14</v>
      </c>
      <c r="AB211" s="13">
        <v>14</v>
      </c>
      <c r="AC211" s="13">
        <v>0</v>
      </c>
      <c r="AD211" s="13">
        <v>14</v>
      </c>
      <c r="AE211" s="13">
        <v>14</v>
      </c>
      <c r="AF211" s="13">
        <v>0</v>
      </c>
      <c r="AG211" s="13">
        <v>14</v>
      </c>
      <c r="AH211" s="13">
        <v>14</v>
      </c>
      <c r="AI211" s="13">
        <v>0</v>
      </c>
      <c r="AJ211" s="13">
        <v>14</v>
      </c>
      <c r="AK211" s="13">
        <v>14</v>
      </c>
      <c r="AL211" s="13">
        <v>0</v>
      </c>
      <c r="AM211" s="13">
        <v>28</v>
      </c>
      <c r="AN211" s="13">
        <v>28</v>
      </c>
      <c r="AO211" s="13">
        <v>0</v>
      </c>
      <c r="AP211" s="13">
        <v>28</v>
      </c>
      <c r="AQ211" s="13">
        <v>28</v>
      </c>
      <c r="AR211" s="13">
        <v>0</v>
      </c>
      <c r="AS211" s="13">
        <v>14</v>
      </c>
      <c r="AT211" s="13">
        <v>14</v>
      </c>
      <c r="AU211" s="13">
        <v>0</v>
      </c>
      <c r="AV211" s="13">
        <v>14</v>
      </c>
      <c r="AW211" s="13">
        <v>14</v>
      </c>
      <c r="AX211" s="13">
        <v>0</v>
      </c>
      <c r="AY211" s="13">
        <v>14</v>
      </c>
      <c r="AZ211" s="13">
        <v>14</v>
      </c>
      <c r="BA211" s="13">
        <v>0</v>
      </c>
      <c r="BB211" s="13">
        <v>14</v>
      </c>
      <c r="BC211" s="13">
        <v>14</v>
      </c>
      <c r="BD211" s="13">
        <v>0</v>
      </c>
      <c r="BE211" s="13">
        <v>14</v>
      </c>
      <c r="BF211" s="13">
        <v>14</v>
      </c>
      <c r="BG211" s="13">
        <v>0</v>
      </c>
      <c r="BH211" s="13">
        <v>14</v>
      </c>
      <c r="BI211" s="13">
        <v>14</v>
      </c>
      <c r="BJ211" s="13">
        <v>0</v>
      </c>
      <c r="BK211" s="13">
        <v>14</v>
      </c>
      <c r="BL211" s="13">
        <v>14</v>
      </c>
      <c r="BM211" s="13">
        <v>0</v>
      </c>
      <c r="BN211" s="13">
        <v>14</v>
      </c>
      <c r="BO211" s="13">
        <v>14</v>
      </c>
      <c r="BP211" s="13">
        <v>0</v>
      </c>
      <c r="BQ211" s="13">
        <v>24</v>
      </c>
      <c r="BR211" s="13">
        <v>24</v>
      </c>
      <c r="BS211" s="13">
        <v>0</v>
      </c>
      <c r="BT211" s="13">
        <v>24</v>
      </c>
      <c r="BU211" s="13">
        <v>24</v>
      </c>
      <c r="BV211" s="13">
        <v>0</v>
      </c>
      <c r="BW211" s="13">
        <v>38</v>
      </c>
      <c r="BX211" s="13">
        <v>38</v>
      </c>
      <c r="BY211" s="13">
        <v>0</v>
      </c>
      <c r="BZ211" s="13">
        <v>38</v>
      </c>
      <c r="CA211" s="13">
        <v>38</v>
      </c>
      <c r="CB211" s="13">
        <v>0</v>
      </c>
      <c r="CC211" s="13">
        <v>22</v>
      </c>
      <c r="CD211" s="13">
        <v>22</v>
      </c>
      <c r="CE211" s="13">
        <v>0</v>
      </c>
      <c r="CF211" s="13">
        <v>22</v>
      </c>
      <c r="CG211" s="13">
        <v>22</v>
      </c>
      <c r="CH211" s="13">
        <v>0</v>
      </c>
      <c r="CI211" s="13">
        <v>23</v>
      </c>
      <c r="CJ211" s="13">
        <v>23</v>
      </c>
      <c r="CK211" s="13">
        <v>0</v>
      </c>
      <c r="CL211" s="13">
        <v>23</v>
      </c>
      <c r="CM211" s="13">
        <v>23</v>
      </c>
      <c r="CN211" s="13">
        <v>0</v>
      </c>
      <c r="CO211" s="13">
        <v>22</v>
      </c>
      <c r="CP211" s="13">
        <v>22</v>
      </c>
      <c r="CQ211" s="13">
        <v>0</v>
      </c>
      <c r="CR211" s="13">
        <v>22</v>
      </c>
      <c r="CS211" s="13">
        <v>22</v>
      </c>
      <c r="CT211" s="13">
        <v>0</v>
      </c>
      <c r="CU211" s="13">
        <f t="shared" si="20"/>
        <v>241</v>
      </c>
      <c r="CV211" s="13">
        <f t="shared" si="20"/>
        <v>241</v>
      </c>
      <c r="CW211" s="13">
        <f t="shared" si="20"/>
        <v>0</v>
      </c>
      <c r="CX211" s="13">
        <f t="shared" ref="CX211:CZ274" si="24">SUM(AD211,AJ211,AP211,AV211,BB211,BH211,BN211,BT211,BZ211,CF211,CL211,CR211)</f>
        <v>241</v>
      </c>
      <c r="CY211" s="13">
        <f t="shared" si="24"/>
        <v>241</v>
      </c>
      <c r="CZ211" s="13">
        <f t="shared" si="24"/>
        <v>0</v>
      </c>
      <c r="DA211" s="13">
        <f t="shared" si="21"/>
        <v>67</v>
      </c>
      <c r="DB211" s="13">
        <f t="shared" si="21"/>
        <v>67</v>
      </c>
      <c r="DC211" s="13">
        <f t="shared" si="21"/>
        <v>0</v>
      </c>
      <c r="DD211" s="13">
        <f t="shared" ref="DD211:DF274" si="25">SUM(CF211,CL211,CR211)</f>
        <v>67</v>
      </c>
      <c r="DE211" s="13">
        <f t="shared" si="25"/>
        <v>67</v>
      </c>
      <c r="DF211" s="13">
        <f t="shared" si="25"/>
        <v>0</v>
      </c>
      <c r="DG211" s="13">
        <f t="shared" si="22"/>
        <v>76</v>
      </c>
      <c r="DH211" s="13">
        <f t="shared" si="22"/>
        <v>76</v>
      </c>
      <c r="DI211" s="13">
        <f t="shared" si="22"/>
        <v>0</v>
      </c>
      <c r="DJ211" s="13">
        <f t="shared" ref="DJ211:DL274" si="26">SUM(BN211,BT211,BZ211)</f>
        <v>76</v>
      </c>
      <c r="DK211" s="13">
        <f t="shared" si="26"/>
        <v>76</v>
      </c>
      <c r="DL211" s="13">
        <f t="shared" si="26"/>
        <v>0</v>
      </c>
      <c r="DM211" s="13">
        <f t="shared" si="23"/>
        <v>45</v>
      </c>
      <c r="DN211" s="13">
        <f t="shared" si="23"/>
        <v>45</v>
      </c>
      <c r="DO211" s="13">
        <f t="shared" si="23"/>
        <v>0</v>
      </c>
      <c r="DP211" s="13">
        <f t="shared" ref="DP211:DR274" si="27">SUM(CL211,CR211)</f>
        <v>45</v>
      </c>
      <c r="DQ211" s="13">
        <f t="shared" si="27"/>
        <v>45</v>
      </c>
      <c r="DR211" s="13">
        <f t="shared" si="27"/>
        <v>0</v>
      </c>
      <c r="DS211" s="14" t="s">
        <v>60</v>
      </c>
      <c r="DT211" s="14" t="s">
        <v>81</v>
      </c>
      <c r="DU211" s="14" t="s">
        <v>73</v>
      </c>
      <c r="DV211" s="14" t="s">
        <v>82</v>
      </c>
      <c r="DW211" s="14" t="s">
        <v>74</v>
      </c>
    </row>
    <row r="212" spans="2:127" x14ac:dyDescent="0.3">
      <c r="B212" s="11" t="s">
        <v>83</v>
      </c>
      <c r="C212" s="14">
        <v>5001341928</v>
      </c>
      <c r="D212" s="11" t="s">
        <v>708</v>
      </c>
      <c r="E212" s="11" t="s">
        <v>522</v>
      </c>
      <c r="F212" s="11" t="s">
        <v>709</v>
      </c>
      <c r="G212" s="11" t="s">
        <v>710</v>
      </c>
      <c r="H212" s="11" t="s">
        <v>711</v>
      </c>
      <c r="I212" s="11">
        <v>57105</v>
      </c>
      <c r="J212" s="11" t="s">
        <v>59</v>
      </c>
      <c r="K212" s="11"/>
      <c r="L212" s="11"/>
      <c r="M212" s="11"/>
      <c r="N212" s="11"/>
      <c r="O212" s="13">
        <v>239</v>
      </c>
      <c r="P212" s="13">
        <v>239</v>
      </c>
      <c r="Q212" s="13">
        <v>0</v>
      </c>
      <c r="R212" s="13">
        <v>42062.318899999998</v>
      </c>
      <c r="S212" s="13">
        <v>1898.5223000000001</v>
      </c>
      <c r="T212" s="13">
        <v>40163.796600000001</v>
      </c>
      <c r="U212" s="13">
        <v>10</v>
      </c>
      <c r="V212" s="13">
        <v>10</v>
      </c>
      <c r="W212" s="13">
        <v>0</v>
      </c>
      <c r="X212" s="13">
        <v>3217.0311999999999</v>
      </c>
      <c r="Y212" s="13">
        <v>118.9633</v>
      </c>
      <c r="Z212" s="13">
        <v>3098.0679</v>
      </c>
      <c r="AA212" s="13">
        <v>0</v>
      </c>
      <c r="AB212" s="13">
        <v>0</v>
      </c>
      <c r="AC212" s="13">
        <v>0</v>
      </c>
      <c r="AD212" s="13">
        <v>3111.3728000000001</v>
      </c>
      <c r="AE212" s="13">
        <v>186.10550000000001</v>
      </c>
      <c r="AF212" s="13">
        <v>2925.2673</v>
      </c>
      <c r="AG212" s="13">
        <v>0</v>
      </c>
      <c r="AH212" s="13">
        <v>0</v>
      </c>
      <c r="AI212" s="13">
        <v>0</v>
      </c>
      <c r="AJ212" s="13">
        <v>2948.6021000000001</v>
      </c>
      <c r="AK212" s="13">
        <v>97.392200000000003</v>
      </c>
      <c r="AL212" s="13">
        <v>2851.2098999999998</v>
      </c>
      <c r="AM212" s="13">
        <v>0</v>
      </c>
      <c r="AN212" s="13">
        <v>0</v>
      </c>
      <c r="AO212" s="13">
        <v>0</v>
      </c>
      <c r="AP212" s="13">
        <v>3602.0032999999999</v>
      </c>
      <c r="AQ212" s="13">
        <v>170.6771</v>
      </c>
      <c r="AR212" s="13">
        <v>3431.3262</v>
      </c>
      <c r="AS212" s="13">
        <v>42</v>
      </c>
      <c r="AT212" s="13">
        <v>42</v>
      </c>
      <c r="AU212" s="13">
        <v>0</v>
      </c>
      <c r="AV212" s="13">
        <v>3474.6737000000003</v>
      </c>
      <c r="AW212" s="13">
        <v>253.17679999999999</v>
      </c>
      <c r="AX212" s="13">
        <v>3221.4969000000001</v>
      </c>
      <c r="AY212" s="13">
        <v>20</v>
      </c>
      <c r="AZ212" s="13">
        <v>20</v>
      </c>
      <c r="BA212" s="13">
        <v>0</v>
      </c>
      <c r="BB212" s="13">
        <v>2799.4657999999999</v>
      </c>
      <c r="BC212" s="13">
        <v>108.7136</v>
      </c>
      <c r="BD212" s="13">
        <v>2690.7521999999999</v>
      </c>
      <c r="BE212" s="13">
        <v>20</v>
      </c>
      <c r="BF212" s="13">
        <v>20</v>
      </c>
      <c r="BG212" s="13">
        <v>0</v>
      </c>
      <c r="BH212" s="13">
        <v>2988.4663</v>
      </c>
      <c r="BI212" s="13">
        <v>112.5706</v>
      </c>
      <c r="BJ212" s="13">
        <v>2875.8957</v>
      </c>
      <c r="BK212" s="13">
        <v>38</v>
      </c>
      <c r="BL212" s="13">
        <v>38</v>
      </c>
      <c r="BM212" s="13">
        <v>0</v>
      </c>
      <c r="BN212" s="13">
        <v>3591.7891</v>
      </c>
      <c r="BO212" s="13">
        <v>222.17740000000001</v>
      </c>
      <c r="BP212" s="13">
        <v>3369.6116999999999</v>
      </c>
      <c r="BQ212" s="13">
        <v>0</v>
      </c>
      <c r="BR212" s="13">
        <v>0</v>
      </c>
      <c r="BS212" s="13">
        <v>0</v>
      </c>
      <c r="BT212" s="13">
        <v>3181.5739000000003</v>
      </c>
      <c r="BU212" s="13">
        <v>120.5347</v>
      </c>
      <c r="BV212" s="13">
        <v>3061.0392000000002</v>
      </c>
      <c r="BW212" s="13">
        <v>28</v>
      </c>
      <c r="BX212" s="13">
        <v>28</v>
      </c>
      <c r="BY212" s="13">
        <v>0</v>
      </c>
      <c r="BZ212" s="13">
        <v>2996.0810999999999</v>
      </c>
      <c r="CA212" s="13">
        <v>95.499600000000001</v>
      </c>
      <c r="CB212" s="13">
        <v>2900.5814999999998</v>
      </c>
      <c r="CC212" s="13">
        <v>36</v>
      </c>
      <c r="CD212" s="13">
        <v>36</v>
      </c>
      <c r="CE212" s="13">
        <v>0</v>
      </c>
      <c r="CF212" s="13">
        <v>3979.5545999999999</v>
      </c>
      <c r="CG212" s="13">
        <v>190.2843</v>
      </c>
      <c r="CH212" s="13">
        <v>3789.2703000000001</v>
      </c>
      <c r="CI212" s="13">
        <v>0</v>
      </c>
      <c r="CJ212" s="13">
        <v>0</v>
      </c>
      <c r="CK212" s="13">
        <v>0</v>
      </c>
      <c r="CL212" s="13">
        <v>3210.5031000000004</v>
      </c>
      <c r="CM212" s="13">
        <v>87.749399999999994</v>
      </c>
      <c r="CN212" s="13">
        <v>3122.7537000000002</v>
      </c>
      <c r="CO212" s="13">
        <v>45</v>
      </c>
      <c r="CP212" s="13">
        <v>45</v>
      </c>
      <c r="CQ212" s="13">
        <v>0</v>
      </c>
      <c r="CR212" s="13">
        <v>2961.2019</v>
      </c>
      <c r="CS212" s="13">
        <v>134.67779999999999</v>
      </c>
      <c r="CT212" s="13">
        <v>2826.5241000000001</v>
      </c>
      <c r="CU212" s="13">
        <f t="shared" ref="CU212:CZ275" si="28">SUM(AA212,AG212,AM212,AS212,AY212,BE212,BK212,BQ212,BW212,CC212,CI212,CO212)</f>
        <v>229</v>
      </c>
      <c r="CV212" s="13">
        <f t="shared" si="28"/>
        <v>229</v>
      </c>
      <c r="CW212" s="13">
        <f t="shared" si="28"/>
        <v>0</v>
      </c>
      <c r="CX212" s="13">
        <f t="shared" si="24"/>
        <v>38845.287700000001</v>
      </c>
      <c r="CY212" s="13">
        <f t="shared" si="24"/>
        <v>1779.559</v>
      </c>
      <c r="CZ212" s="13">
        <f t="shared" si="24"/>
        <v>37065.7287</v>
      </c>
      <c r="DA212" s="13">
        <f t="shared" ref="DA212:DF275" si="29">SUM(CC212,CI212,CO212)</f>
        <v>81</v>
      </c>
      <c r="DB212" s="13">
        <f t="shared" si="29"/>
        <v>81</v>
      </c>
      <c r="DC212" s="13">
        <f t="shared" si="29"/>
        <v>0</v>
      </c>
      <c r="DD212" s="13">
        <f t="shared" si="25"/>
        <v>10151.259600000001</v>
      </c>
      <c r="DE212" s="13">
        <f t="shared" si="25"/>
        <v>412.7115</v>
      </c>
      <c r="DF212" s="13">
        <f t="shared" si="25"/>
        <v>9738.5481</v>
      </c>
      <c r="DG212" s="13">
        <f t="shared" ref="DG212:DL275" si="30">SUM(BK212,BQ212,BW212)</f>
        <v>66</v>
      </c>
      <c r="DH212" s="13">
        <f t="shared" si="30"/>
        <v>66</v>
      </c>
      <c r="DI212" s="13">
        <f t="shared" si="30"/>
        <v>0</v>
      </c>
      <c r="DJ212" s="13">
        <f t="shared" si="26"/>
        <v>9769.4441000000006</v>
      </c>
      <c r="DK212" s="13">
        <f t="shared" si="26"/>
        <v>438.21170000000001</v>
      </c>
      <c r="DL212" s="13">
        <f t="shared" si="26"/>
        <v>9331.2324000000008</v>
      </c>
      <c r="DM212" s="13">
        <f t="shared" ref="DM212:DR275" si="31">SUM(CI212,CO212)</f>
        <v>45</v>
      </c>
      <c r="DN212" s="13">
        <f t="shared" si="31"/>
        <v>45</v>
      </c>
      <c r="DO212" s="13">
        <f t="shared" si="31"/>
        <v>0</v>
      </c>
      <c r="DP212" s="13">
        <f t="shared" si="27"/>
        <v>6171.7049999999999</v>
      </c>
      <c r="DQ212" s="13">
        <f t="shared" si="27"/>
        <v>222.42719999999997</v>
      </c>
      <c r="DR212" s="13">
        <f t="shared" si="27"/>
        <v>5949.2777999999998</v>
      </c>
      <c r="DS212" s="14" t="s">
        <v>71</v>
      </c>
      <c r="DT212" s="14" t="s">
        <v>81</v>
      </c>
      <c r="DU212" s="14" t="s">
        <v>73</v>
      </c>
      <c r="DV212" s="14" t="s">
        <v>82</v>
      </c>
      <c r="DW212" s="14" t="s">
        <v>126</v>
      </c>
    </row>
    <row r="213" spans="2:127" x14ac:dyDescent="0.3">
      <c r="B213" s="11" t="s">
        <v>65</v>
      </c>
      <c r="C213" s="14">
        <v>5001341930</v>
      </c>
      <c r="D213" s="11" t="s">
        <v>712</v>
      </c>
      <c r="E213" s="11" t="s">
        <v>522</v>
      </c>
      <c r="F213" s="11" t="s">
        <v>713</v>
      </c>
      <c r="G213" s="11" t="s">
        <v>714</v>
      </c>
      <c r="H213" s="11" t="s">
        <v>150</v>
      </c>
      <c r="I213" s="11">
        <v>46544</v>
      </c>
      <c r="J213" s="11" t="s">
        <v>80</v>
      </c>
      <c r="K213" s="11"/>
      <c r="L213" s="11"/>
      <c r="M213" s="11"/>
      <c r="N213" s="11"/>
      <c r="O213" s="13">
        <v>156</v>
      </c>
      <c r="P213" s="13">
        <v>156</v>
      </c>
      <c r="Q213" s="13">
        <v>0</v>
      </c>
      <c r="R213" s="13">
        <v>26340.4879</v>
      </c>
      <c r="S213" s="13">
        <v>1049.8858</v>
      </c>
      <c r="T213" s="13">
        <v>25290.6021</v>
      </c>
      <c r="U213" s="13">
        <v>18</v>
      </c>
      <c r="V213" s="13">
        <v>18</v>
      </c>
      <c r="W213" s="13">
        <v>0</v>
      </c>
      <c r="X213" s="13">
        <v>1721.7050000000002</v>
      </c>
      <c r="Y213" s="13">
        <v>104.7851</v>
      </c>
      <c r="Z213" s="13">
        <v>1616.9199000000001</v>
      </c>
      <c r="AA213" s="13">
        <v>27</v>
      </c>
      <c r="AB213" s="13">
        <v>27</v>
      </c>
      <c r="AC213" s="13">
        <v>0</v>
      </c>
      <c r="AD213" s="13">
        <v>2052.5846000000001</v>
      </c>
      <c r="AE213" s="13">
        <v>114.74930000000001</v>
      </c>
      <c r="AF213" s="13">
        <v>1937.8353</v>
      </c>
      <c r="AG213" s="13">
        <v>18</v>
      </c>
      <c r="AH213" s="13">
        <v>18</v>
      </c>
      <c r="AI213" s="13">
        <v>0</v>
      </c>
      <c r="AJ213" s="13">
        <v>1720.1616999999999</v>
      </c>
      <c r="AK213" s="13">
        <v>127.9276</v>
      </c>
      <c r="AL213" s="13">
        <v>1592.2340999999999</v>
      </c>
      <c r="AM213" s="13">
        <v>18</v>
      </c>
      <c r="AN213" s="13">
        <v>18</v>
      </c>
      <c r="AO213" s="13">
        <v>0</v>
      </c>
      <c r="AP213" s="13">
        <v>1485.2614000000001</v>
      </c>
      <c r="AQ213" s="13">
        <v>102.8566</v>
      </c>
      <c r="AR213" s="13">
        <v>1382.4048</v>
      </c>
      <c r="AS213" s="13">
        <v>18</v>
      </c>
      <c r="AT213" s="13">
        <v>18</v>
      </c>
      <c r="AU213" s="13">
        <v>0</v>
      </c>
      <c r="AV213" s="13">
        <v>2265.3706999999999</v>
      </c>
      <c r="AW213" s="13">
        <v>142.39190000000002</v>
      </c>
      <c r="AX213" s="13">
        <v>2122.9787999999999</v>
      </c>
      <c r="AY213" s="13">
        <v>18</v>
      </c>
      <c r="AZ213" s="13">
        <v>18</v>
      </c>
      <c r="BA213" s="13">
        <v>0</v>
      </c>
      <c r="BB213" s="13">
        <v>1856.3198</v>
      </c>
      <c r="BC213" s="13">
        <v>91.2851</v>
      </c>
      <c r="BD213" s="13">
        <v>1765.0346999999999</v>
      </c>
      <c r="BE213" s="13">
        <v>0</v>
      </c>
      <c r="BF213" s="13">
        <v>0</v>
      </c>
      <c r="BG213" s="13">
        <v>0</v>
      </c>
      <c r="BH213" s="13">
        <v>1526.2763</v>
      </c>
      <c r="BI213" s="13">
        <v>32.785400000000003</v>
      </c>
      <c r="BJ213" s="13">
        <v>1493.4909</v>
      </c>
      <c r="BK213" s="13">
        <v>18</v>
      </c>
      <c r="BL213" s="13">
        <v>18</v>
      </c>
      <c r="BM213" s="13">
        <v>0</v>
      </c>
      <c r="BN213" s="13">
        <v>2450.3222000000001</v>
      </c>
      <c r="BO213" s="13">
        <v>68.142499999999998</v>
      </c>
      <c r="BP213" s="13">
        <v>2382.1797000000001</v>
      </c>
      <c r="BQ213" s="13">
        <v>9</v>
      </c>
      <c r="BR213" s="13">
        <v>9</v>
      </c>
      <c r="BS213" s="13">
        <v>0</v>
      </c>
      <c r="BT213" s="13">
        <v>1870.4631999999999</v>
      </c>
      <c r="BU213" s="13">
        <v>43.713999999999999</v>
      </c>
      <c r="BV213" s="13">
        <v>1826.7492</v>
      </c>
      <c r="BW213" s="13">
        <v>0</v>
      </c>
      <c r="BX213" s="13">
        <v>0</v>
      </c>
      <c r="BY213" s="13">
        <v>0</v>
      </c>
      <c r="BZ213" s="13">
        <v>1819.8058000000001</v>
      </c>
      <c r="CA213" s="13">
        <v>42.428199999999997</v>
      </c>
      <c r="CB213" s="13">
        <v>1777.3776</v>
      </c>
      <c r="CC213" s="13">
        <v>2</v>
      </c>
      <c r="CD213" s="13">
        <v>2</v>
      </c>
      <c r="CE213" s="13">
        <v>0</v>
      </c>
      <c r="CF213" s="13">
        <v>2855.1376999999998</v>
      </c>
      <c r="CG213" s="13">
        <v>65.642300000000006</v>
      </c>
      <c r="CH213" s="13">
        <v>2789.4953999999998</v>
      </c>
      <c r="CI213" s="13">
        <v>9</v>
      </c>
      <c r="CJ213" s="13">
        <v>9</v>
      </c>
      <c r="CK213" s="13">
        <v>0</v>
      </c>
      <c r="CL213" s="13">
        <v>2277.3928000000001</v>
      </c>
      <c r="CM213" s="13">
        <v>80.3566</v>
      </c>
      <c r="CN213" s="13">
        <v>2197.0362</v>
      </c>
      <c r="CO213" s="13">
        <v>1</v>
      </c>
      <c r="CP213" s="13">
        <v>1</v>
      </c>
      <c r="CQ213" s="13">
        <v>0</v>
      </c>
      <c r="CR213" s="13">
        <v>2439.6866999999997</v>
      </c>
      <c r="CS213" s="13">
        <v>32.821200000000005</v>
      </c>
      <c r="CT213" s="13">
        <v>2406.8654999999999</v>
      </c>
      <c r="CU213" s="13">
        <f t="shared" si="28"/>
        <v>138</v>
      </c>
      <c r="CV213" s="13">
        <f t="shared" si="28"/>
        <v>138</v>
      </c>
      <c r="CW213" s="13">
        <f t="shared" si="28"/>
        <v>0</v>
      </c>
      <c r="CX213" s="13">
        <f t="shared" si="24"/>
        <v>24618.782899999998</v>
      </c>
      <c r="CY213" s="13">
        <f t="shared" si="24"/>
        <v>945.10069999999985</v>
      </c>
      <c r="CZ213" s="13">
        <f t="shared" si="24"/>
        <v>23673.682199999999</v>
      </c>
      <c r="DA213" s="13">
        <f t="shared" si="29"/>
        <v>12</v>
      </c>
      <c r="DB213" s="13">
        <f t="shared" si="29"/>
        <v>12</v>
      </c>
      <c r="DC213" s="13">
        <f t="shared" si="29"/>
        <v>0</v>
      </c>
      <c r="DD213" s="13">
        <f t="shared" si="25"/>
        <v>7572.2171999999991</v>
      </c>
      <c r="DE213" s="13">
        <f t="shared" si="25"/>
        <v>178.8201</v>
      </c>
      <c r="DF213" s="13">
        <f t="shared" si="25"/>
        <v>7393.3971000000001</v>
      </c>
      <c r="DG213" s="13">
        <f t="shared" si="30"/>
        <v>27</v>
      </c>
      <c r="DH213" s="13">
        <f t="shared" si="30"/>
        <v>27</v>
      </c>
      <c r="DI213" s="13">
        <f t="shared" si="30"/>
        <v>0</v>
      </c>
      <c r="DJ213" s="13">
        <f t="shared" si="26"/>
        <v>6140.5911999999998</v>
      </c>
      <c r="DK213" s="13">
        <f t="shared" si="26"/>
        <v>154.28469999999999</v>
      </c>
      <c r="DL213" s="13">
        <f t="shared" si="26"/>
        <v>5986.3064999999997</v>
      </c>
      <c r="DM213" s="13">
        <f t="shared" si="31"/>
        <v>10</v>
      </c>
      <c r="DN213" s="13">
        <f t="shared" si="31"/>
        <v>10</v>
      </c>
      <c r="DO213" s="13">
        <f t="shared" si="31"/>
        <v>0</v>
      </c>
      <c r="DP213" s="13">
        <f t="shared" si="27"/>
        <v>4717.0794999999998</v>
      </c>
      <c r="DQ213" s="13">
        <f t="shared" si="27"/>
        <v>113.1778</v>
      </c>
      <c r="DR213" s="13">
        <f t="shared" si="27"/>
        <v>4603.9017000000003</v>
      </c>
      <c r="DS213" s="14" t="s">
        <v>60</v>
      </c>
      <c r="DT213" s="14" t="s">
        <v>72</v>
      </c>
      <c r="DU213" s="14" t="s">
        <v>73</v>
      </c>
      <c r="DV213" s="14" t="s">
        <v>82</v>
      </c>
      <c r="DW213" s="14" t="s">
        <v>126</v>
      </c>
    </row>
    <row r="214" spans="2:127" x14ac:dyDescent="0.3">
      <c r="B214" s="11" t="s">
        <v>75</v>
      </c>
      <c r="C214" s="14">
        <v>5001341936</v>
      </c>
      <c r="D214" s="11" t="s">
        <v>715</v>
      </c>
      <c r="E214" s="11" t="s">
        <v>522</v>
      </c>
      <c r="F214" s="11" t="s">
        <v>716</v>
      </c>
      <c r="G214" s="11" t="s">
        <v>717</v>
      </c>
      <c r="H214" s="11" t="s">
        <v>108</v>
      </c>
      <c r="I214" s="11">
        <v>29303</v>
      </c>
      <c r="J214" s="11" t="s">
        <v>80</v>
      </c>
      <c r="K214" s="11"/>
      <c r="L214" s="11"/>
      <c r="M214" s="11"/>
      <c r="N214" s="11"/>
      <c r="O214" s="13">
        <v>788</v>
      </c>
      <c r="P214" s="13">
        <v>788</v>
      </c>
      <c r="Q214" s="13">
        <v>0</v>
      </c>
      <c r="R214" s="13">
        <v>13377.758</v>
      </c>
      <c r="S214" s="13">
        <v>788</v>
      </c>
      <c r="T214" s="13">
        <v>12589.758</v>
      </c>
      <c r="U214" s="13">
        <v>55</v>
      </c>
      <c r="V214" s="13">
        <v>55</v>
      </c>
      <c r="W214" s="13">
        <v>0</v>
      </c>
      <c r="X214" s="13">
        <v>943.68880000000001</v>
      </c>
      <c r="Y214" s="13">
        <v>55</v>
      </c>
      <c r="Z214" s="13">
        <v>888.68880000000001</v>
      </c>
      <c r="AA214" s="13">
        <v>74</v>
      </c>
      <c r="AB214" s="13">
        <v>74</v>
      </c>
      <c r="AC214" s="13">
        <v>0</v>
      </c>
      <c r="AD214" s="13">
        <v>999.71749999999997</v>
      </c>
      <c r="AE214" s="13">
        <v>74</v>
      </c>
      <c r="AF214" s="13">
        <v>925.71749999999997</v>
      </c>
      <c r="AG214" s="13">
        <v>75</v>
      </c>
      <c r="AH214" s="13">
        <v>75</v>
      </c>
      <c r="AI214" s="13">
        <v>0</v>
      </c>
      <c r="AJ214" s="13">
        <v>840.25980000000004</v>
      </c>
      <c r="AK214" s="13">
        <v>75</v>
      </c>
      <c r="AL214" s="13">
        <v>765.25980000000004</v>
      </c>
      <c r="AM214" s="13">
        <v>28</v>
      </c>
      <c r="AN214" s="13">
        <v>28</v>
      </c>
      <c r="AO214" s="13">
        <v>0</v>
      </c>
      <c r="AP214" s="13">
        <v>793.25980000000004</v>
      </c>
      <c r="AQ214" s="13">
        <v>28</v>
      </c>
      <c r="AR214" s="13">
        <v>765.25980000000004</v>
      </c>
      <c r="AS214" s="13">
        <v>29</v>
      </c>
      <c r="AT214" s="13">
        <v>29</v>
      </c>
      <c r="AU214" s="13">
        <v>0</v>
      </c>
      <c r="AV214" s="13">
        <v>1707.6343999999999</v>
      </c>
      <c r="AW214" s="13">
        <v>29</v>
      </c>
      <c r="AX214" s="13">
        <v>1678.6343999999999</v>
      </c>
      <c r="AY214" s="13">
        <v>39</v>
      </c>
      <c r="AZ214" s="13">
        <v>39</v>
      </c>
      <c r="BA214" s="13">
        <v>0</v>
      </c>
      <c r="BB214" s="13">
        <v>1014.0891</v>
      </c>
      <c r="BC214" s="13">
        <v>39</v>
      </c>
      <c r="BD214" s="13">
        <v>975.08910000000003</v>
      </c>
      <c r="BE214" s="13">
        <v>81</v>
      </c>
      <c r="BF214" s="13">
        <v>81</v>
      </c>
      <c r="BG214" s="13">
        <v>0</v>
      </c>
      <c r="BH214" s="13">
        <v>648.77340000000004</v>
      </c>
      <c r="BI214" s="13">
        <v>81</v>
      </c>
      <c r="BJ214" s="13">
        <v>567.77340000000004</v>
      </c>
      <c r="BK214" s="13">
        <v>58</v>
      </c>
      <c r="BL214" s="13">
        <v>58</v>
      </c>
      <c r="BM214" s="13">
        <v>0</v>
      </c>
      <c r="BN214" s="13">
        <v>983.71749999999997</v>
      </c>
      <c r="BO214" s="13">
        <v>58</v>
      </c>
      <c r="BP214" s="13">
        <v>925.71749999999997</v>
      </c>
      <c r="BQ214" s="13">
        <v>70</v>
      </c>
      <c r="BR214" s="13">
        <v>70</v>
      </c>
      <c r="BS214" s="13">
        <v>0</v>
      </c>
      <c r="BT214" s="13">
        <v>934.00300000000004</v>
      </c>
      <c r="BU214" s="13">
        <v>70</v>
      </c>
      <c r="BV214" s="13">
        <v>864.00300000000004</v>
      </c>
      <c r="BW214" s="13">
        <v>89</v>
      </c>
      <c r="BX214" s="13">
        <v>89</v>
      </c>
      <c r="BY214" s="13">
        <v>0</v>
      </c>
      <c r="BZ214" s="13">
        <v>1002.3746</v>
      </c>
      <c r="CA214" s="13">
        <v>89</v>
      </c>
      <c r="CB214" s="13">
        <v>913.37459999999999</v>
      </c>
      <c r="CC214" s="13">
        <v>90</v>
      </c>
      <c r="CD214" s="13">
        <v>90</v>
      </c>
      <c r="CE214" s="13">
        <v>0</v>
      </c>
      <c r="CF214" s="13">
        <v>1336.6329000000001</v>
      </c>
      <c r="CG214" s="13">
        <v>90</v>
      </c>
      <c r="CH214" s="13">
        <v>1246.6329000000001</v>
      </c>
      <c r="CI214" s="13">
        <v>60</v>
      </c>
      <c r="CJ214" s="13">
        <v>60</v>
      </c>
      <c r="CK214" s="13">
        <v>0</v>
      </c>
      <c r="CL214" s="13">
        <v>1072.1178</v>
      </c>
      <c r="CM214" s="13">
        <v>60</v>
      </c>
      <c r="CN214" s="13">
        <v>1012.1178</v>
      </c>
      <c r="CO214" s="13">
        <v>40</v>
      </c>
      <c r="CP214" s="13">
        <v>40</v>
      </c>
      <c r="CQ214" s="13">
        <v>0</v>
      </c>
      <c r="CR214" s="13">
        <v>1101.4893999999999</v>
      </c>
      <c r="CS214" s="13">
        <v>40</v>
      </c>
      <c r="CT214" s="13">
        <v>1061.4893999999999</v>
      </c>
      <c r="CU214" s="13">
        <f t="shared" si="28"/>
        <v>733</v>
      </c>
      <c r="CV214" s="13">
        <f t="shared" si="28"/>
        <v>733</v>
      </c>
      <c r="CW214" s="13">
        <f t="shared" si="28"/>
        <v>0</v>
      </c>
      <c r="CX214" s="13">
        <f t="shared" si="24"/>
        <v>12434.0692</v>
      </c>
      <c r="CY214" s="13">
        <f t="shared" si="24"/>
        <v>733</v>
      </c>
      <c r="CZ214" s="13">
        <f t="shared" si="24"/>
        <v>11701.0692</v>
      </c>
      <c r="DA214" s="13">
        <f t="shared" si="29"/>
        <v>190</v>
      </c>
      <c r="DB214" s="13">
        <f t="shared" si="29"/>
        <v>190</v>
      </c>
      <c r="DC214" s="13">
        <f t="shared" si="29"/>
        <v>0</v>
      </c>
      <c r="DD214" s="13">
        <f t="shared" si="25"/>
        <v>3510.2401</v>
      </c>
      <c r="DE214" s="13">
        <f t="shared" si="25"/>
        <v>190</v>
      </c>
      <c r="DF214" s="13">
        <f t="shared" si="25"/>
        <v>3320.2401</v>
      </c>
      <c r="DG214" s="13">
        <f t="shared" si="30"/>
        <v>217</v>
      </c>
      <c r="DH214" s="13">
        <f t="shared" si="30"/>
        <v>217</v>
      </c>
      <c r="DI214" s="13">
        <f t="shared" si="30"/>
        <v>0</v>
      </c>
      <c r="DJ214" s="13">
        <f t="shared" si="26"/>
        <v>2920.0951</v>
      </c>
      <c r="DK214" s="13">
        <f t="shared" si="26"/>
        <v>217</v>
      </c>
      <c r="DL214" s="13">
        <f t="shared" si="26"/>
        <v>2703.0951</v>
      </c>
      <c r="DM214" s="13">
        <f t="shared" si="31"/>
        <v>100</v>
      </c>
      <c r="DN214" s="13">
        <f t="shared" si="31"/>
        <v>100</v>
      </c>
      <c r="DO214" s="13">
        <f t="shared" si="31"/>
        <v>0</v>
      </c>
      <c r="DP214" s="13">
        <f t="shared" si="27"/>
        <v>2173.6071999999999</v>
      </c>
      <c r="DQ214" s="13">
        <f t="shared" si="27"/>
        <v>100</v>
      </c>
      <c r="DR214" s="13">
        <f t="shared" si="27"/>
        <v>2073.6071999999999</v>
      </c>
      <c r="DS214" s="14" t="s">
        <v>71</v>
      </c>
      <c r="DT214" s="14" t="s">
        <v>81</v>
      </c>
      <c r="DU214" s="14" t="s">
        <v>73</v>
      </c>
      <c r="DV214" s="14" t="s">
        <v>82</v>
      </c>
      <c r="DW214" s="14" t="s">
        <v>74</v>
      </c>
    </row>
    <row r="215" spans="2:127" x14ac:dyDescent="0.3">
      <c r="B215" s="11" t="s">
        <v>65</v>
      </c>
      <c r="C215" s="14">
        <v>5001341937</v>
      </c>
      <c r="D215" s="11" t="s">
        <v>718</v>
      </c>
      <c r="E215" s="11" t="s">
        <v>522</v>
      </c>
      <c r="F215" s="11" t="s">
        <v>719</v>
      </c>
      <c r="G215" s="11" t="s">
        <v>198</v>
      </c>
      <c r="H215" s="11" t="s">
        <v>199</v>
      </c>
      <c r="I215" s="11">
        <v>49503</v>
      </c>
      <c r="J215" s="11" t="s">
        <v>80</v>
      </c>
      <c r="K215" s="11"/>
      <c r="L215" s="11"/>
      <c r="M215" s="11"/>
      <c r="N215" s="11"/>
      <c r="O215" s="13">
        <v>1200</v>
      </c>
      <c r="P215" s="13">
        <v>1200</v>
      </c>
      <c r="Q215" s="13">
        <v>0</v>
      </c>
      <c r="R215" s="13">
        <v>34229.782299999999</v>
      </c>
      <c r="S215" s="13">
        <v>2138.2422999999999</v>
      </c>
      <c r="T215" s="13">
        <v>32091.54</v>
      </c>
      <c r="U215" s="13">
        <v>119</v>
      </c>
      <c r="V215" s="13">
        <v>119</v>
      </c>
      <c r="W215" s="13">
        <v>0</v>
      </c>
      <c r="X215" s="13">
        <v>1865.5199</v>
      </c>
      <c r="Y215" s="13">
        <v>149.85679999999999</v>
      </c>
      <c r="Z215" s="13">
        <v>1715.6631</v>
      </c>
      <c r="AA215" s="13">
        <v>153</v>
      </c>
      <c r="AB215" s="13">
        <v>153</v>
      </c>
      <c r="AC215" s="13">
        <v>0</v>
      </c>
      <c r="AD215" s="13">
        <v>2349.2640999999999</v>
      </c>
      <c r="AE215" s="13">
        <v>226.28530000000001</v>
      </c>
      <c r="AF215" s="13">
        <v>2122.9787999999999</v>
      </c>
      <c r="AG215" s="13">
        <v>86</v>
      </c>
      <c r="AH215" s="13">
        <v>86</v>
      </c>
      <c r="AI215" s="13">
        <v>0</v>
      </c>
      <c r="AJ215" s="13">
        <v>2536.4501</v>
      </c>
      <c r="AK215" s="13">
        <v>203.642</v>
      </c>
      <c r="AL215" s="13">
        <v>2332.8081000000002</v>
      </c>
      <c r="AM215" s="13">
        <v>123</v>
      </c>
      <c r="AN215" s="13">
        <v>123</v>
      </c>
      <c r="AO215" s="13">
        <v>0</v>
      </c>
      <c r="AP215" s="13">
        <v>2344.5285999999996</v>
      </c>
      <c r="AQ215" s="13">
        <v>172.1782</v>
      </c>
      <c r="AR215" s="13">
        <v>2172.3503999999998</v>
      </c>
      <c r="AS215" s="13">
        <v>130</v>
      </c>
      <c r="AT215" s="13">
        <v>130</v>
      </c>
      <c r="AU215" s="13">
        <v>0</v>
      </c>
      <c r="AV215" s="13">
        <v>2655.4724000000001</v>
      </c>
      <c r="AW215" s="13">
        <v>186.89240000000001</v>
      </c>
      <c r="AX215" s="13">
        <v>2468.58</v>
      </c>
      <c r="AY215" s="13">
        <v>103</v>
      </c>
      <c r="AZ215" s="13">
        <v>103</v>
      </c>
      <c r="BA215" s="13">
        <v>0</v>
      </c>
      <c r="BB215" s="13">
        <v>2067.2552999999998</v>
      </c>
      <c r="BC215" s="13">
        <v>215.8203</v>
      </c>
      <c r="BD215" s="13">
        <v>1851.4349999999999</v>
      </c>
      <c r="BE215" s="13">
        <v>86</v>
      </c>
      <c r="BF215" s="13">
        <v>86</v>
      </c>
      <c r="BG215" s="13">
        <v>0</v>
      </c>
      <c r="BH215" s="13">
        <v>2610.1226999999999</v>
      </c>
      <c r="BI215" s="13">
        <v>116.8569</v>
      </c>
      <c r="BJ215" s="13">
        <v>2493.2658000000001</v>
      </c>
      <c r="BK215" s="13">
        <v>102</v>
      </c>
      <c r="BL215" s="13">
        <v>102</v>
      </c>
      <c r="BM215" s="13">
        <v>0</v>
      </c>
      <c r="BN215" s="13">
        <v>3557.6259</v>
      </c>
      <c r="BO215" s="13">
        <v>138.64260000000002</v>
      </c>
      <c r="BP215" s="13">
        <v>3418.9832999999999</v>
      </c>
      <c r="BQ215" s="13">
        <v>71</v>
      </c>
      <c r="BR215" s="13">
        <v>71</v>
      </c>
      <c r="BS215" s="13">
        <v>0</v>
      </c>
      <c r="BT215" s="13">
        <v>3045.2528000000002</v>
      </c>
      <c r="BU215" s="13">
        <v>107.6426</v>
      </c>
      <c r="BV215" s="13">
        <v>2937.6102000000001</v>
      </c>
      <c r="BW215" s="13">
        <v>43</v>
      </c>
      <c r="BX215" s="13">
        <v>43</v>
      </c>
      <c r="BY215" s="13">
        <v>0</v>
      </c>
      <c r="BZ215" s="13">
        <v>2232.7068000000004</v>
      </c>
      <c r="CA215" s="13">
        <v>122.07089999999999</v>
      </c>
      <c r="CB215" s="13">
        <v>2110.6359000000002</v>
      </c>
      <c r="CC215" s="13">
        <v>78</v>
      </c>
      <c r="CD215" s="13">
        <v>78</v>
      </c>
      <c r="CE215" s="13">
        <v>0</v>
      </c>
      <c r="CF215" s="13">
        <v>3064.4021999999995</v>
      </c>
      <c r="CG215" s="13">
        <v>163.82069999999999</v>
      </c>
      <c r="CH215" s="13">
        <v>2900.5814999999998</v>
      </c>
      <c r="CI215" s="13">
        <v>43</v>
      </c>
      <c r="CJ215" s="13">
        <v>43</v>
      </c>
      <c r="CK215" s="13">
        <v>0</v>
      </c>
      <c r="CL215" s="13">
        <v>3114.6447000000003</v>
      </c>
      <c r="CM215" s="13">
        <v>177.03450000000001</v>
      </c>
      <c r="CN215" s="13">
        <v>2937.6102000000001</v>
      </c>
      <c r="CO215" s="13">
        <v>63</v>
      </c>
      <c r="CP215" s="13">
        <v>63</v>
      </c>
      <c r="CQ215" s="13">
        <v>0</v>
      </c>
      <c r="CR215" s="13">
        <v>2786.5367999999999</v>
      </c>
      <c r="CS215" s="13">
        <v>157.4991</v>
      </c>
      <c r="CT215" s="13">
        <v>2629.0376999999999</v>
      </c>
      <c r="CU215" s="13">
        <f t="shared" si="28"/>
        <v>1081</v>
      </c>
      <c r="CV215" s="13">
        <f t="shared" si="28"/>
        <v>1081</v>
      </c>
      <c r="CW215" s="13">
        <f t="shared" si="28"/>
        <v>0</v>
      </c>
      <c r="CX215" s="13">
        <f t="shared" si="24"/>
        <v>32364.2624</v>
      </c>
      <c r="CY215" s="13">
        <f t="shared" si="24"/>
        <v>1988.3854999999999</v>
      </c>
      <c r="CZ215" s="13">
        <f t="shared" si="24"/>
        <v>30375.876899999999</v>
      </c>
      <c r="DA215" s="13">
        <f t="shared" si="29"/>
        <v>184</v>
      </c>
      <c r="DB215" s="13">
        <f t="shared" si="29"/>
        <v>184</v>
      </c>
      <c r="DC215" s="13">
        <f t="shared" si="29"/>
        <v>0</v>
      </c>
      <c r="DD215" s="13">
        <f t="shared" si="25"/>
        <v>8965.5836999999992</v>
      </c>
      <c r="DE215" s="13">
        <f t="shared" si="25"/>
        <v>498.35429999999997</v>
      </c>
      <c r="DF215" s="13">
        <f t="shared" si="25"/>
        <v>8467.2294000000002</v>
      </c>
      <c r="DG215" s="13">
        <f t="shared" si="30"/>
        <v>216</v>
      </c>
      <c r="DH215" s="13">
        <f t="shared" si="30"/>
        <v>216</v>
      </c>
      <c r="DI215" s="13">
        <f t="shared" si="30"/>
        <v>0</v>
      </c>
      <c r="DJ215" s="13">
        <f t="shared" si="26"/>
        <v>8835.585500000001</v>
      </c>
      <c r="DK215" s="13">
        <f t="shared" si="26"/>
        <v>368.35610000000003</v>
      </c>
      <c r="DL215" s="13">
        <f t="shared" si="26"/>
        <v>8467.2294000000002</v>
      </c>
      <c r="DM215" s="13">
        <f t="shared" si="31"/>
        <v>106</v>
      </c>
      <c r="DN215" s="13">
        <f t="shared" si="31"/>
        <v>106</v>
      </c>
      <c r="DO215" s="13">
        <f t="shared" si="31"/>
        <v>0</v>
      </c>
      <c r="DP215" s="13">
        <f t="shared" si="27"/>
        <v>5901.1815000000006</v>
      </c>
      <c r="DQ215" s="13">
        <f t="shared" si="27"/>
        <v>334.53359999999998</v>
      </c>
      <c r="DR215" s="13">
        <f t="shared" si="27"/>
        <v>5566.6478999999999</v>
      </c>
      <c r="DS215" s="14" t="s">
        <v>71</v>
      </c>
      <c r="DT215" s="14" t="s">
        <v>81</v>
      </c>
      <c r="DU215" s="14" t="s">
        <v>73</v>
      </c>
      <c r="DV215" s="14" t="s">
        <v>82</v>
      </c>
      <c r="DW215" s="14" t="s">
        <v>74</v>
      </c>
    </row>
    <row r="216" spans="2:127" x14ac:dyDescent="0.3">
      <c r="B216" s="11" t="s">
        <v>53</v>
      </c>
      <c r="C216" s="14">
        <v>5001341940</v>
      </c>
      <c r="D216" s="11" t="s">
        <v>720</v>
      </c>
      <c r="E216" s="11" t="s">
        <v>522</v>
      </c>
      <c r="F216" s="11" t="s">
        <v>721</v>
      </c>
      <c r="G216" s="11" t="s">
        <v>722</v>
      </c>
      <c r="H216" s="11" t="s">
        <v>445</v>
      </c>
      <c r="I216" s="11">
        <v>97701</v>
      </c>
      <c r="J216" s="11" t="s">
        <v>80</v>
      </c>
      <c r="K216" s="11"/>
      <c r="L216" s="11"/>
      <c r="M216" s="11"/>
      <c r="N216" s="11"/>
      <c r="O216" s="13">
        <v>318</v>
      </c>
      <c r="P216" s="13">
        <v>318</v>
      </c>
      <c r="Q216" s="13">
        <v>0</v>
      </c>
      <c r="R216" s="13">
        <v>18215.205000000002</v>
      </c>
      <c r="S216" s="13">
        <v>318</v>
      </c>
      <c r="T216" s="13">
        <v>17897.205000000002</v>
      </c>
      <c r="U216" s="13">
        <v>0</v>
      </c>
      <c r="V216" s="13">
        <v>0</v>
      </c>
      <c r="W216" s="13">
        <v>0</v>
      </c>
      <c r="X216" s="13">
        <v>1333.0332000000001</v>
      </c>
      <c r="Y216" s="13">
        <v>0</v>
      </c>
      <c r="Z216" s="13">
        <v>1333.0332000000001</v>
      </c>
      <c r="AA216" s="13">
        <v>0</v>
      </c>
      <c r="AB216" s="13">
        <v>0</v>
      </c>
      <c r="AC216" s="13">
        <v>0</v>
      </c>
      <c r="AD216" s="13">
        <v>1567.5482999999999</v>
      </c>
      <c r="AE216" s="13">
        <v>0</v>
      </c>
      <c r="AF216" s="13">
        <v>1567.5482999999999</v>
      </c>
      <c r="AG216" s="13">
        <v>0</v>
      </c>
      <c r="AH216" s="13">
        <v>0</v>
      </c>
      <c r="AI216" s="13">
        <v>0</v>
      </c>
      <c r="AJ216" s="13">
        <v>1271.3187</v>
      </c>
      <c r="AK216" s="13">
        <v>0</v>
      </c>
      <c r="AL216" s="13">
        <v>1271.3187</v>
      </c>
      <c r="AM216" s="13">
        <v>8</v>
      </c>
      <c r="AN216" s="13">
        <v>8</v>
      </c>
      <c r="AO216" s="13">
        <v>0</v>
      </c>
      <c r="AP216" s="13">
        <v>970.74620000000004</v>
      </c>
      <c r="AQ216" s="13">
        <v>8</v>
      </c>
      <c r="AR216" s="13">
        <v>962.74620000000004</v>
      </c>
      <c r="AS216" s="13">
        <v>59</v>
      </c>
      <c r="AT216" s="13">
        <v>59</v>
      </c>
      <c r="AU216" s="13">
        <v>0</v>
      </c>
      <c r="AV216" s="13">
        <v>1589.5196000000001</v>
      </c>
      <c r="AW216" s="13">
        <v>59</v>
      </c>
      <c r="AX216" s="13">
        <v>1530.5196000000001</v>
      </c>
      <c r="AY216" s="13">
        <v>29</v>
      </c>
      <c r="AZ216" s="13">
        <v>29</v>
      </c>
      <c r="BA216" s="13">
        <v>0</v>
      </c>
      <c r="BB216" s="13">
        <v>1238.6042</v>
      </c>
      <c r="BC216" s="13">
        <v>29</v>
      </c>
      <c r="BD216" s="13">
        <v>1209.6042</v>
      </c>
      <c r="BE216" s="13">
        <v>25</v>
      </c>
      <c r="BF216" s="13">
        <v>25</v>
      </c>
      <c r="BG216" s="13">
        <v>0</v>
      </c>
      <c r="BH216" s="13">
        <v>1296.3187</v>
      </c>
      <c r="BI216" s="13">
        <v>25</v>
      </c>
      <c r="BJ216" s="13">
        <v>1271.3187</v>
      </c>
      <c r="BK216" s="13">
        <v>27</v>
      </c>
      <c r="BL216" s="13">
        <v>27</v>
      </c>
      <c r="BM216" s="13">
        <v>0</v>
      </c>
      <c r="BN216" s="13">
        <v>1693.2915</v>
      </c>
      <c r="BO216" s="13">
        <v>27</v>
      </c>
      <c r="BP216" s="13">
        <v>1666.2915</v>
      </c>
      <c r="BQ216" s="13">
        <v>30</v>
      </c>
      <c r="BR216" s="13">
        <v>30</v>
      </c>
      <c r="BS216" s="13">
        <v>0</v>
      </c>
      <c r="BT216" s="13">
        <v>1326.0045</v>
      </c>
      <c r="BU216" s="13">
        <v>30</v>
      </c>
      <c r="BV216" s="13">
        <v>1296.0045</v>
      </c>
      <c r="BW216" s="13">
        <v>31</v>
      </c>
      <c r="BX216" s="13">
        <v>31</v>
      </c>
      <c r="BY216" s="13">
        <v>0</v>
      </c>
      <c r="BZ216" s="13">
        <v>1351.6903</v>
      </c>
      <c r="CA216" s="13">
        <v>31</v>
      </c>
      <c r="CB216" s="13">
        <v>1320.6903</v>
      </c>
      <c r="CC216" s="13">
        <v>43</v>
      </c>
      <c r="CD216" s="13">
        <v>43</v>
      </c>
      <c r="CE216" s="13">
        <v>0</v>
      </c>
      <c r="CF216" s="13">
        <v>1857.4063000000001</v>
      </c>
      <c r="CG216" s="13">
        <v>43</v>
      </c>
      <c r="CH216" s="13">
        <v>1814.4063000000001</v>
      </c>
      <c r="CI216" s="13">
        <v>32</v>
      </c>
      <c r="CJ216" s="13">
        <v>32</v>
      </c>
      <c r="CK216" s="13">
        <v>0</v>
      </c>
      <c r="CL216" s="13">
        <v>1426.7476999999999</v>
      </c>
      <c r="CM216" s="13">
        <v>32</v>
      </c>
      <c r="CN216" s="13">
        <v>1394.7476999999999</v>
      </c>
      <c r="CO216" s="13">
        <v>34</v>
      </c>
      <c r="CP216" s="13">
        <v>34</v>
      </c>
      <c r="CQ216" s="13">
        <v>0</v>
      </c>
      <c r="CR216" s="13">
        <v>1292.9757999999999</v>
      </c>
      <c r="CS216" s="13">
        <v>34</v>
      </c>
      <c r="CT216" s="13">
        <v>1258.9757999999999</v>
      </c>
      <c r="CU216" s="13">
        <f t="shared" si="28"/>
        <v>318</v>
      </c>
      <c r="CV216" s="13">
        <f t="shared" si="28"/>
        <v>318</v>
      </c>
      <c r="CW216" s="13">
        <f t="shared" si="28"/>
        <v>0</v>
      </c>
      <c r="CX216" s="13">
        <f t="shared" si="24"/>
        <v>16882.1718</v>
      </c>
      <c r="CY216" s="13">
        <f t="shared" si="24"/>
        <v>318</v>
      </c>
      <c r="CZ216" s="13">
        <f t="shared" si="24"/>
        <v>16564.1718</v>
      </c>
      <c r="DA216" s="13">
        <f t="shared" si="29"/>
        <v>109</v>
      </c>
      <c r="DB216" s="13">
        <f t="shared" si="29"/>
        <v>109</v>
      </c>
      <c r="DC216" s="13">
        <f t="shared" si="29"/>
        <v>0</v>
      </c>
      <c r="DD216" s="13">
        <f t="shared" si="25"/>
        <v>4577.1297999999997</v>
      </c>
      <c r="DE216" s="13">
        <f t="shared" si="25"/>
        <v>109</v>
      </c>
      <c r="DF216" s="13">
        <f t="shared" si="25"/>
        <v>4468.1297999999997</v>
      </c>
      <c r="DG216" s="13">
        <f t="shared" si="30"/>
        <v>88</v>
      </c>
      <c r="DH216" s="13">
        <f t="shared" si="30"/>
        <v>88</v>
      </c>
      <c r="DI216" s="13">
        <f t="shared" si="30"/>
        <v>0</v>
      </c>
      <c r="DJ216" s="13">
        <f t="shared" si="26"/>
        <v>4370.9863000000005</v>
      </c>
      <c r="DK216" s="13">
        <f t="shared" si="26"/>
        <v>88</v>
      </c>
      <c r="DL216" s="13">
        <f t="shared" si="26"/>
        <v>4282.9863000000005</v>
      </c>
      <c r="DM216" s="13">
        <f t="shared" si="31"/>
        <v>66</v>
      </c>
      <c r="DN216" s="13">
        <f t="shared" si="31"/>
        <v>66</v>
      </c>
      <c r="DO216" s="13">
        <f t="shared" si="31"/>
        <v>0</v>
      </c>
      <c r="DP216" s="13">
        <f t="shared" si="27"/>
        <v>2719.7235000000001</v>
      </c>
      <c r="DQ216" s="13">
        <f t="shared" si="27"/>
        <v>66</v>
      </c>
      <c r="DR216" s="13">
        <f t="shared" si="27"/>
        <v>2653.7235000000001</v>
      </c>
      <c r="DS216" s="14" t="s">
        <v>60</v>
      </c>
      <c r="DT216" s="14" t="s">
        <v>81</v>
      </c>
      <c r="DU216" s="14" t="s">
        <v>73</v>
      </c>
      <c r="DV216" s="14" t="s">
        <v>82</v>
      </c>
      <c r="DW216" s="14" t="s">
        <v>74</v>
      </c>
    </row>
    <row r="217" spans="2:127" x14ac:dyDescent="0.3">
      <c r="B217" s="11" t="s">
        <v>75</v>
      </c>
      <c r="C217" s="14">
        <v>5001341963</v>
      </c>
      <c r="D217" s="11" t="s">
        <v>723</v>
      </c>
      <c r="E217" s="11" t="s">
        <v>522</v>
      </c>
      <c r="F217" s="11" t="s">
        <v>724</v>
      </c>
      <c r="G217" s="11" t="s">
        <v>524</v>
      </c>
      <c r="H217" s="11" t="s">
        <v>120</v>
      </c>
      <c r="I217" s="11">
        <v>37027</v>
      </c>
      <c r="J217" s="11" t="s">
        <v>80</v>
      </c>
      <c r="K217" s="11"/>
      <c r="L217" s="11"/>
      <c r="M217" s="11"/>
      <c r="N217" s="11"/>
      <c r="O217" s="13">
        <v>1752</v>
      </c>
      <c r="P217" s="13">
        <v>1752</v>
      </c>
      <c r="Q217" s="13">
        <v>0</v>
      </c>
      <c r="R217" s="13">
        <v>40803.388599999998</v>
      </c>
      <c r="S217" s="13">
        <v>2145.4258</v>
      </c>
      <c r="T217" s="13">
        <v>38657.962800000001</v>
      </c>
      <c r="U217" s="13">
        <v>80</v>
      </c>
      <c r="V217" s="13">
        <v>80</v>
      </c>
      <c r="W217" s="13">
        <v>0</v>
      </c>
      <c r="X217" s="13">
        <v>2793.1232999999997</v>
      </c>
      <c r="Y217" s="13">
        <v>114.714</v>
      </c>
      <c r="Z217" s="13">
        <v>2678.4092999999998</v>
      </c>
      <c r="AA217" s="13">
        <v>127</v>
      </c>
      <c r="AB217" s="13">
        <v>127</v>
      </c>
      <c r="AC217" s="13">
        <v>0</v>
      </c>
      <c r="AD217" s="13">
        <v>3875.3837999999996</v>
      </c>
      <c r="AE217" s="13">
        <v>184.85669999999999</v>
      </c>
      <c r="AF217" s="13">
        <v>3690.5270999999998</v>
      </c>
      <c r="AG217" s="13">
        <v>152</v>
      </c>
      <c r="AH217" s="13">
        <v>152</v>
      </c>
      <c r="AI217" s="13">
        <v>0</v>
      </c>
      <c r="AJ217" s="13">
        <v>2877.2735000000002</v>
      </c>
      <c r="AK217" s="13">
        <v>174.17840000000001</v>
      </c>
      <c r="AL217" s="13">
        <v>2703.0951</v>
      </c>
      <c r="AM217" s="13">
        <v>133</v>
      </c>
      <c r="AN217" s="13">
        <v>133</v>
      </c>
      <c r="AO217" s="13">
        <v>0</v>
      </c>
      <c r="AP217" s="13">
        <v>2975.1453000000001</v>
      </c>
      <c r="AQ217" s="13">
        <v>160.9641</v>
      </c>
      <c r="AR217" s="13">
        <v>2814.1812</v>
      </c>
      <c r="AS217" s="13">
        <v>224</v>
      </c>
      <c r="AT217" s="13">
        <v>224</v>
      </c>
      <c r="AU217" s="13">
        <v>0</v>
      </c>
      <c r="AV217" s="13">
        <v>3694.4755</v>
      </c>
      <c r="AW217" s="13">
        <v>300.178</v>
      </c>
      <c r="AX217" s="13">
        <v>3394.2975000000001</v>
      </c>
      <c r="AY217" s="13">
        <v>97</v>
      </c>
      <c r="AZ217" s="13">
        <v>97</v>
      </c>
      <c r="BA217" s="13">
        <v>0</v>
      </c>
      <c r="BB217" s="13">
        <v>3279.1534999999999</v>
      </c>
      <c r="BC217" s="13">
        <v>131.714</v>
      </c>
      <c r="BD217" s="13">
        <v>3147.4395</v>
      </c>
      <c r="BE217" s="13">
        <v>119</v>
      </c>
      <c r="BF217" s="13">
        <v>119</v>
      </c>
      <c r="BG217" s="13">
        <v>0</v>
      </c>
      <c r="BH217" s="13">
        <v>2576.3942000000002</v>
      </c>
      <c r="BI217" s="13">
        <v>132.5</v>
      </c>
      <c r="BJ217" s="13">
        <v>2443.8942000000002</v>
      </c>
      <c r="BK217" s="13">
        <v>139</v>
      </c>
      <c r="BL217" s="13">
        <v>139</v>
      </c>
      <c r="BM217" s="13">
        <v>0</v>
      </c>
      <c r="BN217" s="13">
        <v>3940.8059000000003</v>
      </c>
      <c r="BO217" s="13">
        <v>151.53559999999999</v>
      </c>
      <c r="BP217" s="13">
        <v>3789.2703000000001</v>
      </c>
      <c r="BQ217" s="13">
        <v>163</v>
      </c>
      <c r="BR217" s="13">
        <v>163</v>
      </c>
      <c r="BS217" s="13">
        <v>0</v>
      </c>
      <c r="BT217" s="13">
        <v>2617.694</v>
      </c>
      <c r="BU217" s="13">
        <v>186.14269999999999</v>
      </c>
      <c r="BV217" s="13">
        <v>2431.5513000000001</v>
      </c>
      <c r="BW217" s="13">
        <v>144</v>
      </c>
      <c r="BX217" s="13">
        <v>144</v>
      </c>
      <c r="BY217" s="13">
        <v>0</v>
      </c>
      <c r="BZ217" s="13">
        <v>2697.4371999999998</v>
      </c>
      <c r="CA217" s="13">
        <v>167.14269999999999</v>
      </c>
      <c r="CB217" s="13">
        <v>2530.2945</v>
      </c>
      <c r="CC217" s="13">
        <v>138</v>
      </c>
      <c r="CD217" s="13">
        <v>138</v>
      </c>
      <c r="CE217" s="13">
        <v>0</v>
      </c>
      <c r="CF217" s="13">
        <v>3664.7905000000001</v>
      </c>
      <c r="CG217" s="13">
        <v>171.74979999999999</v>
      </c>
      <c r="CH217" s="13">
        <v>3493.0407</v>
      </c>
      <c r="CI217" s="13">
        <v>115</v>
      </c>
      <c r="CJ217" s="13">
        <v>115</v>
      </c>
      <c r="CK217" s="13">
        <v>0</v>
      </c>
      <c r="CL217" s="13">
        <v>3013.8457000000003</v>
      </c>
      <c r="CM217" s="13">
        <v>125.6071</v>
      </c>
      <c r="CN217" s="13">
        <v>2888.2386000000001</v>
      </c>
      <c r="CO217" s="13">
        <v>121</v>
      </c>
      <c r="CP217" s="13">
        <v>121</v>
      </c>
      <c r="CQ217" s="13">
        <v>0</v>
      </c>
      <c r="CR217" s="13">
        <v>2797.8661999999999</v>
      </c>
      <c r="CS217" s="13">
        <v>144.14269999999999</v>
      </c>
      <c r="CT217" s="13">
        <v>2653.7235000000001</v>
      </c>
      <c r="CU217" s="13">
        <f t="shared" si="28"/>
        <v>1672</v>
      </c>
      <c r="CV217" s="13">
        <f t="shared" si="28"/>
        <v>1672</v>
      </c>
      <c r="CW217" s="13">
        <f t="shared" si="28"/>
        <v>0</v>
      </c>
      <c r="CX217" s="13">
        <f t="shared" si="24"/>
        <v>38010.265299999992</v>
      </c>
      <c r="CY217" s="13">
        <f t="shared" si="24"/>
        <v>2030.7118</v>
      </c>
      <c r="CZ217" s="13">
        <f t="shared" si="24"/>
        <v>35979.553500000002</v>
      </c>
      <c r="DA217" s="13">
        <f t="shared" si="29"/>
        <v>374</v>
      </c>
      <c r="DB217" s="13">
        <f t="shared" si="29"/>
        <v>374</v>
      </c>
      <c r="DC217" s="13">
        <f t="shared" si="29"/>
        <v>0</v>
      </c>
      <c r="DD217" s="13">
        <f t="shared" si="25"/>
        <v>9476.5024000000012</v>
      </c>
      <c r="DE217" s="13">
        <f t="shared" si="25"/>
        <v>441.49959999999999</v>
      </c>
      <c r="DF217" s="13">
        <f t="shared" si="25"/>
        <v>9035.0028000000002</v>
      </c>
      <c r="DG217" s="13">
        <f t="shared" si="30"/>
        <v>446</v>
      </c>
      <c r="DH217" s="13">
        <f t="shared" si="30"/>
        <v>446</v>
      </c>
      <c r="DI217" s="13">
        <f t="shared" si="30"/>
        <v>0</v>
      </c>
      <c r="DJ217" s="13">
        <f t="shared" si="26"/>
        <v>9255.937100000001</v>
      </c>
      <c r="DK217" s="13">
        <f t="shared" si="26"/>
        <v>504.82099999999997</v>
      </c>
      <c r="DL217" s="13">
        <f t="shared" si="26"/>
        <v>8751.1160999999993</v>
      </c>
      <c r="DM217" s="13">
        <f t="shared" si="31"/>
        <v>236</v>
      </c>
      <c r="DN217" s="13">
        <f t="shared" si="31"/>
        <v>236</v>
      </c>
      <c r="DO217" s="13">
        <f t="shared" si="31"/>
        <v>0</v>
      </c>
      <c r="DP217" s="13">
        <f t="shared" si="27"/>
        <v>5811.7119000000002</v>
      </c>
      <c r="DQ217" s="13">
        <f t="shared" si="27"/>
        <v>269.74979999999999</v>
      </c>
      <c r="DR217" s="13">
        <f t="shared" si="27"/>
        <v>5541.9621000000006</v>
      </c>
      <c r="DS217" s="14" t="s">
        <v>81</v>
      </c>
      <c r="DT217" s="14" t="s">
        <v>81</v>
      </c>
      <c r="DU217" s="14" t="s">
        <v>73</v>
      </c>
      <c r="DV217" s="14" t="s">
        <v>97</v>
      </c>
      <c r="DW217" s="14" t="s">
        <v>74</v>
      </c>
    </row>
    <row r="218" spans="2:127" x14ac:dyDescent="0.3">
      <c r="B218" s="11" t="s">
        <v>53</v>
      </c>
      <c r="C218" s="14">
        <v>5001341966</v>
      </c>
      <c r="D218" s="11" t="s">
        <v>725</v>
      </c>
      <c r="E218" s="11" t="s">
        <v>522</v>
      </c>
      <c r="F218" s="11" t="s">
        <v>726</v>
      </c>
      <c r="G218" s="11" t="s">
        <v>100</v>
      </c>
      <c r="H218" s="11" t="s">
        <v>58</v>
      </c>
      <c r="I218" s="11">
        <v>90012</v>
      </c>
      <c r="J218" s="11" t="s">
        <v>80</v>
      </c>
      <c r="K218" s="11"/>
      <c r="L218" s="11"/>
      <c r="M218" s="11"/>
      <c r="N218" s="11"/>
      <c r="O218" s="13">
        <v>271</v>
      </c>
      <c r="P218" s="13">
        <v>271</v>
      </c>
      <c r="Q218" s="13">
        <v>0</v>
      </c>
      <c r="R218" s="13">
        <v>13230.850399999999</v>
      </c>
      <c r="S218" s="13">
        <v>443.60599999999999</v>
      </c>
      <c r="T218" s="13">
        <v>12787.2444</v>
      </c>
      <c r="U218" s="13">
        <v>41</v>
      </c>
      <c r="V218" s="13">
        <v>41</v>
      </c>
      <c r="W218" s="13">
        <v>0</v>
      </c>
      <c r="X218" s="13">
        <v>1066.4250000000002</v>
      </c>
      <c r="Y218" s="13">
        <v>41.964300000000001</v>
      </c>
      <c r="Z218" s="13">
        <v>1024.4607000000001</v>
      </c>
      <c r="AA218" s="13">
        <v>28</v>
      </c>
      <c r="AB218" s="13">
        <v>28</v>
      </c>
      <c r="AC218" s="13">
        <v>0</v>
      </c>
      <c r="AD218" s="13">
        <v>1456.1120000000001</v>
      </c>
      <c r="AE218" s="13">
        <v>36.6785</v>
      </c>
      <c r="AF218" s="13">
        <v>1419.4335000000001</v>
      </c>
      <c r="AG218" s="13">
        <v>23</v>
      </c>
      <c r="AH218" s="13">
        <v>23</v>
      </c>
      <c r="AI218" s="13">
        <v>0</v>
      </c>
      <c r="AJ218" s="13">
        <v>904.36</v>
      </c>
      <c r="AK218" s="13">
        <v>40.356999999999999</v>
      </c>
      <c r="AL218" s="13">
        <v>864.00300000000004</v>
      </c>
      <c r="AM218" s="13">
        <v>21</v>
      </c>
      <c r="AN218" s="13">
        <v>21</v>
      </c>
      <c r="AO218" s="13">
        <v>0</v>
      </c>
      <c r="AP218" s="13">
        <v>906.02440000000001</v>
      </c>
      <c r="AQ218" s="13">
        <v>29.6785</v>
      </c>
      <c r="AR218" s="13">
        <v>876.34590000000003</v>
      </c>
      <c r="AS218" s="13">
        <v>28</v>
      </c>
      <c r="AT218" s="13">
        <v>28</v>
      </c>
      <c r="AU218" s="13">
        <v>0</v>
      </c>
      <c r="AV218" s="13">
        <v>1336.5400999999999</v>
      </c>
      <c r="AW218" s="13">
        <v>40.535600000000002</v>
      </c>
      <c r="AX218" s="13">
        <v>1296.0045</v>
      </c>
      <c r="AY218" s="13">
        <v>21</v>
      </c>
      <c r="AZ218" s="13">
        <v>21</v>
      </c>
      <c r="BA218" s="13">
        <v>0</v>
      </c>
      <c r="BB218" s="13">
        <v>708.53800000000001</v>
      </c>
      <c r="BC218" s="13">
        <v>29.6785</v>
      </c>
      <c r="BD218" s="13">
        <v>678.85950000000003</v>
      </c>
      <c r="BE218" s="13">
        <v>14</v>
      </c>
      <c r="BF218" s="13">
        <v>14</v>
      </c>
      <c r="BG218" s="13">
        <v>0</v>
      </c>
      <c r="BH218" s="13">
        <v>962.08849999999995</v>
      </c>
      <c r="BI218" s="13">
        <v>48.713900000000002</v>
      </c>
      <c r="BJ218" s="13">
        <v>913.37459999999999</v>
      </c>
      <c r="BK218" s="13">
        <v>23</v>
      </c>
      <c r="BL218" s="13">
        <v>23</v>
      </c>
      <c r="BM218" s="13">
        <v>0</v>
      </c>
      <c r="BN218" s="13">
        <v>1032.6106</v>
      </c>
      <c r="BO218" s="13">
        <v>45.178600000000003</v>
      </c>
      <c r="BP218" s="13">
        <v>987.43200000000002</v>
      </c>
      <c r="BQ218" s="13">
        <v>8</v>
      </c>
      <c r="BR218" s="13">
        <v>8</v>
      </c>
      <c r="BS218" s="13">
        <v>0</v>
      </c>
      <c r="BT218" s="13">
        <v>1044.0320000000002</v>
      </c>
      <c r="BU218" s="13">
        <v>19.571300000000001</v>
      </c>
      <c r="BV218" s="13">
        <v>1024.4607000000001</v>
      </c>
      <c r="BW218" s="13">
        <v>16</v>
      </c>
      <c r="BX218" s="13">
        <v>16</v>
      </c>
      <c r="BY218" s="13">
        <v>0</v>
      </c>
      <c r="BZ218" s="13">
        <v>1075.1749</v>
      </c>
      <c r="CA218" s="13">
        <v>50.714199999999998</v>
      </c>
      <c r="CB218" s="13">
        <v>1024.4607000000001</v>
      </c>
      <c r="CC218" s="13">
        <v>24</v>
      </c>
      <c r="CD218" s="13">
        <v>24</v>
      </c>
      <c r="CE218" s="13">
        <v>0</v>
      </c>
      <c r="CF218" s="13">
        <v>1098.0249999999999</v>
      </c>
      <c r="CG218" s="13">
        <v>36.535600000000002</v>
      </c>
      <c r="CH218" s="13">
        <v>1061.4893999999999</v>
      </c>
      <c r="CI218" s="13">
        <v>8</v>
      </c>
      <c r="CJ218" s="13">
        <v>8</v>
      </c>
      <c r="CK218" s="13">
        <v>0</v>
      </c>
      <c r="CL218" s="13">
        <v>884.34590000000003</v>
      </c>
      <c r="CM218" s="13">
        <v>8</v>
      </c>
      <c r="CN218" s="13">
        <v>876.34590000000003</v>
      </c>
      <c r="CO218" s="13">
        <v>16</v>
      </c>
      <c r="CP218" s="13">
        <v>16</v>
      </c>
      <c r="CQ218" s="13">
        <v>0</v>
      </c>
      <c r="CR218" s="13">
        <v>756.57399999999996</v>
      </c>
      <c r="CS218" s="13">
        <v>16</v>
      </c>
      <c r="CT218" s="13">
        <v>740.57399999999996</v>
      </c>
      <c r="CU218" s="13">
        <f t="shared" si="28"/>
        <v>230</v>
      </c>
      <c r="CV218" s="13">
        <f t="shared" si="28"/>
        <v>230</v>
      </c>
      <c r="CW218" s="13">
        <f t="shared" si="28"/>
        <v>0</v>
      </c>
      <c r="CX218" s="13">
        <f t="shared" si="24"/>
        <v>12164.4254</v>
      </c>
      <c r="CY218" s="13">
        <f t="shared" si="24"/>
        <v>401.64169999999996</v>
      </c>
      <c r="CZ218" s="13">
        <f t="shared" si="24"/>
        <v>11762.7837</v>
      </c>
      <c r="DA218" s="13">
        <f t="shared" si="29"/>
        <v>48</v>
      </c>
      <c r="DB218" s="13">
        <f t="shared" si="29"/>
        <v>48</v>
      </c>
      <c r="DC218" s="13">
        <f t="shared" si="29"/>
        <v>0</v>
      </c>
      <c r="DD218" s="13">
        <f t="shared" si="25"/>
        <v>2738.9449</v>
      </c>
      <c r="DE218" s="13">
        <f t="shared" si="25"/>
        <v>60.535600000000002</v>
      </c>
      <c r="DF218" s="13">
        <f t="shared" si="25"/>
        <v>2678.4092999999998</v>
      </c>
      <c r="DG218" s="13">
        <f t="shared" si="30"/>
        <v>47</v>
      </c>
      <c r="DH218" s="13">
        <f t="shared" si="30"/>
        <v>47</v>
      </c>
      <c r="DI218" s="13">
        <f t="shared" si="30"/>
        <v>0</v>
      </c>
      <c r="DJ218" s="13">
        <f t="shared" si="26"/>
        <v>3151.8175000000001</v>
      </c>
      <c r="DK218" s="13">
        <f t="shared" si="26"/>
        <v>115.4641</v>
      </c>
      <c r="DL218" s="13">
        <f t="shared" si="26"/>
        <v>3036.3534</v>
      </c>
      <c r="DM218" s="13">
        <f t="shared" si="31"/>
        <v>24</v>
      </c>
      <c r="DN218" s="13">
        <f t="shared" si="31"/>
        <v>24</v>
      </c>
      <c r="DO218" s="13">
        <f t="shared" si="31"/>
        <v>0</v>
      </c>
      <c r="DP218" s="13">
        <f t="shared" si="27"/>
        <v>1640.9198999999999</v>
      </c>
      <c r="DQ218" s="13">
        <f t="shared" si="27"/>
        <v>24</v>
      </c>
      <c r="DR218" s="13">
        <f t="shared" si="27"/>
        <v>1616.9198999999999</v>
      </c>
      <c r="DS218" s="14" t="s">
        <v>60</v>
      </c>
      <c r="DT218" s="14" t="s">
        <v>92</v>
      </c>
      <c r="DU218" s="14" t="s">
        <v>73</v>
      </c>
      <c r="DV218" s="14" t="s">
        <v>82</v>
      </c>
      <c r="DW218" s="14" t="s">
        <v>74</v>
      </c>
    </row>
    <row r="219" spans="2:127" x14ac:dyDescent="0.3">
      <c r="B219" s="11" t="s">
        <v>75</v>
      </c>
      <c r="C219" s="14">
        <v>5001341977</v>
      </c>
      <c r="D219" s="11" t="s">
        <v>727</v>
      </c>
      <c r="E219" s="11" t="s">
        <v>522</v>
      </c>
      <c r="F219" s="11" t="s">
        <v>728</v>
      </c>
      <c r="G219" s="11" t="s">
        <v>107</v>
      </c>
      <c r="H219" s="11" t="s">
        <v>108</v>
      </c>
      <c r="I219" s="11">
        <v>29425</v>
      </c>
      <c r="J219" s="11" t="s">
        <v>59</v>
      </c>
      <c r="K219" s="11"/>
      <c r="L219" s="11"/>
      <c r="M219" s="11"/>
      <c r="N219" s="11"/>
      <c r="O219" s="13">
        <v>80</v>
      </c>
      <c r="P219" s="13">
        <v>80</v>
      </c>
      <c r="Q219" s="13">
        <v>0</v>
      </c>
      <c r="R219" s="13">
        <v>37715.620799999997</v>
      </c>
      <c r="S219" s="13">
        <v>279.60509999999999</v>
      </c>
      <c r="T219" s="13">
        <v>37436.015700000004</v>
      </c>
      <c r="U219" s="13">
        <v>0</v>
      </c>
      <c r="V219" s="13">
        <v>0</v>
      </c>
      <c r="W219" s="13">
        <v>0</v>
      </c>
      <c r="X219" s="13">
        <v>2308.1223</v>
      </c>
      <c r="Y219" s="13">
        <v>0</v>
      </c>
      <c r="Z219" s="13">
        <v>2308.1223</v>
      </c>
      <c r="AA219" s="13">
        <v>0</v>
      </c>
      <c r="AB219" s="13">
        <v>0</v>
      </c>
      <c r="AC219" s="13">
        <v>0</v>
      </c>
      <c r="AD219" s="13">
        <v>2567.3231999999998</v>
      </c>
      <c r="AE219" s="13">
        <v>0</v>
      </c>
      <c r="AF219" s="13">
        <v>2567.3231999999998</v>
      </c>
      <c r="AG219" s="13">
        <v>0</v>
      </c>
      <c r="AH219" s="13">
        <v>0</v>
      </c>
      <c r="AI219" s="13">
        <v>0</v>
      </c>
      <c r="AJ219" s="13">
        <v>1871.4920999999999</v>
      </c>
      <c r="AK219" s="13">
        <v>7.7141999999999999</v>
      </c>
      <c r="AL219" s="13">
        <v>1863.7779</v>
      </c>
      <c r="AM219" s="13">
        <v>0</v>
      </c>
      <c r="AN219" s="13">
        <v>0</v>
      </c>
      <c r="AO219" s="13">
        <v>0</v>
      </c>
      <c r="AP219" s="13">
        <v>2624.4090000000001</v>
      </c>
      <c r="AQ219" s="13">
        <v>7.7141999999999999</v>
      </c>
      <c r="AR219" s="13">
        <v>2616.6948000000002</v>
      </c>
      <c r="AS219" s="13">
        <v>0</v>
      </c>
      <c r="AT219" s="13">
        <v>0</v>
      </c>
      <c r="AU219" s="13">
        <v>0</v>
      </c>
      <c r="AV219" s="13">
        <v>2945.3244</v>
      </c>
      <c r="AW219" s="13">
        <v>7.7141999999999999</v>
      </c>
      <c r="AX219" s="13">
        <v>2937.6102000000001</v>
      </c>
      <c r="AY219" s="13">
        <v>0</v>
      </c>
      <c r="AZ219" s="13">
        <v>0</v>
      </c>
      <c r="BA219" s="13">
        <v>0</v>
      </c>
      <c r="BB219" s="13">
        <v>2716.9802999999997</v>
      </c>
      <c r="BC219" s="13">
        <v>38.570999999999998</v>
      </c>
      <c r="BD219" s="13">
        <v>2678.4092999999998</v>
      </c>
      <c r="BE219" s="13">
        <v>0</v>
      </c>
      <c r="BF219" s="13">
        <v>0</v>
      </c>
      <c r="BG219" s="13">
        <v>0</v>
      </c>
      <c r="BH219" s="13">
        <v>2271.0936000000002</v>
      </c>
      <c r="BI219" s="13">
        <v>0</v>
      </c>
      <c r="BJ219" s="13">
        <v>2271.0936000000002</v>
      </c>
      <c r="BK219" s="13">
        <v>0</v>
      </c>
      <c r="BL219" s="13">
        <v>0</v>
      </c>
      <c r="BM219" s="13">
        <v>0</v>
      </c>
      <c r="BN219" s="13">
        <v>3642.3125</v>
      </c>
      <c r="BO219" s="13">
        <v>13.4999</v>
      </c>
      <c r="BP219" s="13">
        <v>3628.8126000000002</v>
      </c>
      <c r="BQ219" s="13">
        <v>0</v>
      </c>
      <c r="BR219" s="13">
        <v>0</v>
      </c>
      <c r="BS219" s="13">
        <v>0</v>
      </c>
      <c r="BT219" s="13">
        <v>2900.9668999999999</v>
      </c>
      <c r="BU219" s="13">
        <v>25.071200000000001</v>
      </c>
      <c r="BV219" s="13">
        <v>2875.8957</v>
      </c>
      <c r="BW219" s="13">
        <v>0</v>
      </c>
      <c r="BX219" s="13">
        <v>0</v>
      </c>
      <c r="BY219" s="13">
        <v>0</v>
      </c>
      <c r="BZ219" s="13">
        <v>3196.8110999999999</v>
      </c>
      <c r="CA219" s="13">
        <v>0</v>
      </c>
      <c r="CB219" s="13">
        <v>3196.8110999999999</v>
      </c>
      <c r="CC219" s="13">
        <v>30</v>
      </c>
      <c r="CD219" s="13">
        <v>30</v>
      </c>
      <c r="CE219" s="13">
        <v>0</v>
      </c>
      <c r="CF219" s="13">
        <v>4238.9288999999999</v>
      </c>
      <c r="CG219" s="13">
        <v>30</v>
      </c>
      <c r="CH219" s="13">
        <v>4208.9288999999999</v>
      </c>
      <c r="CI219" s="13">
        <v>30</v>
      </c>
      <c r="CJ219" s="13">
        <v>30</v>
      </c>
      <c r="CK219" s="13">
        <v>0</v>
      </c>
      <c r="CL219" s="13">
        <v>3355.2541999999999</v>
      </c>
      <c r="CM219" s="13">
        <v>47.356999999999999</v>
      </c>
      <c r="CN219" s="13">
        <v>3307.8971999999999</v>
      </c>
      <c r="CO219" s="13">
        <v>20</v>
      </c>
      <c r="CP219" s="13">
        <v>20</v>
      </c>
      <c r="CQ219" s="13">
        <v>0</v>
      </c>
      <c r="CR219" s="13">
        <v>3076.6023</v>
      </c>
      <c r="CS219" s="13">
        <v>101.96339999999999</v>
      </c>
      <c r="CT219" s="13">
        <v>2974.6388999999999</v>
      </c>
      <c r="CU219" s="13">
        <f t="shared" si="28"/>
        <v>80</v>
      </c>
      <c r="CV219" s="13">
        <f t="shared" si="28"/>
        <v>80</v>
      </c>
      <c r="CW219" s="13">
        <f t="shared" si="28"/>
        <v>0</v>
      </c>
      <c r="CX219" s="13">
        <f t="shared" si="24"/>
        <v>35407.498499999994</v>
      </c>
      <c r="CY219" s="13">
        <f t="shared" si="24"/>
        <v>279.60509999999999</v>
      </c>
      <c r="CZ219" s="13">
        <f t="shared" si="24"/>
        <v>35127.893400000001</v>
      </c>
      <c r="DA219" s="13">
        <f t="shared" si="29"/>
        <v>80</v>
      </c>
      <c r="DB219" s="13">
        <f t="shared" si="29"/>
        <v>80</v>
      </c>
      <c r="DC219" s="13">
        <f t="shared" si="29"/>
        <v>0</v>
      </c>
      <c r="DD219" s="13">
        <f t="shared" si="25"/>
        <v>10670.785400000001</v>
      </c>
      <c r="DE219" s="13">
        <f t="shared" si="25"/>
        <v>179.32040000000001</v>
      </c>
      <c r="DF219" s="13">
        <f t="shared" si="25"/>
        <v>10491.465</v>
      </c>
      <c r="DG219" s="13">
        <f t="shared" si="30"/>
        <v>0</v>
      </c>
      <c r="DH219" s="13">
        <f t="shared" si="30"/>
        <v>0</v>
      </c>
      <c r="DI219" s="13">
        <f t="shared" si="30"/>
        <v>0</v>
      </c>
      <c r="DJ219" s="13">
        <f t="shared" si="26"/>
        <v>9740.0904999999984</v>
      </c>
      <c r="DK219" s="13">
        <f t="shared" si="26"/>
        <v>38.571100000000001</v>
      </c>
      <c r="DL219" s="13">
        <f t="shared" si="26"/>
        <v>9701.519400000001</v>
      </c>
      <c r="DM219" s="13">
        <f t="shared" si="31"/>
        <v>50</v>
      </c>
      <c r="DN219" s="13">
        <f t="shared" si="31"/>
        <v>50</v>
      </c>
      <c r="DO219" s="13">
        <f t="shared" si="31"/>
        <v>0</v>
      </c>
      <c r="DP219" s="13">
        <f t="shared" si="27"/>
        <v>6431.8564999999999</v>
      </c>
      <c r="DQ219" s="13">
        <f t="shared" si="27"/>
        <v>149.32040000000001</v>
      </c>
      <c r="DR219" s="13">
        <f t="shared" si="27"/>
        <v>6282.5360999999994</v>
      </c>
      <c r="DS219" s="14" t="s">
        <v>60</v>
      </c>
      <c r="DT219" s="14" t="s">
        <v>81</v>
      </c>
      <c r="DU219" s="14" t="s">
        <v>73</v>
      </c>
      <c r="DV219" s="14" t="s">
        <v>82</v>
      </c>
      <c r="DW219" s="14" t="s">
        <v>126</v>
      </c>
    </row>
    <row r="220" spans="2:127" x14ac:dyDescent="0.3">
      <c r="B220" s="11" t="s">
        <v>75</v>
      </c>
      <c r="C220" s="14">
        <v>5001341978</v>
      </c>
      <c r="D220" s="11" t="s">
        <v>729</v>
      </c>
      <c r="E220" s="11" t="s">
        <v>522</v>
      </c>
      <c r="F220" s="11" t="s">
        <v>730</v>
      </c>
      <c r="G220" s="11" t="s">
        <v>212</v>
      </c>
      <c r="H220" s="11" t="s">
        <v>169</v>
      </c>
      <c r="I220" s="11">
        <v>23298</v>
      </c>
      <c r="J220" s="11" t="s">
        <v>59</v>
      </c>
      <c r="K220" s="11"/>
      <c r="L220" s="11"/>
      <c r="M220" s="11"/>
      <c r="N220" s="11"/>
      <c r="O220" s="13">
        <v>687</v>
      </c>
      <c r="P220" s="13">
        <v>687</v>
      </c>
      <c r="Q220" s="13">
        <v>0</v>
      </c>
      <c r="R220" s="13">
        <v>39298.094100000002</v>
      </c>
      <c r="S220" s="13">
        <v>1096.8186000000001</v>
      </c>
      <c r="T220" s="13">
        <v>38201.275500000003</v>
      </c>
      <c r="U220" s="13">
        <v>48</v>
      </c>
      <c r="V220" s="13">
        <v>48</v>
      </c>
      <c r="W220" s="13">
        <v>0</v>
      </c>
      <c r="X220" s="13">
        <v>2890.9160000000002</v>
      </c>
      <c r="Y220" s="13">
        <v>126.10639999999999</v>
      </c>
      <c r="Z220" s="13">
        <v>2764.8096</v>
      </c>
      <c r="AA220" s="13">
        <v>43</v>
      </c>
      <c r="AB220" s="13">
        <v>43</v>
      </c>
      <c r="AC220" s="13">
        <v>0</v>
      </c>
      <c r="AD220" s="13">
        <v>3395.4467</v>
      </c>
      <c r="AE220" s="13">
        <v>99.892400000000009</v>
      </c>
      <c r="AF220" s="13">
        <v>3295.5542999999998</v>
      </c>
      <c r="AG220" s="13">
        <v>34</v>
      </c>
      <c r="AH220" s="13">
        <v>34</v>
      </c>
      <c r="AI220" s="13">
        <v>0</v>
      </c>
      <c r="AJ220" s="13">
        <v>2401.1367</v>
      </c>
      <c r="AK220" s="13">
        <v>43.642800000000001</v>
      </c>
      <c r="AL220" s="13">
        <v>2357.4938999999999</v>
      </c>
      <c r="AM220" s="13">
        <v>62</v>
      </c>
      <c r="AN220" s="13">
        <v>62</v>
      </c>
      <c r="AO220" s="13">
        <v>0</v>
      </c>
      <c r="AP220" s="13">
        <v>2527.8798999999999</v>
      </c>
      <c r="AQ220" s="13">
        <v>71.642799999999994</v>
      </c>
      <c r="AR220" s="13">
        <v>2456.2370999999998</v>
      </c>
      <c r="AS220" s="13">
        <v>57</v>
      </c>
      <c r="AT220" s="13">
        <v>57</v>
      </c>
      <c r="AU220" s="13">
        <v>0</v>
      </c>
      <c r="AV220" s="13">
        <v>2713.0374999999999</v>
      </c>
      <c r="AW220" s="13">
        <v>83.999799999999993</v>
      </c>
      <c r="AX220" s="13">
        <v>2629.0376999999999</v>
      </c>
      <c r="AY220" s="13">
        <v>61</v>
      </c>
      <c r="AZ220" s="13">
        <v>61</v>
      </c>
      <c r="BA220" s="13">
        <v>0</v>
      </c>
      <c r="BB220" s="13">
        <v>2190.9215000000004</v>
      </c>
      <c r="BC220" s="13">
        <v>80.285600000000002</v>
      </c>
      <c r="BD220" s="13">
        <v>2110.6359000000002</v>
      </c>
      <c r="BE220" s="13">
        <v>91</v>
      </c>
      <c r="BF220" s="13">
        <v>91</v>
      </c>
      <c r="BG220" s="13">
        <v>0</v>
      </c>
      <c r="BH220" s="13">
        <v>2836.1379000000002</v>
      </c>
      <c r="BI220" s="13">
        <v>108.357</v>
      </c>
      <c r="BJ220" s="13">
        <v>2727.7809000000002</v>
      </c>
      <c r="BK220" s="13">
        <v>87</v>
      </c>
      <c r="BL220" s="13">
        <v>87</v>
      </c>
      <c r="BM220" s="13">
        <v>0</v>
      </c>
      <c r="BN220" s="13">
        <v>3638.8618000000001</v>
      </c>
      <c r="BO220" s="13">
        <v>145.8211</v>
      </c>
      <c r="BP220" s="13">
        <v>3493.0407</v>
      </c>
      <c r="BQ220" s="13">
        <v>67</v>
      </c>
      <c r="BR220" s="13">
        <v>67</v>
      </c>
      <c r="BS220" s="13">
        <v>0</v>
      </c>
      <c r="BT220" s="13">
        <v>3113.3818000000001</v>
      </c>
      <c r="BU220" s="13">
        <v>101.71420000000001</v>
      </c>
      <c r="BV220" s="13">
        <v>3011.6676000000002</v>
      </c>
      <c r="BW220" s="13">
        <v>39</v>
      </c>
      <c r="BX220" s="13">
        <v>39</v>
      </c>
      <c r="BY220" s="13">
        <v>0</v>
      </c>
      <c r="BZ220" s="13">
        <v>3020.7743</v>
      </c>
      <c r="CA220" s="13">
        <v>70.821200000000005</v>
      </c>
      <c r="CB220" s="13">
        <v>2949.9531000000002</v>
      </c>
      <c r="CC220" s="13">
        <v>58</v>
      </c>
      <c r="CD220" s="13">
        <v>58</v>
      </c>
      <c r="CE220" s="13">
        <v>0</v>
      </c>
      <c r="CF220" s="13">
        <v>3853.056</v>
      </c>
      <c r="CG220" s="13">
        <v>63.785699999999999</v>
      </c>
      <c r="CH220" s="13">
        <v>3789.2703000000001</v>
      </c>
      <c r="CI220" s="13">
        <v>28</v>
      </c>
      <c r="CJ220" s="13">
        <v>28</v>
      </c>
      <c r="CK220" s="13">
        <v>0</v>
      </c>
      <c r="CL220" s="13">
        <v>3205.3321999999998</v>
      </c>
      <c r="CM220" s="13">
        <v>57.892700000000005</v>
      </c>
      <c r="CN220" s="13">
        <v>3147.4395</v>
      </c>
      <c r="CO220" s="13">
        <v>12</v>
      </c>
      <c r="CP220" s="13">
        <v>12</v>
      </c>
      <c r="CQ220" s="13">
        <v>0</v>
      </c>
      <c r="CR220" s="13">
        <v>3511.2118</v>
      </c>
      <c r="CS220" s="13">
        <v>42.856899999999996</v>
      </c>
      <c r="CT220" s="13">
        <v>3468.3548999999998</v>
      </c>
      <c r="CU220" s="13">
        <f t="shared" si="28"/>
        <v>639</v>
      </c>
      <c r="CV220" s="13">
        <f t="shared" si="28"/>
        <v>639</v>
      </c>
      <c r="CW220" s="13">
        <f t="shared" si="28"/>
        <v>0</v>
      </c>
      <c r="CX220" s="13">
        <f t="shared" si="24"/>
        <v>36407.178099999997</v>
      </c>
      <c r="CY220" s="13">
        <f t="shared" si="24"/>
        <v>970.71219999999994</v>
      </c>
      <c r="CZ220" s="13">
        <f t="shared" si="24"/>
        <v>35436.465900000003</v>
      </c>
      <c r="DA220" s="13">
        <f t="shared" si="29"/>
        <v>98</v>
      </c>
      <c r="DB220" s="13">
        <f t="shared" si="29"/>
        <v>98</v>
      </c>
      <c r="DC220" s="13">
        <f t="shared" si="29"/>
        <v>0</v>
      </c>
      <c r="DD220" s="13">
        <f t="shared" si="25"/>
        <v>10569.599999999999</v>
      </c>
      <c r="DE220" s="13">
        <f t="shared" si="25"/>
        <v>164.53530000000001</v>
      </c>
      <c r="DF220" s="13">
        <f t="shared" si="25"/>
        <v>10405.064700000001</v>
      </c>
      <c r="DG220" s="13">
        <f t="shared" si="30"/>
        <v>193</v>
      </c>
      <c r="DH220" s="13">
        <f t="shared" si="30"/>
        <v>193</v>
      </c>
      <c r="DI220" s="13">
        <f t="shared" si="30"/>
        <v>0</v>
      </c>
      <c r="DJ220" s="13">
        <f t="shared" si="26"/>
        <v>9773.0178999999989</v>
      </c>
      <c r="DK220" s="13">
        <f t="shared" si="26"/>
        <v>318.35649999999998</v>
      </c>
      <c r="DL220" s="13">
        <f t="shared" si="26"/>
        <v>9454.6614000000009</v>
      </c>
      <c r="DM220" s="13">
        <f t="shared" si="31"/>
        <v>40</v>
      </c>
      <c r="DN220" s="13">
        <f t="shared" si="31"/>
        <v>40</v>
      </c>
      <c r="DO220" s="13">
        <f t="shared" si="31"/>
        <v>0</v>
      </c>
      <c r="DP220" s="13">
        <f t="shared" si="27"/>
        <v>6716.5439999999999</v>
      </c>
      <c r="DQ220" s="13">
        <f t="shared" si="27"/>
        <v>100.7496</v>
      </c>
      <c r="DR220" s="13">
        <f t="shared" si="27"/>
        <v>6615.7943999999998</v>
      </c>
      <c r="DS220" s="14" t="s">
        <v>60</v>
      </c>
      <c r="DT220" s="14" t="s">
        <v>81</v>
      </c>
      <c r="DU220" s="14" t="s">
        <v>254</v>
      </c>
      <c r="DV220" s="14" t="s">
        <v>82</v>
      </c>
      <c r="DW220" s="14" t="s">
        <v>74</v>
      </c>
    </row>
    <row r="221" spans="2:127" x14ac:dyDescent="0.3">
      <c r="B221" s="11" t="s">
        <v>65</v>
      </c>
      <c r="C221" s="14">
        <v>5001341979</v>
      </c>
      <c r="D221" s="11" t="s">
        <v>731</v>
      </c>
      <c r="E221" s="11" t="s">
        <v>522</v>
      </c>
      <c r="F221" s="11" t="s">
        <v>732</v>
      </c>
      <c r="G221" s="11" t="s">
        <v>68</v>
      </c>
      <c r="H221" s="11" t="s">
        <v>69</v>
      </c>
      <c r="I221" s="11">
        <v>21044</v>
      </c>
      <c r="J221" s="11" t="s">
        <v>59</v>
      </c>
      <c r="K221" s="11"/>
      <c r="L221" s="11"/>
      <c r="M221" s="11"/>
      <c r="N221" s="11"/>
      <c r="O221" s="13">
        <v>112</v>
      </c>
      <c r="P221" s="13">
        <v>112</v>
      </c>
      <c r="Q221" s="13">
        <v>0</v>
      </c>
      <c r="R221" s="13">
        <v>46536.143499999998</v>
      </c>
      <c r="S221" s="13">
        <v>1015.5282999999999</v>
      </c>
      <c r="T221" s="13">
        <v>45520.6152</v>
      </c>
      <c r="U221" s="13">
        <v>0</v>
      </c>
      <c r="V221" s="13">
        <v>0</v>
      </c>
      <c r="W221" s="13">
        <v>0</v>
      </c>
      <c r="X221" s="13">
        <v>3060.0744</v>
      </c>
      <c r="Y221" s="13">
        <v>60.749699999999997</v>
      </c>
      <c r="Z221" s="13">
        <v>2999.3247000000001</v>
      </c>
      <c r="AA221" s="13">
        <v>0</v>
      </c>
      <c r="AB221" s="13">
        <v>0</v>
      </c>
      <c r="AC221" s="13">
        <v>0</v>
      </c>
      <c r="AD221" s="13">
        <v>3382.3392999999996</v>
      </c>
      <c r="AE221" s="13">
        <v>86.784999999999997</v>
      </c>
      <c r="AF221" s="13">
        <v>3295.5542999999998</v>
      </c>
      <c r="AG221" s="13">
        <v>0</v>
      </c>
      <c r="AH221" s="13">
        <v>0</v>
      </c>
      <c r="AI221" s="13">
        <v>0</v>
      </c>
      <c r="AJ221" s="13">
        <v>3092.2813999999998</v>
      </c>
      <c r="AK221" s="13">
        <v>55.927999999999997</v>
      </c>
      <c r="AL221" s="13">
        <v>3036.3534</v>
      </c>
      <c r="AM221" s="13">
        <v>10</v>
      </c>
      <c r="AN221" s="13">
        <v>10</v>
      </c>
      <c r="AO221" s="13">
        <v>0</v>
      </c>
      <c r="AP221" s="13">
        <v>3053.4882000000002</v>
      </c>
      <c r="AQ221" s="13">
        <v>103.5351</v>
      </c>
      <c r="AR221" s="13">
        <v>2949.9531000000002</v>
      </c>
      <c r="AS221" s="13">
        <v>38</v>
      </c>
      <c r="AT221" s="13">
        <v>38</v>
      </c>
      <c r="AU221" s="13">
        <v>0</v>
      </c>
      <c r="AV221" s="13">
        <v>3234.0387000000001</v>
      </c>
      <c r="AW221" s="13">
        <v>111.285</v>
      </c>
      <c r="AX221" s="13">
        <v>3122.7537000000002</v>
      </c>
      <c r="AY221" s="13">
        <v>16</v>
      </c>
      <c r="AZ221" s="13">
        <v>16</v>
      </c>
      <c r="BA221" s="13">
        <v>0</v>
      </c>
      <c r="BB221" s="13">
        <v>3111.1743999999999</v>
      </c>
      <c r="BC221" s="13">
        <v>74.820999999999998</v>
      </c>
      <c r="BD221" s="13">
        <v>3036.3534</v>
      </c>
      <c r="BE221" s="13">
        <v>16</v>
      </c>
      <c r="BF221" s="13">
        <v>16</v>
      </c>
      <c r="BG221" s="13">
        <v>0</v>
      </c>
      <c r="BH221" s="13">
        <v>3244.2462</v>
      </c>
      <c r="BI221" s="13">
        <v>84.463800000000006</v>
      </c>
      <c r="BJ221" s="13">
        <v>3159.7824000000001</v>
      </c>
      <c r="BK221" s="13">
        <v>16</v>
      </c>
      <c r="BL221" s="13">
        <v>16</v>
      </c>
      <c r="BM221" s="13">
        <v>0</v>
      </c>
      <c r="BN221" s="13">
        <v>4687.9791999999998</v>
      </c>
      <c r="BO221" s="13">
        <v>121.1062</v>
      </c>
      <c r="BP221" s="13">
        <v>4566.8729999999996</v>
      </c>
      <c r="BQ221" s="13">
        <v>8</v>
      </c>
      <c r="BR221" s="13">
        <v>8</v>
      </c>
      <c r="BS221" s="13">
        <v>0</v>
      </c>
      <c r="BT221" s="13">
        <v>3529.5830000000001</v>
      </c>
      <c r="BU221" s="13">
        <v>73.570999999999998</v>
      </c>
      <c r="BV221" s="13">
        <v>3456.0120000000002</v>
      </c>
      <c r="BW221" s="13">
        <v>0</v>
      </c>
      <c r="BX221" s="13">
        <v>0</v>
      </c>
      <c r="BY221" s="13">
        <v>0</v>
      </c>
      <c r="BZ221" s="13">
        <v>3691.1052</v>
      </c>
      <c r="CA221" s="13">
        <v>37.6068</v>
      </c>
      <c r="CB221" s="13">
        <v>3653.4983999999999</v>
      </c>
      <c r="CC221" s="13">
        <v>0</v>
      </c>
      <c r="CD221" s="13">
        <v>0</v>
      </c>
      <c r="CE221" s="13">
        <v>0</v>
      </c>
      <c r="CF221" s="13">
        <v>4943.3301999999994</v>
      </c>
      <c r="CG221" s="13">
        <v>92.570499999999996</v>
      </c>
      <c r="CH221" s="13">
        <v>4850.7596999999996</v>
      </c>
      <c r="CI221" s="13">
        <v>0</v>
      </c>
      <c r="CJ221" s="13">
        <v>0</v>
      </c>
      <c r="CK221" s="13">
        <v>0</v>
      </c>
      <c r="CL221" s="13">
        <v>3791.9697000000001</v>
      </c>
      <c r="CM221" s="13">
        <v>52.070999999999998</v>
      </c>
      <c r="CN221" s="13">
        <v>3739.8987000000002</v>
      </c>
      <c r="CO221" s="13">
        <v>8</v>
      </c>
      <c r="CP221" s="13">
        <v>8</v>
      </c>
      <c r="CQ221" s="13">
        <v>0</v>
      </c>
      <c r="CR221" s="13">
        <v>3714.5335999999998</v>
      </c>
      <c r="CS221" s="13">
        <v>61.035200000000003</v>
      </c>
      <c r="CT221" s="13">
        <v>3653.4983999999999</v>
      </c>
      <c r="CU221" s="13">
        <f t="shared" si="28"/>
        <v>112</v>
      </c>
      <c r="CV221" s="13">
        <f t="shared" si="28"/>
        <v>112</v>
      </c>
      <c r="CW221" s="13">
        <f t="shared" si="28"/>
        <v>0</v>
      </c>
      <c r="CX221" s="13">
        <f t="shared" si="24"/>
        <v>43476.069100000001</v>
      </c>
      <c r="CY221" s="13">
        <f t="shared" si="24"/>
        <v>954.7786000000001</v>
      </c>
      <c r="CZ221" s="13">
        <f t="shared" si="24"/>
        <v>42521.290499999996</v>
      </c>
      <c r="DA221" s="13">
        <f t="shared" si="29"/>
        <v>8</v>
      </c>
      <c r="DB221" s="13">
        <f t="shared" si="29"/>
        <v>8</v>
      </c>
      <c r="DC221" s="13">
        <f t="shared" si="29"/>
        <v>0</v>
      </c>
      <c r="DD221" s="13">
        <f t="shared" si="25"/>
        <v>12449.833500000001</v>
      </c>
      <c r="DE221" s="13">
        <f t="shared" si="25"/>
        <v>205.67670000000001</v>
      </c>
      <c r="DF221" s="13">
        <f t="shared" si="25"/>
        <v>12244.156800000001</v>
      </c>
      <c r="DG221" s="13">
        <f t="shared" si="30"/>
        <v>24</v>
      </c>
      <c r="DH221" s="13">
        <f t="shared" si="30"/>
        <v>24</v>
      </c>
      <c r="DI221" s="13">
        <f t="shared" si="30"/>
        <v>0</v>
      </c>
      <c r="DJ221" s="13">
        <f t="shared" si="26"/>
        <v>11908.6674</v>
      </c>
      <c r="DK221" s="13">
        <f t="shared" si="26"/>
        <v>232.28399999999999</v>
      </c>
      <c r="DL221" s="13">
        <f t="shared" si="26"/>
        <v>11676.383400000001</v>
      </c>
      <c r="DM221" s="13">
        <f t="shared" si="31"/>
        <v>8</v>
      </c>
      <c r="DN221" s="13">
        <f t="shared" si="31"/>
        <v>8</v>
      </c>
      <c r="DO221" s="13">
        <f t="shared" si="31"/>
        <v>0</v>
      </c>
      <c r="DP221" s="13">
        <f t="shared" si="27"/>
        <v>7506.5033000000003</v>
      </c>
      <c r="DQ221" s="13">
        <f t="shared" si="27"/>
        <v>113.1062</v>
      </c>
      <c r="DR221" s="13">
        <f t="shared" si="27"/>
        <v>7393.3971000000001</v>
      </c>
      <c r="DS221" s="14" t="s">
        <v>71</v>
      </c>
      <c r="DT221" s="14" t="s">
        <v>81</v>
      </c>
      <c r="DU221" s="14" t="s">
        <v>73</v>
      </c>
      <c r="DV221" s="14" t="s">
        <v>82</v>
      </c>
      <c r="DW221" s="14" t="s">
        <v>74</v>
      </c>
    </row>
    <row r="222" spans="2:127" x14ac:dyDescent="0.3">
      <c r="B222" s="11" t="s">
        <v>83</v>
      </c>
      <c r="C222" s="14">
        <v>5001341987</v>
      </c>
      <c r="D222" s="11" t="s">
        <v>733</v>
      </c>
      <c r="E222" s="11" t="s">
        <v>522</v>
      </c>
      <c r="F222" s="11" t="s">
        <v>734</v>
      </c>
      <c r="G222" s="11" t="s">
        <v>86</v>
      </c>
      <c r="H222" s="11" t="s">
        <v>87</v>
      </c>
      <c r="I222" s="11">
        <v>63017</v>
      </c>
      <c r="J222" s="11" t="s">
        <v>80</v>
      </c>
      <c r="K222" s="11"/>
      <c r="L222" s="11"/>
      <c r="M222" s="11"/>
      <c r="N222" s="11"/>
      <c r="O222" s="13">
        <v>595</v>
      </c>
      <c r="P222" s="13">
        <v>595</v>
      </c>
      <c r="Q222" s="13">
        <v>0</v>
      </c>
      <c r="R222" s="13">
        <v>70652.321599999996</v>
      </c>
      <c r="S222" s="13">
        <v>1890.0256999999999</v>
      </c>
      <c r="T222" s="13">
        <v>68762.295899999997</v>
      </c>
      <c r="U222" s="13">
        <v>69</v>
      </c>
      <c r="V222" s="13">
        <v>69</v>
      </c>
      <c r="W222" s="13">
        <v>0</v>
      </c>
      <c r="X222" s="13">
        <v>4879.2589000000007</v>
      </c>
      <c r="Y222" s="13">
        <v>151.9282</v>
      </c>
      <c r="Z222" s="13">
        <v>4727.3307000000004</v>
      </c>
      <c r="AA222" s="13">
        <v>69</v>
      </c>
      <c r="AB222" s="13">
        <v>69</v>
      </c>
      <c r="AC222" s="13">
        <v>0</v>
      </c>
      <c r="AD222" s="13">
        <v>5267.866</v>
      </c>
      <c r="AE222" s="13">
        <v>231.96279999999999</v>
      </c>
      <c r="AF222" s="13">
        <v>5035.9031999999997</v>
      </c>
      <c r="AG222" s="13">
        <v>27</v>
      </c>
      <c r="AH222" s="13">
        <v>27</v>
      </c>
      <c r="AI222" s="13">
        <v>0</v>
      </c>
      <c r="AJ222" s="13">
        <v>4919.8018999999995</v>
      </c>
      <c r="AK222" s="13">
        <v>106.07089999999999</v>
      </c>
      <c r="AL222" s="13">
        <v>4813.7309999999998</v>
      </c>
      <c r="AM222" s="13">
        <v>45</v>
      </c>
      <c r="AN222" s="13">
        <v>45</v>
      </c>
      <c r="AO222" s="13">
        <v>0</v>
      </c>
      <c r="AP222" s="13">
        <v>4403.9717000000001</v>
      </c>
      <c r="AQ222" s="13">
        <v>108.6425</v>
      </c>
      <c r="AR222" s="13">
        <v>4295.3292000000001</v>
      </c>
      <c r="AS222" s="13">
        <v>28</v>
      </c>
      <c r="AT222" s="13">
        <v>28</v>
      </c>
      <c r="AU222" s="13">
        <v>0</v>
      </c>
      <c r="AV222" s="13">
        <v>5895.6975000000002</v>
      </c>
      <c r="AW222" s="13">
        <v>156.249</v>
      </c>
      <c r="AX222" s="13">
        <v>5739.4485000000004</v>
      </c>
      <c r="AY222" s="13">
        <v>66</v>
      </c>
      <c r="AZ222" s="13">
        <v>66</v>
      </c>
      <c r="BA222" s="13">
        <v>0</v>
      </c>
      <c r="BB222" s="13">
        <v>5153.2020000000002</v>
      </c>
      <c r="BC222" s="13">
        <v>191.3562</v>
      </c>
      <c r="BD222" s="13">
        <v>4961.8458000000001</v>
      </c>
      <c r="BE222" s="13">
        <v>61</v>
      </c>
      <c r="BF222" s="13">
        <v>61</v>
      </c>
      <c r="BG222" s="13">
        <v>0</v>
      </c>
      <c r="BH222" s="13">
        <v>5405.2816000000003</v>
      </c>
      <c r="BI222" s="13">
        <v>171.892</v>
      </c>
      <c r="BJ222" s="13">
        <v>5233.3896000000004</v>
      </c>
      <c r="BK222" s="13">
        <v>88</v>
      </c>
      <c r="BL222" s="13">
        <v>88</v>
      </c>
      <c r="BM222" s="13">
        <v>0</v>
      </c>
      <c r="BN222" s="13">
        <v>7219.1090999999997</v>
      </c>
      <c r="BO222" s="13">
        <v>195.999</v>
      </c>
      <c r="BP222" s="13">
        <v>7023.1100999999999</v>
      </c>
      <c r="BQ222" s="13">
        <v>34</v>
      </c>
      <c r="BR222" s="13">
        <v>34</v>
      </c>
      <c r="BS222" s="13">
        <v>0</v>
      </c>
      <c r="BT222" s="13">
        <v>4804.9159</v>
      </c>
      <c r="BU222" s="13">
        <v>89.928100000000001</v>
      </c>
      <c r="BV222" s="13">
        <v>4714.9877999999999</v>
      </c>
      <c r="BW222" s="13">
        <v>36</v>
      </c>
      <c r="BX222" s="13">
        <v>36</v>
      </c>
      <c r="BY222" s="13">
        <v>0</v>
      </c>
      <c r="BZ222" s="13">
        <v>5349.8109000000004</v>
      </c>
      <c r="CA222" s="13">
        <v>79.392600000000002</v>
      </c>
      <c r="CB222" s="13">
        <v>5270.4183000000003</v>
      </c>
      <c r="CC222" s="13">
        <v>32</v>
      </c>
      <c r="CD222" s="13">
        <v>32</v>
      </c>
      <c r="CE222" s="13">
        <v>0</v>
      </c>
      <c r="CF222" s="13">
        <v>6386.0853999999999</v>
      </c>
      <c r="CG222" s="13">
        <v>115.8922</v>
      </c>
      <c r="CH222" s="13">
        <v>6270.1931999999997</v>
      </c>
      <c r="CI222" s="13">
        <v>21</v>
      </c>
      <c r="CJ222" s="13">
        <v>21</v>
      </c>
      <c r="CK222" s="13">
        <v>0</v>
      </c>
      <c r="CL222" s="13">
        <v>5232.9804000000004</v>
      </c>
      <c r="CM222" s="13">
        <v>172.3914</v>
      </c>
      <c r="CN222" s="13">
        <v>5060.5889999999999</v>
      </c>
      <c r="CO222" s="13">
        <v>19</v>
      </c>
      <c r="CP222" s="13">
        <v>19</v>
      </c>
      <c r="CQ222" s="13">
        <v>0</v>
      </c>
      <c r="CR222" s="13">
        <v>5734.3403000000008</v>
      </c>
      <c r="CS222" s="13">
        <v>118.32080000000001</v>
      </c>
      <c r="CT222" s="13">
        <v>5616.0195000000003</v>
      </c>
      <c r="CU222" s="13">
        <f t="shared" si="28"/>
        <v>526</v>
      </c>
      <c r="CV222" s="13">
        <f t="shared" si="28"/>
        <v>526</v>
      </c>
      <c r="CW222" s="13">
        <f t="shared" si="28"/>
        <v>0</v>
      </c>
      <c r="CX222" s="13">
        <f t="shared" si="24"/>
        <v>65773.062699999995</v>
      </c>
      <c r="CY222" s="13">
        <f t="shared" si="24"/>
        <v>1738.0974999999999</v>
      </c>
      <c r="CZ222" s="13">
        <f t="shared" si="24"/>
        <v>64034.965199999999</v>
      </c>
      <c r="DA222" s="13">
        <f t="shared" si="29"/>
        <v>72</v>
      </c>
      <c r="DB222" s="13">
        <f t="shared" si="29"/>
        <v>72</v>
      </c>
      <c r="DC222" s="13">
        <f t="shared" si="29"/>
        <v>0</v>
      </c>
      <c r="DD222" s="13">
        <f t="shared" si="25"/>
        <v>17353.4061</v>
      </c>
      <c r="DE222" s="13">
        <f t="shared" si="25"/>
        <v>406.6044</v>
      </c>
      <c r="DF222" s="13">
        <f t="shared" si="25"/>
        <v>16946.8017</v>
      </c>
      <c r="DG222" s="13">
        <f t="shared" si="30"/>
        <v>158</v>
      </c>
      <c r="DH222" s="13">
        <f t="shared" si="30"/>
        <v>158</v>
      </c>
      <c r="DI222" s="13">
        <f t="shared" si="30"/>
        <v>0</v>
      </c>
      <c r="DJ222" s="13">
        <f t="shared" si="26"/>
        <v>17373.835899999998</v>
      </c>
      <c r="DK222" s="13">
        <f t="shared" si="26"/>
        <v>365.31970000000001</v>
      </c>
      <c r="DL222" s="13">
        <f t="shared" si="26"/>
        <v>17008.516200000002</v>
      </c>
      <c r="DM222" s="13">
        <f t="shared" si="31"/>
        <v>40</v>
      </c>
      <c r="DN222" s="13">
        <f t="shared" si="31"/>
        <v>40</v>
      </c>
      <c r="DO222" s="13">
        <f t="shared" si="31"/>
        <v>0</v>
      </c>
      <c r="DP222" s="13">
        <f t="shared" si="27"/>
        <v>10967.3207</v>
      </c>
      <c r="DQ222" s="13">
        <f t="shared" si="27"/>
        <v>290.7122</v>
      </c>
      <c r="DR222" s="13">
        <f t="shared" si="27"/>
        <v>10676.6085</v>
      </c>
      <c r="DS222" s="14" t="s">
        <v>60</v>
      </c>
      <c r="DT222" s="14" t="s">
        <v>192</v>
      </c>
      <c r="DU222" s="14" t="s">
        <v>73</v>
      </c>
      <c r="DV222" s="14" t="s">
        <v>82</v>
      </c>
      <c r="DW222" s="14" t="s">
        <v>74</v>
      </c>
    </row>
    <row r="223" spans="2:127" x14ac:dyDescent="0.3">
      <c r="B223" s="11" t="s">
        <v>65</v>
      </c>
      <c r="C223" s="14">
        <v>5001341999</v>
      </c>
      <c r="D223" s="11" t="s">
        <v>735</v>
      </c>
      <c r="E223" s="11" t="s">
        <v>522</v>
      </c>
      <c r="F223" s="11" t="s">
        <v>736</v>
      </c>
      <c r="G223" s="11" t="s">
        <v>737</v>
      </c>
      <c r="H223" s="11" t="s">
        <v>206</v>
      </c>
      <c r="I223" s="11">
        <v>10467</v>
      </c>
      <c r="J223" s="11" t="s">
        <v>59</v>
      </c>
      <c r="K223" s="11"/>
      <c r="L223" s="11"/>
      <c r="M223" s="11"/>
      <c r="N223" s="11"/>
      <c r="O223" s="13">
        <v>398</v>
      </c>
      <c r="P223" s="13">
        <v>398</v>
      </c>
      <c r="Q223" s="13">
        <v>0</v>
      </c>
      <c r="R223" s="13">
        <v>57445.722000000002</v>
      </c>
      <c r="S223" s="13">
        <v>878.21129999999994</v>
      </c>
      <c r="T223" s="13">
        <v>56567.510699999999</v>
      </c>
      <c r="U223" s="13">
        <v>32</v>
      </c>
      <c r="V223" s="13">
        <v>32</v>
      </c>
      <c r="W223" s="13">
        <v>0</v>
      </c>
      <c r="X223" s="13">
        <v>4241.3144999999995</v>
      </c>
      <c r="Y223" s="13">
        <v>57.071399999999997</v>
      </c>
      <c r="Z223" s="13">
        <v>4184.2430999999997</v>
      </c>
      <c r="AA223" s="13">
        <v>80</v>
      </c>
      <c r="AB223" s="13">
        <v>80</v>
      </c>
      <c r="AC223" s="13">
        <v>0</v>
      </c>
      <c r="AD223" s="13">
        <v>5670.9476000000004</v>
      </c>
      <c r="AE223" s="13">
        <v>116.6426</v>
      </c>
      <c r="AF223" s="13">
        <v>5554.3050000000003</v>
      </c>
      <c r="AG223" s="13">
        <v>47</v>
      </c>
      <c r="AH223" s="13">
        <v>47</v>
      </c>
      <c r="AI223" s="13">
        <v>0</v>
      </c>
      <c r="AJ223" s="13">
        <v>4564.5014000000001</v>
      </c>
      <c r="AK223" s="13">
        <v>47</v>
      </c>
      <c r="AL223" s="13">
        <v>4517.5014000000001</v>
      </c>
      <c r="AM223" s="13">
        <v>42</v>
      </c>
      <c r="AN223" s="13">
        <v>42</v>
      </c>
      <c r="AO223" s="13">
        <v>0</v>
      </c>
      <c r="AP223" s="13">
        <v>4806.3594000000003</v>
      </c>
      <c r="AQ223" s="13">
        <v>42</v>
      </c>
      <c r="AR223" s="13">
        <v>4764.3594000000003</v>
      </c>
      <c r="AS223" s="13">
        <v>68</v>
      </c>
      <c r="AT223" s="13">
        <v>68</v>
      </c>
      <c r="AU223" s="13">
        <v>0</v>
      </c>
      <c r="AV223" s="13">
        <v>5127.8175000000001</v>
      </c>
      <c r="AW223" s="13">
        <v>79.571399999999997</v>
      </c>
      <c r="AX223" s="13">
        <v>5048.2461000000003</v>
      </c>
      <c r="AY223" s="13">
        <v>27</v>
      </c>
      <c r="AZ223" s="13">
        <v>27</v>
      </c>
      <c r="BA223" s="13">
        <v>0</v>
      </c>
      <c r="BB223" s="13">
        <v>3799.1048000000001</v>
      </c>
      <c r="BC223" s="13">
        <v>145.60640000000001</v>
      </c>
      <c r="BD223" s="13">
        <v>3653.4983999999999</v>
      </c>
      <c r="BE223" s="13">
        <v>18</v>
      </c>
      <c r="BF223" s="13">
        <v>18</v>
      </c>
      <c r="BG223" s="13">
        <v>0</v>
      </c>
      <c r="BH223" s="13">
        <v>3868.2132000000001</v>
      </c>
      <c r="BI223" s="13">
        <v>29.571300000000001</v>
      </c>
      <c r="BJ223" s="13">
        <v>3838.6419000000001</v>
      </c>
      <c r="BK223" s="13">
        <v>8</v>
      </c>
      <c r="BL223" s="13">
        <v>8</v>
      </c>
      <c r="BM223" s="13">
        <v>0</v>
      </c>
      <c r="BN223" s="13">
        <v>4701.1942999999992</v>
      </c>
      <c r="BO223" s="13">
        <v>72.606800000000007</v>
      </c>
      <c r="BP223" s="13">
        <v>4628.5874999999996</v>
      </c>
      <c r="BQ223" s="13">
        <v>4</v>
      </c>
      <c r="BR223" s="13">
        <v>4</v>
      </c>
      <c r="BS223" s="13">
        <v>0</v>
      </c>
      <c r="BT223" s="13">
        <v>3830.299</v>
      </c>
      <c r="BU223" s="13">
        <v>4</v>
      </c>
      <c r="BV223" s="13">
        <v>3826.299</v>
      </c>
      <c r="BW223" s="13">
        <v>21</v>
      </c>
      <c r="BX223" s="13">
        <v>21</v>
      </c>
      <c r="BY223" s="13">
        <v>0</v>
      </c>
      <c r="BZ223" s="13">
        <v>3572.0895</v>
      </c>
      <c r="CA223" s="13">
        <v>153.1062</v>
      </c>
      <c r="CB223" s="13">
        <v>3418.9832999999999</v>
      </c>
      <c r="CC223" s="13">
        <v>21</v>
      </c>
      <c r="CD223" s="13">
        <v>21</v>
      </c>
      <c r="CE223" s="13">
        <v>0</v>
      </c>
      <c r="CF223" s="13">
        <v>5000.2028</v>
      </c>
      <c r="CG223" s="13">
        <v>38.356999999999999</v>
      </c>
      <c r="CH223" s="13">
        <v>4961.8458000000001</v>
      </c>
      <c r="CI223" s="13">
        <v>23</v>
      </c>
      <c r="CJ223" s="13">
        <v>23</v>
      </c>
      <c r="CK223" s="13">
        <v>0</v>
      </c>
      <c r="CL223" s="13">
        <v>4244.8499999999995</v>
      </c>
      <c r="CM223" s="13">
        <v>60.606900000000003</v>
      </c>
      <c r="CN223" s="13">
        <v>4184.2430999999997</v>
      </c>
      <c r="CO223" s="13">
        <v>7</v>
      </c>
      <c r="CP223" s="13">
        <v>7</v>
      </c>
      <c r="CQ223" s="13">
        <v>0</v>
      </c>
      <c r="CR223" s="13">
        <v>4018.828</v>
      </c>
      <c r="CS223" s="13">
        <v>32.071300000000001</v>
      </c>
      <c r="CT223" s="13">
        <v>3986.7566999999999</v>
      </c>
      <c r="CU223" s="13">
        <f t="shared" si="28"/>
        <v>366</v>
      </c>
      <c r="CV223" s="13">
        <f t="shared" si="28"/>
        <v>366</v>
      </c>
      <c r="CW223" s="13">
        <f t="shared" si="28"/>
        <v>0</v>
      </c>
      <c r="CX223" s="13">
        <f t="shared" si="24"/>
        <v>53204.407500000008</v>
      </c>
      <c r="CY223" s="13">
        <f t="shared" si="24"/>
        <v>821.13990000000001</v>
      </c>
      <c r="CZ223" s="13">
        <f t="shared" si="24"/>
        <v>52383.267599999999</v>
      </c>
      <c r="DA223" s="13">
        <f t="shared" si="29"/>
        <v>51</v>
      </c>
      <c r="DB223" s="13">
        <f t="shared" si="29"/>
        <v>51</v>
      </c>
      <c r="DC223" s="13">
        <f t="shared" si="29"/>
        <v>0</v>
      </c>
      <c r="DD223" s="13">
        <f t="shared" si="25"/>
        <v>13263.880799999999</v>
      </c>
      <c r="DE223" s="13">
        <f t="shared" si="25"/>
        <v>131.0352</v>
      </c>
      <c r="DF223" s="13">
        <f t="shared" si="25"/>
        <v>13132.845599999999</v>
      </c>
      <c r="DG223" s="13">
        <f t="shared" si="30"/>
        <v>33</v>
      </c>
      <c r="DH223" s="13">
        <f t="shared" si="30"/>
        <v>33</v>
      </c>
      <c r="DI223" s="13">
        <f t="shared" si="30"/>
        <v>0</v>
      </c>
      <c r="DJ223" s="13">
        <f t="shared" si="26"/>
        <v>12103.582799999998</v>
      </c>
      <c r="DK223" s="13">
        <f t="shared" si="26"/>
        <v>229.71300000000002</v>
      </c>
      <c r="DL223" s="13">
        <f t="shared" si="26"/>
        <v>11873.8698</v>
      </c>
      <c r="DM223" s="13">
        <f t="shared" si="31"/>
        <v>30</v>
      </c>
      <c r="DN223" s="13">
        <f t="shared" si="31"/>
        <v>30</v>
      </c>
      <c r="DO223" s="13">
        <f t="shared" si="31"/>
        <v>0</v>
      </c>
      <c r="DP223" s="13">
        <f t="shared" si="27"/>
        <v>8263.6779999999999</v>
      </c>
      <c r="DQ223" s="13">
        <f t="shared" si="27"/>
        <v>92.678200000000004</v>
      </c>
      <c r="DR223" s="13">
        <f t="shared" si="27"/>
        <v>8170.9997999999996</v>
      </c>
      <c r="DS223" s="14" t="s">
        <v>60</v>
      </c>
      <c r="DT223" s="14" t="s">
        <v>81</v>
      </c>
      <c r="DU223" s="14" t="s">
        <v>73</v>
      </c>
      <c r="DV223" s="14" t="s">
        <v>82</v>
      </c>
      <c r="DW223" s="14" t="s">
        <v>64</v>
      </c>
    </row>
    <row r="224" spans="2:127" x14ac:dyDescent="0.3">
      <c r="B224" s="11" t="s">
        <v>75</v>
      </c>
      <c r="C224" s="14">
        <v>5001342000</v>
      </c>
      <c r="D224" s="11" t="s">
        <v>738</v>
      </c>
      <c r="E224" s="11" t="s">
        <v>522</v>
      </c>
      <c r="F224" s="11" t="s">
        <v>739</v>
      </c>
      <c r="G224" s="11" t="s">
        <v>740</v>
      </c>
      <c r="H224" s="11" t="s">
        <v>220</v>
      </c>
      <c r="I224" s="11">
        <v>27401</v>
      </c>
      <c r="J224" s="11" t="s">
        <v>80</v>
      </c>
      <c r="K224" s="11"/>
      <c r="L224" s="11"/>
      <c r="M224" s="11"/>
      <c r="N224" s="11"/>
      <c r="O224" s="13">
        <v>1087</v>
      </c>
      <c r="P224" s="13">
        <v>1087</v>
      </c>
      <c r="Q224" s="13">
        <v>0</v>
      </c>
      <c r="R224" s="13">
        <v>35869.0916</v>
      </c>
      <c r="S224" s="13">
        <v>1691.6015</v>
      </c>
      <c r="T224" s="13">
        <v>34177.490100000003</v>
      </c>
      <c r="U224" s="13">
        <v>76</v>
      </c>
      <c r="V224" s="13">
        <v>76</v>
      </c>
      <c r="W224" s="13">
        <v>0</v>
      </c>
      <c r="X224" s="13">
        <v>2366.3792000000003</v>
      </c>
      <c r="Y224" s="13">
        <v>95.285600000000002</v>
      </c>
      <c r="Z224" s="13">
        <v>2271.0936000000002</v>
      </c>
      <c r="AA224" s="13">
        <v>95</v>
      </c>
      <c r="AB224" s="13">
        <v>95</v>
      </c>
      <c r="AC224" s="13">
        <v>0</v>
      </c>
      <c r="AD224" s="13">
        <v>2973.4024000000004</v>
      </c>
      <c r="AE224" s="13">
        <v>134.53540000000001</v>
      </c>
      <c r="AF224" s="13">
        <v>2838.8670000000002</v>
      </c>
      <c r="AG224" s="13">
        <v>65</v>
      </c>
      <c r="AH224" s="13">
        <v>65</v>
      </c>
      <c r="AI224" s="13">
        <v>0</v>
      </c>
      <c r="AJ224" s="13">
        <v>2158.0853999999999</v>
      </c>
      <c r="AK224" s="13">
        <v>96.821100000000001</v>
      </c>
      <c r="AL224" s="13">
        <v>2061.2642999999998</v>
      </c>
      <c r="AM224" s="13">
        <v>141</v>
      </c>
      <c r="AN224" s="13">
        <v>141</v>
      </c>
      <c r="AO224" s="13">
        <v>0</v>
      </c>
      <c r="AP224" s="13">
        <v>2055.4992000000002</v>
      </c>
      <c r="AQ224" s="13">
        <v>167.03550000000001</v>
      </c>
      <c r="AR224" s="13">
        <v>1888.4637</v>
      </c>
      <c r="AS224" s="13">
        <v>182</v>
      </c>
      <c r="AT224" s="13">
        <v>182</v>
      </c>
      <c r="AU224" s="13">
        <v>0</v>
      </c>
      <c r="AV224" s="13">
        <v>3040.7307000000001</v>
      </c>
      <c r="AW224" s="13">
        <v>238.89240000000001</v>
      </c>
      <c r="AX224" s="13">
        <v>2801.8382999999999</v>
      </c>
      <c r="AY224" s="13">
        <v>88</v>
      </c>
      <c r="AZ224" s="13">
        <v>88</v>
      </c>
      <c r="BA224" s="13">
        <v>0</v>
      </c>
      <c r="BB224" s="13">
        <v>2286.3858999999998</v>
      </c>
      <c r="BC224" s="13">
        <v>114.0355</v>
      </c>
      <c r="BD224" s="13">
        <v>2172.3503999999998</v>
      </c>
      <c r="BE224" s="13">
        <v>65</v>
      </c>
      <c r="BF224" s="13">
        <v>65</v>
      </c>
      <c r="BG224" s="13">
        <v>0</v>
      </c>
      <c r="BH224" s="13">
        <v>2246.4142999999999</v>
      </c>
      <c r="BI224" s="13">
        <v>98.74969999999999</v>
      </c>
      <c r="BJ224" s="13">
        <v>2147.6646000000001</v>
      </c>
      <c r="BK224" s="13">
        <v>120</v>
      </c>
      <c r="BL224" s="13">
        <v>120</v>
      </c>
      <c r="BM224" s="13">
        <v>0</v>
      </c>
      <c r="BN224" s="13">
        <v>4039.4475000000002</v>
      </c>
      <c r="BO224" s="13">
        <v>250.1772</v>
      </c>
      <c r="BP224" s="13">
        <v>3789.2703000000001</v>
      </c>
      <c r="BQ224" s="13">
        <v>53</v>
      </c>
      <c r="BR224" s="13">
        <v>53</v>
      </c>
      <c r="BS224" s="13">
        <v>0</v>
      </c>
      <c r="BT224" s="13">
        <v>2803.73</v>
      </c>
      <c r="BU224" s="13">
        <v>125.3207</v>
      </c>
      <c r="BV224" s="13">
        <v>2678.4092999999998</v>
      </c>
      <c r="BW224" s="13">
        <v>40</v>
      </c>
      <c r="BX224" s="13">
        <v>40</v>
      </c>
      <c r="BY224" s="13">
        <v>0</v>
      </c>
      <c r="BZ224" s="13">
        <v>2868.4517999999998</v>
      </c>
      <c r="CA224" s="13">
        <v>103.6422</v>
      </c>
      <c r="CB224" s="13">
        <v>2764.8096</v>
      </c>
      <c r="CC224" s="13">
        <v>61</v>
      </c>
      <c r="CD224" s="13">
        <v>61</v>
      </c>
      <c r="CE224" s="13">
        <v>0</v>
      </c>
      <c r="CF224" s="13">
        <v>3122.8100000000004</v>
      </c>
      <c r="CG224" s="13">
        <v>111.14240000000001</v>
      </c>
      <c r="CH224" s="13">
        <v>3011.6676000000002</v>
      </c>
      <c r="CI224" s="13">
        <v>39</v>
      </c>
      <c r="CJ224" s="13">
        <v>39</v>
      </c>
      <c r="CK224" s="13">
        <v>0</v>
      </c>
      <c r="CL224" s="13">
        <v>2842.1880000000001</v>
      </c>
      <c r="CM224" s="13">
        <v>65.035499999999999</v>
      </c>
      <c r="CN224" s="13">
        <v>2777.1525000000001</v>
      </c>
      <c r="CO224" s="13">
        <v>62</v>
      </c>
      <c r="CP224" s="13">
        <v>62</v>
      </c>
      <c r="CQ224" s="13">
        <v>0</v>
      </c>
      <c r="CR224" s="13">
        <v>3065.5672</v>
      </c>
      <c r="CS224" s="13">
        <v>90.928300000000007</v>
      </c>
      <c r="CT224" s="13">
        <v>2974.6388999999999</v>
      </c>
      <c r="CU224" s="13">
        <f t="shared" si="28"/>
        <v>1011</v>
      </c>
      <c r="CV224" s="13">
        <f t="shared" si="28"/>
        <v>1011</v>
      </c>
      <c r="CW224" s="13">
        <f t="shared" si="28"/>
        <v>0</v>
      </c>
      <c r="CX224" s="13">
        <f t="shared" si="24"/>
        <v>33502.712399999997</v>
      </c>
      <c r="CY224" s="13">
        <f t="shared" si="24"/>
        <v>1596.3158999999998</v>
      </c>
      <c r="CZ224" s="13">
        <f t="shared" si="24"/>
        <v>31906.396500000003</v>
      </c>
      <c r="DA224" s="13">
        <f t="shared" si="29"/>
        <v>162</v>
      </c>
      <c r="DB224" s="13">
        <f t="shared" si="29"/>
        <v>162</v>
      </c>
      <c r="DC224" s="13">
        <f t="shared" si="29"/>
        <v>0</v>
      </c>
      <c r="DD224" s="13">
        <f t="shared" si="25"/>
        <v>9030.5652000000009</v>
      </c>
      <c r="DE224" s="13">
        <f t="shared" si="25"/>
        <v>267.10620000000006</v>
      </c>
      <c r="DF224" s="13">
        <f t="shared" si="25"/>
        <v>8763.4590000000007</v>
      </c>
      <c r="DG224" s="13">
        <f t="shared" si="30"/>
        <v>213</v>
      </c>
      <c r="DH224" s="13">
        <f t="shared" si="30"/>
        <v>213</v>
      </c>
      <c r="DI224" s="13">
        <f t="shared" si="30"/>
        <v>0</v>
      </c>
      <c r="DJ224" s="13">
        <f t="shared" si="26"/>
        <v>9711.6293000000005</v>
      </c>
      <c r="DK224" s="13">
        <f t="shared" si="26"/>
        <v>479.14010000000002</v>
      </c>
      <c r="DL224" s="13">
        <f t="shared" si="26"/>
        <v>9232.4892</v>
      </c>
      <c r="DM224" s="13">
        <f t="shared" si="31"/>
        <v>101</v>
      </c>
      <c r="DN224" s="13">
        <f t="shared" si="31"/>
        <v>101</v>
      </c>
      <c r="DO224" s="13">
        <f t="shared" si="31"/>
        <v>0</v>
      </c>
      <c r="DP224" s="13">
        <f t="shared" si="27"/>
        <v>5907.7551999999996</v>
      </c>
      <c r="DQ224" s="13">
        <f t="shared" si="27"/>
        <v>155.96379999999999</v>
      </c>
      <c r="DR224" s="13">
        <f t="shared" si="27"/>
        <v>5751.7914000000001</v>
      </c>
      <c r="DS224" s="14" t="s">
        <v>71</v>
      </c>
      <c r="DT224" s="14" t="s">
        <v>81</v>
      </c>
      <c r="DU224" s="14" t="s">
        <v>73</v>
      </c>
      <c r="DV224" s="14" t="s">
        <v>82</v>
      </c>
      <c r="DW224" s="14" t="s">
        <v>74</v>
      </c>
    </row>
    <row r="225" spans="2:127" x14ac:dyDescent="0.3">
      <c r="B225" s="11" t="s">
        <v>75</v>
      </c>
      <c r="C225" s="14">
        <v>5001342001</v>
      </c>
      <c r="D225" s="11" t="s">
        <v>741</v>
      </c>
      <c r="E225" s="11" t="s">
        <v>522</v>
      </c>
      <c r="F225" s="11" t="s">
        <v>742</v>
      </c>
      <c r="G225" s="11" t="s">
        <v>743</v>
      </c>
      <c r="H225" s="11" t="s">
        <v>104</v>
      </c>
      <c r="I225" s="11">
        <v>33140</v>
      </c>
      <c r="J225" s="11" t="s">
        <v>80</v>
      </c>
      <c r="K225" s="11"/>
      <c r="L225" s="11"/>
      <c r="M225" s="11"/>
      <c r="N225" s="11"/>
      <c r="O225" s="13">
        <v>144</v>
      </c>
      <c r="P225" s="13">
        <v>144</v>
      </c>
      <c r="Q225" s="13">
        <v>0</v>
      </c>
      <c r="R225" s="13">
        <v>11215.5813</v>
      </c>
      <c r="S225" s="13">
        <v>144</v>
      </c>
      <c r="T225" s="13">
        <v>11071.5813</v>
      </c>
      <c r="U225" s="13">
        <v>8</v>
      </c>
      <c r="V225" s="13">
        <v>8</v>
      </c>
      <c r="W225" s="13">
        <v>0</v>
      </c>
      <c r="X225" s="13">
        <v>736.23109999999997</v>
      </c>
      <c r="Y225" s="13">
        <v>8</v>
      </c>
      <c r="Z225" s="13">
        <v>728.23109999999997</v>
      </c>
      <c r="AA225" s="13">
        <v>24</v>
      </c>
      <c r="AB225" s="13">
        <v>24</v>
      </c>
      <c r="AC225" s="13">
        <v>0</v>
      </c>
      <c r="AD225" s="13">
        <v>900.34590000000003</v>
      </c>
      <c r="AE225" s="13">
        <v>24</v>
      </c>
      <c r="AF225" s="13">
        <v>876.34590000000003</v>
      </c>
      <c r="AG225" s="13">
        <v>8</v>
      </c>
      <c r="AH225" s="13">
        <v>8</v>
      </c>
      <c r="AI225" s="13">
        <v>0</v>
      </c>
      <c r="AJ225" s="13">
        <v>612.8021</v>
      </c>
      <c r="AK225" s="13">
        <v>8</v>
      </c>
      <c r="AL225" s="13">
        <v>604.8021</v>
      </c>
      <c r="AM225" s="13">
        <v>16</v>
      </c>
      <c r="AN225" s="13">
        <v>16</v>
      </c>
      <c r="AO225" s="13">
        <v>0</v>
      </c>
      <c r="AP225" s="13">
        <v>805.94560000000001</v>
      </c>
      <c r="AQ225" s="13">
        <v>16</v>
      </c>
      <c r="AR225" s="13">
        <v>789.94560000000001</v>
      </c>
      <c r="AS225" s="13">
        <v>8</v>
      </c>
      <c r="AT225" s="13">
        <v>8</v>
      </c>
      <c r="AU225" s="13">
        <v>0</v>
      </c>
      <c r="AV225" s="13">
        <v>995.43200000000002</v>
      </c>
      <c r="AW225" s="13">
        <v>8</v>
      </c>
      <c r="AX225" s="13">
        <v>987.43200000000002</v>
      </c>
      <c r="AY225" s="13">
        <v>0</v>
      </c>
      <c r="AZ225" s="13">
        <v>0</v>
      </c>
      <c r="BA225" s="13">
        <v>0</v>
      </c>
      <c r="BB225" s="13">
        <v>678.85950000000003</v>
      </c>
      <c r="BC225" s="13">
        <v>0</v>
      </c>
      <c r="BD225" s="13">
        <v>678.85950000000003</v>
      </c>
      <c r="BE225" s="13">
        <v>0</v>
      </c>
      <c r="BF225" s="13">
        <v>0</v>
      </c>
      <c r="BG225" s="13">
        <v>0</v>
      </c>
      <c r="BH225" s="13">
        <v>765.25980000000004</v>
      </c>
      <c r="BI225" s="13">
        <v>0</v>
      </c>
      <c r="BJ225" s="13">
        <v>765.25980000000004</v>
      </c>
      <c r="BK225" s="13">
        <v>0</v>
      </c>
      <c r="BL225" s="13">
        <v>0</v>
      </c>
      <c r="BM225" s="13">
        <v>0</v>
      </c>
      <c r="BN225" s="13">
        <v>1073.8323</v>
      </c>
      <c r="BO225" s="13">
        <v>0</v>
      </c>
      <c r="BP225" s="13">
        <v>1073.8323</v>
      </c>
      <c r="BQ225" s="13">
        <v>0</v>
      </c>
      <c r="BR225" s="13">
        <v>0</v>
      </c>
      <c r="BS225" s="13">
        <v>0</v>
      </c>
      <c r="BT225" s="13">
        <v>851.66010000000006</v>
      </c>
      <c r="BU225" s="13">
        <v>0</v>
      </c>
      <c r="BV225" s="13">
        <v>851.66010000000006</v>
      </c>
      <c r="BW225" s="13">
        <v>24</v>
      </c>
      <c r="BX225" s="13">
        <v>24</v>
      </c>
      <c r="BY225" s="13">
        <v>0</v>
      </c>
      <c r="BZ225" s="13">
        <v>579.43050000000005</v>
      </c>
      <c r="CA225" s="13">
        <v>24</v>
      </c>
      <c r="CB225" s="13">
        <v>555.43050000000005</v>
      </c>
      <c r="CC225" s="13">
        <v>24</v>
      </c>
      <c r="CD225" s="13">
        <v>24</v>
      </c>
      <c r="CE225" s="13">
        <v>0</v>
      </c>
      <c r="CF225" s="13">
        <v>1282.9757999999999</v>
      </c>
      <c r="CG225" s="13">
        <v>24</v>
      </c>
      <c r="CH225" s="13">
        <v>1258.9757999999999</v>
      </c>
      <c r="CI225" s="13">
        <v>16</v>
      </c>
      <c r="CJ225" s="13">
        <v>16</v>
      </c>
      <c r="CK225" s="13">
        <v>0</v>
      </c>
      <c r="CL225" s="13">
        <v>1077.4893999999999</v>
      </c>
      <c r="CM225" s="13">
        <v>16</v>
      </c>
      <c r="CN225" s="13">
        <v>1061.4893999999999</v>
      </c>
      <c r="CO225" s="13">
        <v>16</v>
      </c>
      <c r="CP225" s="13">
        <v>16</v>
      </c>
      <c r="CQ225" s="13">
        <v>0</v>
      </c>
      <c r="CR225" s="13">
        <v>855.31719999999996</v>
      </c>
      <c r="CS225" s="13">
        <v>16</v>
      </c>
      <c r="CT225" s="13">
        <v>839.31719999999996</v>
      </c>
      <c r="CU225" s="13">
        <f t="shared" si="28"/>
        <v>136</v>
      </c>
      <c r="CV225" s="13">
        <f t="shared" si="28"/>
        <v>136</v>
      </c>
      <c r="CW225" s="13">
        <f t="shared" si="28"/>
        <v>0</v>
      </c>
      <c r="CX225" s="13">
        <f t="shared" si="24"/>
        <v>10479.350200000001</v>
      </c>
      <c r="CY225" s="13">
        <f t="shared" si="24"/>
        <v>136</v>
      </c>
      <c r="CZ225" s="13">
        <f t="shared" si="24"/>
        <v>10343.350200000001</v>
      </c>
      <c r="DA225" s="13">
        <f t="shared" si="29"/>
        <v>56</v>
      </c>
      <c r="DB225" s="13">
        <f t="shared" si="29"/>
        <v>56</v>
      </c>
      <c r="DC225" s="13">
        <f t="shared" si="29"/>
        <v>0</v>
      </c>
      <c r="DD225" s="13">
        <f t="shared" si="25"/>
        <v>3215.7823999999996</v>
      </c>
      <c r="DE225" s="13">
        <f t="shared" si="25"/>
        <v>56</v>
      </c>
      <c r="DF225" s="13">
        <f t="shared" si="25"/>
        <v>3159.7823999999996</v>
      </c>
      <c r="DG225" s="13">
        <f t="shared" si="30"/>
        <v>24</v>
      </c>
      <c r="DH225" s="13">
        <f t="shared" si="30"/>
        <v>24</v>
      </c>
      <c r="DI225" s="13">
        <f t="shared" si="30"/>
        <v>0</v>
      </c>
      <c r="DJ225" s="13">
        <f t="shared" si="26"/>
        <v>2504.9229</v>
      </c>
      <c r="DK225" s="13">
        <f t="shared" si="26"/>
        <v>24</v>
      </c>
      <c r="DL225" s="13">
        <f t="shared" si="26"/>
        <v>2480.9229</v>
      </c>
      <c r="DM225" s="13">
        <f t="shared" si="31"/>
        <v>32</v>
      </c>
      <c r="DN225" s="13">
        <f t="shared" si="31"/>
        <v>32</v>
      </c>
      <c r="DO225" s="13">
        <f t="shared" si="31"/>
        <v>0</v>
      </c>
      <c r="DP225" s="13">
        <f t="shared" si="27"/>
        <v>1932.8065999999999</v>
      </c>
      <c r="DQ225" s="13">
        <f t="shared" si="27"/>
        <v>32</v>
      </c>
      <c r="DR225" s="13">
        <f t="shared" si="27"/>
        <v>1900.8065999999999</v>
      </c>
      <c r="DS225" s="14" t="s">
        <v>71</v>
      </c>
      <c r="DT225" s="14" t="s">
        <v>81</v>
      </c>
      <c r="DU225" s="14" t="s">
        <v>73</v>
      </c>
      <c r="DV225" s="14" t="s">
        <v>82</v>
      </c>
      <c r="DW225" s="14" t="s">
        <v>126</v>
      </c>
    </row>
    <row r="226" spans="2:127" x14ac:dyDescent="0.3">
      <c r="B226" s="11" t="s">
        <v>83</v>
      </c>
      <c r="C226" s="14">
        <v>5001342007</v>
      </c>
      <c r="D226" s="11" t="s">
        <v>744</v>
      </c>
      <c r="E226" s="11" t="s">
        <v>522</v>
      </c>
      <c r="F226" s="11" t="s">
        <v>745</v>
      </c>
      <c r="G226" s="11" t="s">
        <v>164</v>
      </c>
      <c r="H226" s="11" t="s">
        <v>165</v>
      </c>
      <c r="I226" s="11">
        <v>68198</v>
      </c>
      <c r="J226" s="11" t="s">
        <v>59</v>
      </c>
      <c r="K226" s="11"/>
      <c r="L226" s="11"/>
      <c r="M226" s="11"/>
      <c r="N226" s="11"/>
      <c r="O226" s="13">
        <v>0</v>
      </c>
      <c r="P226" s="13">
        <v>0</v>
      </c>
      <c r="Q226" s="13">
        <v>0</v>
      </c>
      <c r="R226" s="13">
        <v>31577.957900000001</v>
      </c>
      <c r="S226" s="13">
        <v>189.9632</v>
      </c>
      <c r="T226" s="13">
        <v>31387.994699999999</v>
      </c>
      <c r="U226" s="13">
        <v>0</v>
      </c>
      <c r="V226" s="13">
        <v>0</v>
      </c>
      <c r="W226" s="13">
        <v>0</v>
      </c>
      <c r="X226" s="13">
        <v>2271.0936000000002</v>
      </c>
      <c r="Y226" s="13">
        <v>0</v>
      </c>
      <c r="Z226" s="13">
        <v>2271.0936000000002</v>
      </c>
      <c r="AA226" s="13">
        <v>0</v>
      </c>
      <c r="AB226" s="13">
        <v>0</v>
      </c>
      <c r="AC226" s="13">
        <v>0</v>
      </c>
      <c r="AD226" s="13">
        <v>2525.0871000000002</v>
      </c>
      <c r="AE226" s="13">
        <v>31.821300000000001</v>
      </c>
      <c r="AF226" s="13">
        <v>2493.2658000000001</v>
      </c>
      <c r="AG226" s="13">
        <v>0</v>
      </c>
      <c r="AH226" s="13">
        <v>0</v>
      </c>
      <c r="AI226" s="13">
        <v>0</v>
      </c>
      <c r="AJ226" s="13">
        <v>2273.2148999999999</v>
      </c>
      <c r="AK226" s="13">
        <v>14.4642</v>
      </c>
      <c r="AL226" s="13">
        <v>2258.7507000000001</v>
      </c>
      <c r="AM226" s="13">
        <v>0</v>
      </c>
      <c r="AN226" s="13">
        <v>0</v>
      </c>
      <c r="AO226" s="13">
        <v>0</v>
      </c>
      <c r="AP226" s="13">
        <v>2098.2930000000001</v>
      </c>
      <c r="AQ226" s="13">
        <v>0</v>
      </c>
      <c r="AR226" s="13">
        <v>2098.2930000000001</v>
      </c>
      <c r="AS226" s="13">
        <v>0</v>
      </c>
      <c r="AT226" s="13">
        <v>0</v>
      </c>
      <c r="AU226" s="13">
        <v>0</v>
      </c>
      <c r="AV226" s="13">
        <v>3073.3820999999998</v>
      </c>
      <c r="AW226" s="13">
        <v>0</v>
      </c>
      <c r="AX226" s="13">
        <v>3073.3820999999998</v>
      </c>
      <c r="AY226" s="13">
        <v>0</v>
      </c>
      <c r="AZ226" s="13">
        <v>0</v>
      </c>
      <c r="BA226" s="13">
        <v>0</v>
      </c>
      <c r="BB226" s="13">
        <v>1913.1495</v>
      </c>
      <c r="BC226" s="13">
        <v>0</v>
      </c>
      <c r="BD226" s="13">
        <v>1913.1495</v>
      </c>
      <c r="BE226" s="13">
        <v>0</v>
      </c>
      <c r="BF226" s="13">
        <v>0</v>
      </c>
      <c r="BG226" s="13">
        <v>0</v>
      </c>
      <c r="BH226" s="13">
        <v>2122.9787999999999</v>
      </c>
      <c r="BI226" s="13">
        <v>0</v>
      </c>
      <c r="BJ226" s="13">
        <v>2122.9787999999999</v>
      </c>
      <c r="BK226" s="13">
        <v>0</v>
      </c>
      <c r="BL226" s="13">
        <v>0</v>
      </c>
      <c r="BM226" s="13">
        <v>0</v>
      </c>
      <c r="BN226" s="13">
        <v>2703.0951</v>
      </c>
      <c r="BO226" s="13">
        <v>0</v>
      </c>
      <c r="BP226" s="13">
        <v>2703.0951</v>
      </c>
      <c r="BQ226" s="13">
        <v>0</v>
      </c>
      <c r="BR226" s="13">
        <v>0</v>
      </c>
      <c r="BS226" s="13">
        <v>0</v>
      </c>
      <c r="BT226" s="13">
        <v>2271.0936000000002</v>
      </c>
      <c r="BU226" s="13">
        <v>0</v>
      </c>
      <c r="BV226" s="13">
        <v>2271.0936000000002</v>
      </c>
      <c r="BW226" s="13">
        <v>0</v>
      </c>
      <c r="BX226" s="13">
        <v>0</v>
      </c>
      <c r="BY226" s="13">
        <v>0</v>
      </c>
      <c r="BZ226" s="13">
        <v>2283.4364999999998</v>
      </c>
      <c r="CA226" s="13">
        <v>0</v>
      </c>
      <c r="CB226" s="13">
        <v>2283.4364999999998</v>
      </c>
      <c r="CC226" s="13">
        <v>0</v>
      </c>
      <c r="CD226" s="13">
        <v>0</v>
      </c>
      <c r="CE226" s="13">
        <v>0</v>
      </c>
      <c r="CF226" s="13">
        <v>2895.7595000000001</v>
      </c>
      <c r="CG226" s="13">
        <v>56.892499999999998</v>
      </c>
      <c r="CH226" s="13">
        <v>2838.8670000000002</v>
      </c>
      <c r="CI226" s="13">
        <v>0</v>
      </c>
      <c r="CJ226" s="13">
        <v>0</v>
      </c>
      <c r="CK226" s="13">
        <v>0</v>
      </c>
      <c r="CL226" s="13">
        <v>2452.3793999999998</v>
      </c>
      <c r="CM226" s="13">
        <v>57.8568</v>
      </c>
      <c r="CN226" s="13">
        <v>2394.5225999999998</v>
      </c>
      <c r="CO226" s="13">
        <v>0</v>
      </c>
      <c r="CP226" s="13">
        <v>0</v>
      </c>
      <c r="CQ226" s="13">
        <v>0</v>
      </c>
      <c r="CR226" s="13">
        <v>2694.9947999999999</v>
      </c>
      <c r="CS226" s="13">
        <v>28.9284</v>
      </c>
      <c r="CT226" s="13">
        <v>2666.0664000000002</v>
      </c>
      <c r="CU226" s="13">
        <f t="shared" si="28"/>
        <v>0</v>
      </c>
      <c r="CV226" s="13">
        <f t="shared" si="28"/>
        <v>0</v>
      </c>
      <c r="CW226" s="13">
        <f t="shared" si="28"/>
        <v>0</v>
      </c>
      <c r="CX226" s="13">
        <f t="shared" si="24"/>
        <v>29306.864300000001</v>
      </c>
      <c r="CY226" s="13">
        <f t="shared" si="24"/>
        <v>189.9632</v>
      </c>
      <c r="CZ226" s="13">
        <f t="shared" si="24"/>
        <v>29116.901099999995</v>
      </c>
      <c r="DA226" s="13">
        <f t="shared" si="29"/>
        <v>0</v>
      </c>
      <c r="DB226" s="13">
        <f t="shared" si="29"/>
        <v>0</v>
      </c>
      <c r="DC226" s="13">
        <f t="shared" si="29"/>
        <v>0</v>
      </c>
      <c r="DD226" s="13">
        <f t="shared" si="25"/>
        <v>8043.1337000000003</v>
      </c>
      <c r="DE226" s="13">
        <f t="shared" si="25"/>
        <v>143.67770000000002</v>
      </c>
      <c r="DF226" s="13">
        <f t="shared" si="25"/>
        <v>7899.4560000000001</v>
      </c>
      <c r="DG226" s="13">
        <f t="shared" si="30"/>
        <v>0</v>
      </c>
      <c r="DH226" s="13">
        <f t="shared" si="30"/>
        <v>0</v>
      </c>
      <c r="DI226" s="13">
        <f t="shared" si="30"/>
        <v>0</v>
      </c>
      <c r="DJ226" s="13">
        <f t="shared" si="26"/>
        <v>7257.6252000000004</v>
      </c>
      <c r="DK226" s="13">
        <f t="shared" si="26"/>
        <v>0</v>
      </c>
      <c r="DL226" s="13">
        <f t="shared" si="26"/>
        <v>7257.6252000000004</v>
      </c>
      <c r="DM226" s="13">
        <f t="shared" si="31"/>
        <v>0</v>
      </c>
      <c r="DN226" s="13">
        <f t="shared" si="31"/>
        <v>0</v>
      </c>
      <c r="DO226" s="13">
        <f t="shared" si="31"/>
        <v>0</v>
      </c>
      <c r="DP226" s="13">
        <f t="shared" si="27"/>
        <v>5147.3742000000002</v>
      </c>
      <c r="DQ226" s="13">
        <f t="shared" si="27"/>
        <v>86.785200000000003</v>
      </c>
      <c r="DR226" s="13">
        <f t="shared" si="27"/>
        <v>5060.5889999999999</v>
      </c>
      <c r="DS226" s="14" t="s">
        <v>60</v>
      </c>
      <c r="DT226" s="14" t="s">
        <v>72</v>
      </c>
      <c r="DU226" s="14" t="s">
        <v>113</v>
      </c>
      <c r="DV226" s="14" t="s">
        <v>63</v>
      </c>
      <c r="DW226" s="14" t="s">
        <v>126</v>
      </c>
    </row>
    <row r="227" spans="2:127" x14ac:dyDescent="0.3">
      <c r="B227" s="11" t="s">
        <v>65</v>
      </c>
      <c r="C227" s="14">
        <v>5001342014</v>
      </c>
      <c r="D227" s="11" t="s">
        <v>746</v>
      </c>
      <c r="E227" s="11" t="s">
        <v>522</v>
      </c>
      <c r="F227" s="11" t="s">
        <v>747</v>
      </c>
      <c r="G227" s="11" t="s">
        <v>748</v>
      </c>
      <c r="H227" s="11" t="s">
        <v>253</v>
      </c>
      <c r="I227" s="11">
        <v>6103</v>
      </c>
      <c r="J227" s="11" t="s">
        <v>80</v>
      </c>
      <c r="K227" s="11"/>
      <c r="L227" s="11"/>
      <c r="M227" s="11"/>
      <c r="N227" s="11"/>
      <c r="O227" s="13">
        <v>165</v>
      </c>
      <c r="P227" s="13">
        <v>165</v>
      </c>
      <c r="Q227" s="13">
        <v>0</v>
      </c>
      <c r="R227" s="13">
        <v>42191.9928</v>
      </c>
      <c r="S227" s="13">
        <v>435.96210000000002</v>
      </c>
      <c r="T227" s="13">
        <v>41756.030700000003</v>
      </c>
      <c r="U227" s="13">
        <v>6</v>
      </c>
      <c r="V227" s="13">
        <v>6</v>
      </c>
      <c r="W227" s="13">
        <v>0</v>
      </c>
      <c r="X227" s="13">
        <v>3116.4101000000001</v>
      </c>
      <c r="Y227" s="13">
        <v>67.713799999999992</v>
      </c>
      <c r="Z227" s="13">
        <v>3048.6963000000001</v>
      </c>
      <c r="AA227" s="13">
        <v>0</v>
      </c>
      <c r="AB227" s="13">
        <v>0</v>
      </c>
      <c r="AC227" s="13">
        <v>0</v>
      </c>
      <c r="AD227" s="13">
        <v>3958.0204000000003</v>
      </c>
      <c r="AE227" s="13">
        <v>45.321100000000001</v>
      </c>
      <c r="AF227" s="13">
        <v>3912.6993000000002</v>
      </c>
      <c r="AG227" s="13">
        <v>31</v>
      </c>
      <c r="AH227" s="13">
        <v>31</v>
      </c>
      <c r="AI227" s="13">
        <v>0</v>
      </c>
      <c r="AJ227" s="13">
        <v>2936.9811</v>
      </c>
      <c r="AK227" s="13">
        <v>73.428300000000007</v>
      </c>
      <c r="AL227" s="13">
        <v>2863.5527999999999</v>
      </c>
      <c r="AM227" s="13">
        <v>0</v>
      </c>
      <c r="AN227" s="13">
        <v>0</v>
      </c>
      <c r="AO227" s="13">
        <v>0</v>
      </c>
      <c r="AP227" s="13">
        <v>2917.1669000000002</v>
      </c>
      <c r="AQ227" s="13">
        <v>28.9283</v>
      </c>
      <c r="AR227" s="13">
        <v>2888.2386000000001</v>
      </c>
      <c r="AS227" s="13">
        <v>8</v>
      </c>
      <c r="AT227" s="13">
        <v>8</v>
      </c>
      <c r="AU227" s="13">
        <v>0</v>
      </c>
      <c r="AV227" s="13">
        <v>3480.5974999999999</v>
      </c>
      <c r="AW227" s="13">
        <v>36.928399999999996</v>
      </c>
      <c r="AX227" s="13">
        <v>3443.6691000000001</v>
      </c>
      <c r="AY227" s="13">
        <v>16</v>
      </c>
      <c r="AZ227" s="13">
        <v>16</v>
      </c>
      <c r="BA227" s="13">
        <v>0</v>
      </c>
      <c r="BB227" s="13">
        <v>3052.3534</v>
      </c>
      <c r="BC227" s="13">
        <v>16</v>
      </c>
      <c r="BD227" s="13">
        <v>3036.3534</v>
      </c>
      <c r="BE227" s="13">
        <v>16</v>
      </c>
      <c r="BF227" s="13">
        <v>16</v>
      </c>
      <c r="BG227" s="13">
        <v>0</v>
      </c>
      <c r="BH227" s="13">
        <v>2788.5237999999999</v>
      </c>
      <c r="BI227" s="13">
        <v>23.714199999999998</v>
      </c>
      <c r="BJ227" s="13">
        <v>2764.8096</v>
      </c>
      <c r="BK227" s="13">
        <v>16</v>
      </c>
      <c r="BL227" s="13">
        <v>16</v>
      </c>
      <c r="BM227" s="13">
        <v>0</v>
      </c>
      <c r="BN227" s="13">
        <v>3603.1551999999997</v>
      </c>
      <c r="BO227" s="13">
        <v>23.714199999999998</v>
      </c>
      <c r="BP227" s="13">
        <v>3579.4409999999998</v>
      </c>
      <c r="BQ227" s="13">
        <v>16</v>
      </c>
      <c r="BR227" s="13">
        <v>16</v>
      </c>
      <c r="BS227" s="13">
        <v>0</v>
      </c>
      <c r="BT227" s="13">
        <v>3089.3820999999998</v>
      </c>
      <c r="BU227" s="13">
        <v>16</v>
      </c>
      <c r="BV227" s="13">
        <v>3073.3820999999998</v>
      </c>
      <c r="BW227" s="13">
        <v>8</v>
      </c>
      <c r="BX227" s="13">
        <v>8</v>
      </c>
      <c r="BY227" s="13">
        <v>0</v>
      </c>
      <c r="BZ227" s="13">
        <v>3105.2963</v>
      </c>
      <c r="CA227" s="13">
        <v>19.571300000000001</v>
      </c>
      <c r="CB227" s="13">
        <v>3085.7249999999999</v>
      </c>
      <c r="CC227" s="13">
        <v>16</v>
      </c>
      <c r="CD227" s="13">
        <v>16</v>
      </c>
      <c r="CE227" s="13">
        <v>0</v>
      </c>
      <c r="CF227" s="13">
        <v>3425.7258999999999</v>
      </c>
      <c r="CG227" s="13">
        <v>31.4284</v>
      </c>
      <c r="CH227" s="13">
        <v>3394.2975000000001</v>
      </c>
      <c r="CI227" s="13">
        <v>16</v>
      </c>
      <c r="CJ227" s="13">
        <v>16</v>
      </c>
      <c r="CK227" s="13">
        <v>0</v>
      </c>
      <c r="CL227" s="13">
        <v>3319.2684999999997</v>
      </c>
      <c r="CM227" s="13">
        <v>23.714199999999998</v>
      </c>
      <c r="CN227" s="13">
        <v>3295.5542999999998</v>
      </c>
      <c r="CO227" s="13">
        <v>16</v>
      </c>
      <c r="CP227" s="13">
        <v>16</v>
      </c>
      <c r="CQ227" s="13">
        <v>0</v>
      </c>
      <c r="CR227" s="13">
        <v>3399.1115999999997</v>
      </c>
      <c r="CS227" s="13">
        <v>29.4999</v>
      </c>
      <c r="CT227" s="13">
        <v>3369.6116999999999</v>
      </c>
      <c r="CU227" s="13">
        <f t="shared" si="28"/>
        <v>159</v>
      </c>
      <c r="CV227" s="13">
        <f t="shared" si="28"/>
        <v>159</v>
      </c>
      <c r="CW227" s="13">
        <f t="shared" si="28"/>
        <v>0</v>
      </c>
      <c r="CX227" s="13">
        <f t="shared" si="24"/>
        <v>39075.582699999999</v>
      </c>
      <c r="CY227" s="13">
        <f t="shared" si="24"/>
        <v>368.24830000000009</v>
      </c>
      <c r="CZ227" s="13">
        <f t="shared" si="24"/>
        <v>38707.3344</v>
      </c>
      <c r="DA227" s="13">
        <f t="shared" si="29"/>
        <v>48</v>
      </c>
      <c r="DB227" s="13">
        <f t="shared" si="29"/>
        <v>48</v>
      </c>
      <c r="DC227" s="13">
        <f t="shared" si="29"/>
        <v>0</v>
      </c>
      <c r="DD227" s="13">
        <f t="shared" si="25"/>
        <v>10144.106</v>
      </c>
      <c r="DE227" s="13">
        <f t="shared" si="25"/>
        <v>84.642499999999998</v>
      </c>
      <c r="DF227" s="13">
        <f t="shared" si="25"/>
        <v>10059.4635</v>
      </c>
      <c r="DG227" s="13">
        <f t="shared" si="30"/>
        <v>40</v>
      </c>
      <c r="DH227" s="13">
        <f t="shared" si="30"/>
        <v>40</v>
      </c>
      <c r="DI227" s="13">
        <f t="shared" si="30"/>
        <v>0</v>
      </c>
      <c r="DJ227" s="13">
        <f t="shared" si="26"/>
        <v>9797.8335999999999</v>
      </c>
      <c r="DK227" s="13">
        <f t="shared" si="26"/>
        <v>59.285499999999999</v>
      </c>
      <c r="DL227" s="13">
        <f t="shared" si="26"/>
        <v>9738.5481</v>
      </c>
      <c r="DM227" s="13">
        <f t="shared" si="31"/>
        <v>32</v>
      </c>
      <c r="DN227" s="13">
        <f t="shared" si="31"/>
        <v>32</v>
      </c>
      <c r="DO227" s="13">
        <f t="shared" si="31"/>
        <v>0</v>
      </c>
      <c r="DP227" s="13">
        <f t="shared" si="27"/>
        <v>6718.3800999999994</v>
      </c>
      <c r="DQ227" s="13">
        <f t="shared" si="27"/>
        <v>53.214100000000002</v>
      </c>
      <c r="DR227" s="13">
        <f t="shared" si="27"/>
        <v>6665.1659999999993</v>
      </c>
      <c r="DS227" s="14" t="s">
        <v>71</v>
      </c>
      <c r="DT227" s="14" t="s">
        <v>72</v>
      </c>
      <c r="DU227" s="14" t="s">
        <v>73</v>
      </c>
      <c r="DV227" s="14" t="s">
        <v>82</v>
      </c>
      <c r="DW227" s="14" t="s">
        <v>64</v>
      </c>
    </row>
    <row r="228" spans="2:127" x14ac:dyDescent="0.3">
      <c r="B228" s="11" t="s">
        <v>75</v>
      </c>
      <c r="C228" s="14">
        <v>5001342054</v>
      </c>
      <c r="D228" s="11" t="s">
        <v>749</v>
      </c>
      <c r="E228" s="11" t="s">
        <v>522</v>
      </c>
      <c r="F228" s="11" t="s">
        <v>750</v>
      </c>
      <c r="G228" s="11" t="s">
        <v>215</v>
      </c>
      <c r="H228" s="11" t="s">
        <v>216</v>
      </c>
      <c r="I228" s="11">
        <v>45229</v>
      </c>
      <c r="J228" s="11" t="s">
        <v>80</v>
      </c>
      <c r="K228" s="11"/>
      <c r="L228" s="11"/>
      <c r="M228" s="11"/>
      <c r="N228" s="11"/>
      <c r="O228" s="13">
        <v>240</v>
      </c>
      <c r="P228" s="13">
        <v>240</v>
      </c>
      <c r="Q228" s="13">
        <v>0</v>
      </c>
      <c r="R228" s="13">
        <v>16666.084200000001</v>
      </c>
      <c r="S228" s="13">
        <v>336.42750000000001</v>
      </c>
      <c r="T228" s="13">
        <v>16329.6567</v>
      </c>
      <c r="U228" s="13">
        <v>28</v>
      </c>
      <c r="V228" s="13">
        <v>28</v>
      </c>
      <c r="W228" s="13">
        <v>0</v>
      </c>
      <c r="X228" s="13">
        <v>969.14589999999998</v>
      </c>
      <c r="Y228" s="13">
        <v>43.428399999999996</v>
      </c>
      <c r="Z228" s="13">
        <v>925.71749999999997</v>
      </c>
      <c r="AA228" s="13">
        <v>44</v>
      </c>
      <c r="AB228" s="13">
        <v>44</v>
      </c>
      <c r="AC228" s="13">
        <v>0</v>
      </c>
      <c r="AD228" s="13">
        <v>1263.6323</v>
      </c>
      <c r="AE228" s="13">
        <v>78.713899999999995</v>
      </c>
      <c r="AF228" s="13">
        <v>1184.9184</v>
      </c>
      <c r="AG228" s="13">
        <v>81</v>
      </c>
      <c r="AH228" s="13">
        <v>81</v>
      </c>
      <c r="AI228" s="13">
        <v>0</v>
      </c>
      <c r="AJ228" s="13">
        <v>1253.5754999999999</v>
      </c>
      <c r="AK228" s="13">
        <v>81</v>
      </c>
      <c r="AL228" s="13">
        <v>1172.5754999999999</v>
      </c>
      <c r="AM228" s="13">
        <v>26</v>
      </c>
      <c r="AN228" s="13">
        <v>26</v>
      </c>
      <c r="AO228" s="13">
        <v>0</v>
      </c>
      <c r="AP228" s="13">
        <v>991.83169999999996</v>
      </c>
      <c r="AQ228" s="13">
        <v>41.428399999999996</v>
      </c>
      <c r="AR228" s="13">
        <v>950.40329999999994</v>
      </c>
      <c r="AS228" s="13">
        <v>6</v>
      </c>
      <c r="AT228" s="13">
        <v>6</v>
      </c>
      <c r="AU228" s="13">
        <v>0</v>
      </c>
      <c r="AV228" s="13">
        <v>1394.5758000000001</v>
      </c>
      <c r="AW228" s="13">
        <v>36.8568</v>
      </c>
      <c r="AX228" s="13">
        <v>1357.7190000000001</v>
      </c>
      <c r="AY228" s="13">
        <v>0</v>
      </c>
      <c r="AZ228" s="13">
        <v>0</v>
      </c>
      <c r="BA228" s="13">
        <v>0</v>
      </c>
      <c r="BB228" s="13">
        <v>1357.7190000000001</v>
      </c>
      <c r="BC228" s="13">
        <v>0</v>
      </c>
      <c r="BD228" s="13">
        <v>1357.7190000000001</v>
      </c>
      <c r="BE228" s="13">
        <v>16</v>
      </c>
      <c r="BF228" s="13">
        <v>16</v>
      </c>
      <c r="BG228" s="13">
        <v>0</v>
      </c>
      <c r="BH228" s="13">
        <v>818.2885</v>
      </c>
      <c r="BI228" s="13">
        <v>16</v>
      </c>
      <c r="BJ228" s="13">
        <v>802.2885</v>
      </c>
      <c r="BK228" s="13">
        <v>7</v>
      </c>
      <c r="BL228" s="13">
        <v>7</v>
      </c>
      <c r="BM228" s="13">
        <v>0</v>
      </c>
      <c r="BN228" s="13">
        <v>1549.8625</v>
      </c>
      <c r="BO228" s="13">
        <v>7</v>
      </c>
      <c r="BP228" s="13">
        <v>1542.8625</v>
      </c>
      <c r="BQ228" s="13">
        <v>3</v>
      </c>
      <c r="BR228" s="13">
        <v>3</v>
      </c>
      <c r="BS228" s="13">
        <v>0</v>
      </c>
      <c r="BT228" s="13">
        <v>1447.1193000000001</v>
      </c>
      <c r="BU228" s="13">
        <v>3</v>
      </c>
      <c r="BV228" s="13">
        <v>1444.1193000000001</v>
      </c>
      <c r="BW228" s="13">
        <v>8</v>
      </c>
      <c r="BX228" s="13">
        <v>8</v>
      </c>
      <c r="BY228" s="13">
        <v>0</v>
      </c>
      <c r="BZ228" s="13">
        <v>1229.9471000000001</v>
      </c>
      <c r="CA228" s="13">
        <v>8</v>
      </c>
      <c r="CB228" s="13">
        <v>1221.9471000000001</v>
      </c>
      <c r="CC228" s="13">
        <v>8</v>
      </c>
      <c r="CD228" s="13">
        <v>8</v>
      </c>
      <c r="CE228" s="13">
        <v>0</v>
      </c>
      <c r="CF228" s="13">
        <v>1452.1193000000001</v>
      </c>
      <c r="CG228" s="13">
        <v>8</v>
      </c>
      <c r="CH228" s="13">
        <v>1444.1193000000001</v>
      </c>
      <c r="CI228" s="13">
        <v>8</v>
      </c>
      <c r="CJ228" s="13">
        <v>8</v>
      </c>
      <c r="CK228" s="13">
        <v>0</v>
      </c>
      <c r="CL228" s="13">
        <v>1402.7476999999999</v>
      </c>
      <c r="CM228" s="13">
        <v>8</v>
      </c>
      <c r="CN228" s="13">
        <v>1394.7476999999999</v>
      </c>
      <c r="CO228" s="13">
        <v>5</v>
      </c>
      <c r="CP228" s="13">
        <v>5</v>
      </c>
      <c r="CQ228" s="13">
        <v>0</v>
      </c>
      <c r="CR228" s="13">
        <v>1535.5196000000001</v>
      </c>
      <c r="CS228" s="13">
        <v>5</v>
      </c>
      <c r="CT228" s="13">
        <v>1530.5196000000001</v>
      </c>
      <c r="CU228" s="13">
        <f t="shared" si="28"/>
        <v>212</v>
      </c>
      <c r="CV228" s="13">
        <f t="shared" si="28"/>
        <v>212</v>
      </c>
      <c r="CW228" s="13">
        <f t="shared" si="28"/>
        <v>0</v>
      </c>
      <c r="CX228" s="13">
        <f t="shared" si="24"/>
        <v>15696.938299999998</v>
      </c>
      <c r="CY228" s="13">
        <f t="shared" si="24"/>
        <v>292.9991</v>
      </c>
      <c r="CZ228" s="13">
        <f t="shared" si="24"/>
        <v>15403.939199999999</v>
      </c>
      <c r="DA228" s="13">
        <f t="shared" si="29"/>
        <v>21</v>
      </c>
      <c r="DB228" s="13">
        <f t="shared" si="29"/>
        <v>21</v>
      </c>
      <c r="DC228" s="13">
        <f t="shared" si="29"/>
        <v>0</v>
      </c>
      <c r="DD228" s="13">
        <f t="shared" si="25"/>
        <v>4390.3865999999998</v>
      </c>
      <c r="DE228" s="13">
        <f t="shared" si="25"/>
        <v>21</v>
      </c>
      <c r="DF228" s="13">
        <f t="shared" si="25"/>
        <v>4369.3865999999998</v>
      </c>
      <c r="DG228" s="13">
        <f t="shared" si="30"/>
        <v>18</v>
      </c>
      <c r="DH228" s="13">
        <f t="shared" si="30"/>
        <v>18</v>
      </c>
      <c r="DI228" s="13">
        <f t="shared" si="30"/>
        <v>0</v>
      </c>
      <c r="DJ228" s="13">
        <f t="shared" si="26"/>
        <v>4226.9288999999999</v>
      </c>
      <c r="DK228" s="13">
        <f t="shared" si="26"/>
        <v>18</v>
      </c>
      <c r="DL228" s="13">
        <f t="shared" si="26"/>
        <v>4208.9288999999999</v>
      </c>
      <c r="DM228" s="13">
        <f t="shared" si="31"/>
        <v>13</v>
      </c>
      <c r="DN228" s="13">
        <f t="shared" si="31"/>
        <v>13</v>
      </c>
      <c r="DO228" s="13">
        <f t="shared" si="31"/>
        <v>0</v>
      </c>
      <c r="DP228" s="13">
        <f t="shared" si="27"/>
        <v>2938.2673</v>
      </c>
      <c r="DQ228" s="13">
        <f t="shared" si="27"/>
        <v>13</v>
      </c>
      <c r="DR228" s="13">
        <f t="shared" si="27"/>
        <v>2925.2673</v>
      </c>
      <c r="DS228" s="14" t="s">
        <v>71</v>
      </c>
      <c r="DT228" s="14" t="s">
        <v>92</v>
      </c>
      <c r="DU228" s="14" t="s">
        <v>254</v>
      </c>
      <c r="DV228" s="14" t="s">
        <v>82</v>
      </c>
      <c r="DW228" s="14" t="s">
        <v>64</v>
      </c>
    </row>
    <row r="229" spans="2:127" x14ac:dyDescent="0.3">
      <c r="B229" s="11" t="s">
        <v>83</v>
      </c>
      <c r="C229" s="14">
        <v>5001342077</v>
      </c>
      <c r="D229" s="11" t="s">
        <v>751</v>
      </c>
      <c r="E229" s="11" t="s">
        <v>522</v>
      </c>
      <c r="F229" s="11" t="s">
        <v>752</v>
      </c>
      <c r="G229" s="11" t="s">
        <v>753</v>
      </c>
      <c r="H229" s="11" t="s">
        <v>296</v>
      </c>
      <c r="I229" s="11">
        <v>60523</v>
      </c>
      <c r="J229" s="11" t="s">
        <v>80</v>
      </c>
      <c r="K229" s="11"/>
      <c r="L229" s="11"/>
      <c r="M229" s="11"/>
      <c r="N229" s="11"/>
      <c r="O229" s="13">
        <v>479</v>
      </c>
      <c r="P229" s="13">
        <v>479</v>
      </c>
      <c r="Q229" s="13">
        <v>0</v>
      </c>
      <c r="R229" s="13">
        <v>77226.746599999999</v>
      </c>
      <c r="S229" s="13">
        <v>2058.4856</v>
      </c>
      <c r="T229" s="13">
        <v>75168.260999999999</v>
      </c>
      <c r="U229" s="13">
        <v>0</v>
      </c>
      <c r="V229" s="13">
        <v>0</v>
      </c>
      <c r="W229" s="13">
        <v>0</v>
      </c>
      <c r="X229" s="13">
        <v>5018.5446999999995</v>
      </c>
      <c r="Y229" s="13">
        <v>106.0705</v>
      </c>
      <c r="Z229" s="13">
        <v>4912.4741999999997</v>
      </c>
      <c r="AA229" s="13">
        <v>0</v>
      </c>
      <c r="AB229" s="13">
        <v>0</v>
      </c>
      <c r="AC229" s="13">
        <v>0</v>
      </c>
      <c r="AD229" s="13">
        <v>6131.3342000000002</v>
      </c>
      <c r="AE229" s="13">
        <v>107.999</v>
      </c>
      <c r="AF229" s="13">
        <v>6023.3352000000004</v>
      </c>
      <c r="AG229" s="13">
        <v>16</v>
      </c>
      <c r="AH229" s="13">
        <v>16</v>
      </c>
      <c r="AI229" s="13">
        <v>0</v>
      </c>
      <c r="AJ229" s="13">
        <v>5284.6817000000001</v>
      </c>
      <c r="AK229" s="13">
        <v>88.320800000000006</v>
      </c>
      <c r="AL229" s="13">
        <v>5196.3608999999997</v>
      </c>
      <c r="AM229" s="13">
        <v>32</v>
      </c>
      <c r="AN229" s="13">
        <v>32</v>
      </c>
      <c r="AO229" s="13">
        <v>0</v>
      </c>
      <c r="AP229" s="13">
        <v>5820.2397000000001</v>
      </c>
      <c r="AQ229" s="13">
        <v>179.53440000000001</v>
      </c>
      <c r="AR229" s="13">
        <v>5640.7052999999996</v>
      </c>
      <c r="AS229" s="13">
        <v>21</v>
      </c>
      <c r="AT229" s="13">
        <v>21</v>
      </c>
      <c r="AU229" s="13">
        <v>0</v>
      </c>
      <c r="AV229" s="13">
        <v>6412.3059999999996</v>
      </c>
      <c r="AW229" s="13">
        <v>179.14150000000001</v>
      </c>
      <c r="AX229" s="13">
        <v>6233.1644999999999</v>
      </c>
      <c r="AY229" s="13">
        <v>16</v>
      </c>
      <c r="AZ229" s="13">
        <v>16</v>
      </c>
      <c r="BA229" s="13">
        <v>0</v>
      </c>
      <c r="BB229" s="13">
        <v>5411.5815000000002</v>
      </c>
      <c r="BC229" s="13">
        <v>128.8203</v>
      </c>
      <c r="BD229" s="13">
        <v>5282.7611999999999</v>
      </c>
      <c r="BE229" s="13">
        <v>16</v>
      </c>
      <c r="BF229" s="13">
        <v>16</v>
      </c>
      <c r="BG229" s="13">
        <v>0</v>
      </c>
      <c r="BH229" s="13">
        <v>5809.8325999999997</v>
      </c>
      <c r="BI229" s="13">
        <v>156.78440000000001</v>
      </c>
      <c r="BJ229" s="13">
        <v>5653.0482000000002</v>
      </c>
      <c r="BK229" s="13">
        <v>72</v>
      </c>
      <c r="BL229" s="13">
        <v>72</v>
      </c>
      <c r="BM229" s="13">
        <v>0</v>
      </c>
      <c r="BN229" s="13">
        <v>7159.9094000000005</v>
      </c>
      <c r="BO229" s="13">
        <v>149.1422</v>
      </c>
      <c r="BP229" s="13">
        <v>7010.7672000000002</v>
      </c>
      <c r="BQ229" s="13">
        <v>96</v>
      </c>
      <c r="BR229" s="13">
        <v>96</v>
      </c>
      <c r="BS229" s="13">
        <v>0</v>
      </c>
      <c r="BT229" s="13">
        <v>5520.1244999999999</v>
      </c>
      <c r="BU229" s="13">
        <v>212.67750000000001</v>
      </c>
      <c r="BV229" s="13">
        <v>5307.4470000000001</v>
      </c>
      <c r="BW229" s="13">
        <v>55</v>
      </c>
      <c r="BX229" s="13">
        <v>55</v>
      </c>
      <c r="BY229" s="13">
        <v>0</v>
      </c>
      <c r="BZ229" s="13">
        <v>5572.4674999999997</v>
      </c>
      <c r="CA229" s="13">
        <v>190.9631</v>
      </c>
      <c r="CB229" s="13">
        <v>5381.5043999999998</v>
      </c>
      <c r="CC229" s="13">
        <v>47</v>
      </c>
      <c r="CD229" s="13">
        <v>47</v>
      </c>
      <c r="CE229" s="13">
        <v>0</v>
      </c>
      <c r="CF229" s="13">
        <v>6399.1558999999997</v>
      </c>
      <c r="CG229" s="13">
        <v>190.6772</v>
      </c>
      <c r="CH229" s="13">
        <v>6208.4786999999997</v>
      </c>
      <c r="CI229" s="13">
        <v>52</v>
      </c>
      <c r="CJ229" s="13">
        <v>52</v>
      </c>
      <c r="CK229" s="13">
        <v>0</v>
      </c>
      <c r="CL229" s="13">
        <v>6527.0068999999994</v>
      </c>
      <c r="CM229" s="13">
        <v>158.07049999999998</v>
      </c>
      <c r="CN229" s="13">
        <v>6368.9363999999996</v>
      </c>
      <c r="CO229" s="13">
        <v>56</v>
      </c>
      <c r="CP229" s="13">
        <v>56</v>
      </c>
      <c r="CQ229" s="13">
        <v>0</v>
      </c>
      <c r="CR229" s="13">
        <v>6159.5619999999999</v>
      </c>
      <c r="CS229" s="13">
        <v>210.2842</v>
      </c>
      <c r="CT229" s="13">
        <v>5949.2777999999998</v>
      </c>
      <c r="CU229" s="13">
        <f t="shared" si="28"/>
        <v>479</v>
      </c>
      <c r="CV229" s="13">
        <f t="shared" si="28"/>
        <v>479</v>
      </c>
      <c r="CW229" s="13">
        <f t="shared" si="28"/>
        <v>0</v>
      </c>
      <c r="CX229" s="13">
        <f t="shared" si="24"/>
        <v>72208.2019</v>
      </c>
      <c r="CY229" s="13">
        <f t="shared" si="24"/>
        <v>1952.4150999999999</v>
      </c>
      <c r="CZ229" s="13">
        <f t="shared" si="24"/>
        <v>70255.786800000002</v>
      </c>
      <c r="DA229" s="13">
        <f t="shared" si="29"/>
        <v>155</v>
      </c>
      <c r="DB229" s="13">
        <f t="shared" si="29"/>
        <v>155</v>
      </c>
      <c r="DC229" s="13">
        <f t="shared" si="29"/>
        <v>0</v>
      </c>
      <c r="DD229" s="13">
        <f t="shared" si="25"/>
        <v>19085.724799999996</v>
      </c>
      <c r="DE229" s="13">
        <f t="shared" si="25"/>
        <v>559.03189999999995</v>
      </c>
      <c r="DF229" s="13">
        <f t="shared" si="25"/>
        <v>18526.692899999998</v>
      </c>
      <c r="DG229" s="13">
        <f t="shared" si="30"/>
        <v>223</v>
      </c>
      <c r="DH229" s="13">
        <f t="shared" si="30"/>
        <v>223</v>
      </c>
      <c r="DI229" s="13">
        <f t="shared" si="30"/>
        <v>0</v>
      </c>
      <c r="DJ229" s="13">
        <f t="shared" si="26"/>
        <v>18252.501400000001</v>
      </c>
      <c r="DK229" s="13">
        <f t="shared" si="26"/>
        <v>552.78279999999995</v>
      </c>
      <c r="DL229" s="13">
        <f t="shared" si="26"/>
        <v>17699.7186</v>
      </c>
      <c r="DM229" s="13">
        <f t="shared" si="31"/>
        <v>108</v>
      </c>
      <c r="DN229" s="13">
        <f t="shared" si="31"/>
        <v>108</v>
      </c>
      <c r="DO229" s="13">
        <f t="shared" si="31"/>
        <v>0</v>
      </c>
      <c r="DP229" s="13">
        <f t="shared" si="27"/>
        <v>12686.568899999998</v>
      </c>
      <c r="DQ229" s="13">
        <f t="shared" si="27"/>
        <v>368.35469999999998</v>
      </c>
      <c r="DR229" s="13">
        <f t="shared" si="27"/>
        <v>12318.214199999999</v>
      </c>
      <c r="DS229" s="14" t="s">
        <v>71</v>
      </c>
      <c r="DT229" s="14" t="s">
        <v>81</v>
      </c>
      <c r="DU229" s="14" t="s">
        <v>73</v>
      </c>
      <c r="DV229" s="14" t="s">
        <v>82</v>
      </c>
      <c r="DW229" s="14" t="s">
        <v>74</v>
      </c>
    </row>
    <row r="230" spans="2:127" x14ac:dyDescent="0.3">
      <c r="B230" s="11" t="s">
        <v>83</v>
      </c>
      <c r="C230" s="14">
        <v>5001342081</v>
      </c>
      <c r="D230" s="11" t="s">
        <v>754</v>
      </c>
      <c r="E230" s="11" t="s">
        <v>522</v>
      </c>
      <c r="F230" s="11" t="s">
        <v>755</v>
      </c>
      <c r="G230" s="11" t="s">
        <v>325</v>
      </c>
      <c r="H230" s="11" t="s">
        <v>309</v>
      </c>
      <c r="I230" s="11">
        <v>55407</v>
      </c>
      <c r="J230" s="11" t="s">
        <v>80</v>
      </c>
      <c r="K230" s="11"/>
      <c r="L230" s="11"/>
      <c r="M230" s="11"/>
      <c r="N230" s="11"/>
      <c r="O230" s="13">
        <v>189</v>
      </c>
      <c r="P230" s="13">
        <v>189</v>
      </c>
      <c r="Q230" s="13">
        <v>0</v>
      </c>
      <c r="R230" s="13">
        <v>21191.976699999999</v>
      </c>
      <c r="S230" s="13">
        <v>1060.7067999999999</v>
      </c>
      <c r="T230" s="13">
        <v>20131.269899999999</v>
      </c>
      <c r="U230" s="13">
        <v>18</v>
      </c>
      <c r="V230" s="13">
        <v>18</v>
      </c>
      <c r="W230" s="13">
        <v>0</v>
      </c>
      <c r="X230" s="13">
        <v>1363.3761</v>
      </c>
      <c r="Y230" s="13">
        <v>18</v>
      </c>
      <c r="Z230" s="13">
        <v>1345.3761</v>
      </c>
      <c r="AA230" s="13">
        <v>27</v>
      </c>
      <c r="AB230" s="13">
        <v>27</v>
      </c>
      <c r="AC230" s="13">
        <v>0</v>
      </c>
      <c r="AD230" s="13">
        <v>1524.3480999999999</v>
      </c>
      <c r="AE230" s="13">
        <v>30.857199999999999</v>
      </c>
      <c r="AF230" s="13">
        <v>1493.4909</v>
      </c>
      <c r="AG230" s="13">
        <v>18</v>
      </c>
      <c r="AH230" s="13">
        <v>18</v>
      </c>
      <c r="AI230" s="13">
        <v>0</v>
      </c>
      <c r="AJ230" s="13">
        <v>1283.9184</v>
      </c>
      <c r="AK230" s="13">
        <v>37.285499999999999</v>
      </c>
      <c r="AL230" s="13">
        <v>1246.6329000000001</v>
      </c>
      <c r="AM230" s="13">
        <v>18</v>
      </c>
      <c r="AN230" s="13">
        <v>18</v>
      </c>
      <c r="AO230" s="13">
        <v>0</v>
      </c>
      <c r="AP230" s="13">
        <v>1459.2258999999999</v>
      </c>
      <c r="AQ230" s="13">
        <v>76.821100000000001</v>
      </c>
      <c r="AR230" s="13">
        <v>1382.4048</v>
      </c>
      <c r="AS230" s="13">
        <v>18</v>
      </c>
      <c r="AT230" s="13">
        <v>18</v>
      </c>
      <c r="AU230" s="13">
        <v>0</v>
      </c>
      <c r="AV230" s="13">
        <v>1705.6983</v>
      </c>
      <c r="AW230" s="13">
        <v>51.749699999999997</v>
      </c>
      <c r="AX230" s="13">
        <v>1653.9485999999999</v>
      </c>
      <c r="AY230" s="13">
        <v>18</v>
      </c>
      <c r="AZ230" s="13">
        <v>18</v>
      </c>
      <c r="BA230" s="13">
        <v>0</v>
      </c>
      <c r="BB230" s="13">
        <v>1387.8684000000001</v>
      </c>
      <c r="BC230" s="13">
        <v>67.178100000000001</v>
      </c>
      <c r="BD230" s="13">
        <v>1320.6903</v>
      </c>
      <c r="BE230" s="13">
        <v>9</v>
      </c>
      <c r="BF230" s="13">
        <v>9</v>
      </c>
      <c r="BG230" s="13">
        <v>0</v>
      </c>
      <c r="BH230" s="13">
        <v>2088.971</v>
      </c>
      <c r="BI230" s="13">
        <v>52.392499999999998</v>
      </c>
      <c r="BJ230" s="13">
        <v>2036.5785000000001</v>
      </c>
      <c r="BK230" s="13">
        <v>18</v>
      </c>
      <c r="BL230" s="13">
        <v>18</v>
      </c>
      <c r="BM230" s="13">
        <v>0</v>
      </c>
      <c r="BN230" s="13">
        <v>1916.491</v>
      </c>
      <c r="BO230" s="13">
        <v>114.4276</v>
      </c>
      <c r="BP230" s="13">
        <v>1802.0634</v>
      </c>
      <c r="BQ230" s="13">
        <v>9</v>
      </c>
      <c r="BR230" s="13">
        <v>9</v>
      </c>
      <c r="BS230" s="13">
        <v>0</v>
      </c>
      <c r="BT230" s="13">
        <v>1479.3473999999999</v>
      </c>
      <c r="BU230" s="13">
        <v>47.570999999999998</v>
      </c>
      <c r="BV230" s="13">
        <v>1431.7764</v>
      </c>
      <c r="BW230" s="13">
        <v>9</v>
      </c>
      <c r="BX230" s="13">
        <v>9</v>
      </c>
      <c r="BY230" s="13">
        <v>0</v>
      </c>
      <c r="BZ230" s="13">
        <v>1376.7471</v>
      </c>
      <c r="CA230" s="13">
        <v>43.713900000000002</v>
      </c>
      <c r="CB230" s="13">
        <v>1333.0332000000001</v>
      </c>
      <c r="CC230" s="13">
        <v>9</v>
      </c>
      <c r="CD230" s="13">
        <v>9</v>
      </c>
      <c r="CE230" s="13">
        <v>0</v>
      </c>
      <c r="CF230" s="13">
        <v>1825.7188000000001</v>
      </c>
      <c r="CG230" s="13">
        <v>159.4273</v>
      </c>
      <c r="CH230" s="13">
        <v>1666.2915</v>
      </c>
      <c r="CI230" s="13">
        <v>9</v>
      </c>
      <c r="CJ230" s="13">
        <v>9</v>
      </c>
      <c r="CK230" s="13">
        <v>0</v>
      </c>
      <c r="CL230" s="13">
        <v>1914.8185000000001</v>
      </c>
      <c r="CM230" s="13">
        <v>211.4983</v>
      </c>
      <c r="CN230" s="13">
        <v>1703.3202000000001</v>
      </c>
      <c r="CO230" s="13">
        <v>9</v>
      </c>
      <c r="CP230" s="13">
        <v>9</v>
      </c>
      <c r="CQ230" s="13">
        <v>0</v>
      </c>
      <c r="CR230" s="13">
        <v>1865.4476999999999</v>
      </c>
      <c r="CS230" s="13">
        <v>149.78460000000001</v>
      </c>
      <c r="CT230" s="13">
        <v>1715.6631</v>
      </c>
      <c r="CU230" s="13">
        <f t="shared" si="28"/>
        <v>171</v>
      </c>
      <c r="CV230" s="13">
        <f t="shared" si="28"/>
        <v>171</v>
      </c>
      <c r="CW230" s="13">
        <f t="shared" si="28"/>
        <v>0</v>
      </c>
      <c r="CX230" s="13">
        <f t="shared" si="24"/>
        <v>19828.600600000002</v>
      </c>
      <c r="CY230" s="13">
        <f t="shared" si="24"/>
        <v>1042.7067999999999</v>
      </c>
      <c r="CZ230" s="13">
        <f t="shared" si="24"/>
        <v>18785.893800000002</v>
      </c>
      <c r="DA230" s="13">
        <f t="shared" si="29"/>
        <v>27</v>
      </c>
      <c r="DB230" s="13">
        <f t="shared" si="29"/>
        <v>27</v>
      </c>
      <c r="DC230" s="13">
        <f t="shared" si="29"/>
        <v>0</v>
      </c>
      <c r="DD230" s="13">
        <f t="shared" si="25"/>
        <v>5605.9849999999997</v>
      </c>
      <c r="DE230" s="13">
        <f t="shared" si="25"/>
        <v>520.71019999999999</v>
      </c>
      <c r="DF230" s="13">
        <f t="shared" si="25"/>
        <v>5085.2748000000001</v>
      </c>
      <c r="DG230" s="13">
        <f t="shared" si="30"/>
        <v>36</v>
      </c>
      <c r="DH230" s="13">
        <f t="shared" si="30"/>
        <v>36</v>
      </c>
      <c r="DI230" s="13">
        <f t="shared" si="30"/>
        <v>0</v>
      </c>
      <c r="DJ230" s="13">
        <f t="shared" si="26"/>
        <v>4772.5854999999992</v>
      </c>
      <c r="DK230" s="13">
        <f t="shared" si="26"/>
        <v>205.71250000000001</v>
      </c>
      <c r="DL230" s="13">
        <f t="shared" si="26"/>
        <v>4566.8729999999996</v>
      </c>
      <c r="DM230" s="13">
        <f t="shared" si="31"/>
        <v>18</v>
      </c>
      <c r="DN230" s="13">
        <f t="shared" si="31"/>
        <v>18</v>
      </c>
      <c r="DO230" s="13">
        <f t="shared" si="31"/>
        <v>0</v>
      </c>
      <c r="DP230" s="13">
        <f t="shared" si="27"/>
        <v>3780.2662</v>
      </c>
      <c r="DQ230" s="13">
        <f t="shared" si="27"/>
        <v>361.28290000000004</v>
      </c>
      <c r="DR230" s="13">
        <f t="shared" si="27"/>
        <v>3418.9832999999999</v>
      </c>
      <c r="DS230" s="14" t="s">
        <v>60</v>
      </c>
      <c r="DT230" s="14" t="s">
        <v>81</v>
      </c>
      <c r="DU230" s="14" t="s">
        <v>73</v>
      </c>
      <c r="DV230" s="14" t="s">
        <v>82</v>
      </c>
      <c r="DW230" s="14" t="s">
        <v>74</v>
      </c>
    </row>
    <row r="231" spans="2:127" x14ac:dyDescent="0.3">
      <c r="B231" s="11" t="s">
        <v>75</v>
      </c>
      <c r="C231" s="14">
        <v>5001342082</v>
      </c>
      <c r="D231" s="11" t="s">
        <v>756</v>
      </c>
      <c r="E231" s="11" t="s">
        <v>522</v>
      </c>
      <c r="F231" s="11" t="s">
        <v>757</v>
      </c>
      <c r="G231" s="11" t="s">
        <v>78</v>
      </c>
      <c r="H231" s="11" t="s">
        <v>79</v>
      </c>
      <c r="I231" s="11">
        <v>70121</v>
      </c>
      <c r="J231" s="11" t="s">
        <v>80</v>
      </c>
      <c r="K231" s="11"/>
      <c r="L231" s="11"/>
      <c r="M231" s="11"/>
      <c r="N231" s="11"/>
      <c r="O231" s="13">
        <v>1764</v>
      </c>
      <c r="P231" s="13">
        <v>1732</v>
      </c>
      <c r="Q231" s="13">
        <v>32</v>
      </c>
      <c r="R231" s="13">
        <v>68189.429900000003</v>
      </c>
      <c r="S231" s="13">
        <v>2456.1732000000002</v>
      </c>
      <c r="T231" s="13">
        <v>65733.256699999998</v>
      </c>
      <c r="U231" s="13">
        <v>180</v>
      </c>
      <c r="V231" s="13">
        <v>180</v>
      </c>
      <c r="W231" s="13">
        <v>0</v>
      </c>
      <c r="X231" s="13">
        <v>4155.1844999999994</v>
      </c>
      <c r="Y231" s="13">
        <v>230.14230000000001</v>
      </c>
      <c r="Z231" s="13">
        <v>3925.0421999999999</v>
      </c>
      <c r="AA231" s="13">
        <v>224</v>
      </c>
      <c r="AB231" s="13">
        <v>224</v>
      </c>
      <c r="AC231" s="13">
        <v>0</v>
      </c>
      <c r="AD231" s="13">
        <v>5432.8958999999995</v>
      </c>
      <c r="AE231" s="13">
        <v>298.24950000000001</v>
      </c>
      <c r="AF231" s="13">
        <v>5134.6463999999996</v>
      </c>
      <c r="AG231" s="13">
        <v>133</v>
      </c>
      <c r="AH231" s="13">
        <v>133</v>
      </c>
      <c r="AI231" s="13">
        <v>0</v>
      </c>
      <c r="AJ231" s="13">
        <v>4544.0432000000001</v>
      </c>
      <c r="AK231" s="13">
        <v>186.99950000000001</v>
      </c>
      <c r="AL231" s="13">
        <v>4357.0437000000002</v>
      </c>
      <c r="AM231" s="13">
        <v>136</v>
      </c>
      <c r="AN231" s="13">
        <v>136</v>
      </c>
      <c r="AO231" s="13">
        <v>0</v>
      </c>
      <c r="AP231" s="13">
        <v>4920.9938000000002</v>
      </c>
      <c r="AQ231" s="13">
        <v>243.03469999999999</v>
      </c>
      <c r="AR231" s="13">
        <v>4677.9591</v>
      </c>
      <c r="AS231" s="13">
        <v>119</v>
      </c>
      <c r="AT231" s="13">
        <v>119</v>
      </c>
      <c r="AU231" s="13">
        <v>0</v>
      </c>
      <c r="AV231" s="13">
        <v>5176.8882000000003</v>
      </c>
      <c r="AW231" s="13">
        <v>190.35660000000001</v>
      </c>
      <c r="AX231" s="13">
        <v>4986.5316000000003</v>
      </c>
      <c r="AY231" s="13">
        <v>259</v>
      </c>
      <c r="AZ231" s="13">
        <v>259</v>
      </c>
      <c r="BA231" s="13">
        <v>0</v>
      </c>
      <c r="BB231" s="13">
        <v>4478.5351000000001</v>
      </c>
      <c r="BC231" s="13">
        <v>331.32069999999999</v>
      </c>
      <c r="BD231" s="13">
        <v>4147.2143999999998</v>
      </c>
      <c r="BE231" s="13">
        <v>117</v>
      </c>
      <c r="BF231" s="13">
        <v>117</v>
      </c>
      <c r="BG231" s="13">
        <v>0</v>
      </c>
      <c r="BH231" s="13">
        <v>5046.8308999999999</v>
      </c>
      <c r="BI231" s="13">
        <v>196.0712</v>
      </c>
      <c r="BJ231" s="13">
        <v>4850.7596999999996</v>
      </c>
      <c r="BK231" s="13">
        <v>101</v>
      </c>
      <c r="BL231" s="13">
        <v>101</v>
      </c>
      <c r="BM231" s="13">
        <v>0</v>
      </c>
      <c r="BN231" s="13">
        <v>6010.549</v>
      </c>
      <c r="BO231" s="13">
        <v>110.64279999999999</v>
      </c>
      <c r="BP231" s="13">
        <v>5899.9062000000004</v>
      </c>
      <c r="BQ231" s="13">
        <v>68</v>
      </c>
      <c r="BR231" s="13">
        <v>68</v>
      </c>
      <c r="BS231" s="13">
        <v>0</v>
      </c>
      <c r="BT231" s="13">
        <v>5466.4754999999996</v>
      </c>
      <c r="BU231" s="13">
        <v>121.99979999999999</v>
      </c>
      <c r="BV231" s="13">
        <v>5344.4757</v>
      </c>
      <c r="BW231" s="13">
        <v>72</v>
      </c>
      <c r="BX231" s="13">
        <v>72</v>
      </c>
      <c r="BY231" s="13">
        <v>0</v>
      </c>
      <c r="BZ231" s="13">
        <v>5301.7251999999999</v>
      </c>
      <c r="CA231" s="13">
        <v>80.6785</v>
      </c>
      <c r="CB231" s="13">
        <v>5221.0466999999999</v>
      </c>
      <c r="CC231" s="13">
        <v>105</v>
      </c>
      <c r="CD231" s="13">
        <v>105</v>
      </c>
      <c r="CE231" s="13">
        <v>0</v>
      </c>
      <c r="CF231" s="13">
        <v>7032.4519</v>
      </c>
      <c r="CG231" s="13">
        <v>182.14240000000001</v>
      </c>
      <c r="CH231" s="13">
        <v>6850.3095000000003</v>
      </c>
      <c r="CI231" s="13">
        <v>141</v>
      </c>
      <c r="CJ231" s="13">
        <v>141</v>
      </c>
      <c r="CK231" s="13">
        <v>0</v>
      </c>
      <c r="CL231" s="13">
        <v>5493.9607999999998</v>
      </c>
      <c r="CM231" s="13">
        <v>198.85669999999999</v>
      </c>
      <c r="CN231" s="13">
        <v>5295.1040999999996</v>
      </c>
      <c r="CO231" s="13">
        <v>109</v>
      </c>
      <c r="CP231" s="13">
        <v>77</v>
      </c>
      <c r="CQ231" s="13">
        <v>32</v>
      </c>
      <c r="CR231" s="13">
        <v>5128.8959000000004</v>
      </c>
      <c r="CS231" s="13">
        <v>85.6785</v>
      </c>
      <c r="CT231" s="13">
        <v>5043.2174000000005</v>
      </c>
      <c r="CU231" s="13">
        <f t="shared" si="28"/>
        <v>1584</v>
      </c>
      <c r="CV231" s="13">
        <f t="shared" si="28"/>
        <v>1552</v>
      </c>
      <c r="CW231" s="13">
        <f t="shared" si="28"/>
        <v>32</v>
      </c>
      <c r="CX231" s="13">
        <f t="shared" si="24"/>
        <v>64034.245400000007</v>
      </c>
      <c r="CY231" s="13">
        <f t="shared" si="24"/>
        <v>2226.0309000000002</v>
      </c>
      <c r="CZ231" s="13">
        <f t="shared" si="24"/>
        <v>61808.214500000002</v>
      </c>
      <c r="DA231" s="13">
        <f t="shared" si="29"/>
        <v>355</v>
      </c>
      <c r="DB231" s="13">
        <f t="shared" si="29"/>
        <v>323</v>
      </c>
      <c r="DC231" s="13">
        <f t="shared" si="29"/>
        <v>32</v>
      </c>
      <c r="DD231" s="13">
        <f t="shared" si="25"/>
        <v>17655.3086</v>
      </c>
      <c r="DE231" s="13">
        <f t="shared" si="25"/>
        <v>466.67759999999998</v>
      </c>
      <c r="DF231" s="13">
        <f t="shared" si="25"/>
        <v>17188.631000000001</v>
      </c>
      <c r="DG231" s="13">
        <f t="shared" si="30"/>
        <v>241</v>
      </c>
      <c r="DH231" s="13">
        <f t="shared" si="30"/>
        <v>241</v>
      </c>
      <c r="DI231" s="13">
        <f t="shared" si="30"/>
        <v>0</v>
      </c>
      <c r="DJ231" s="13">
        <f t="shared" si="26"/>
        <v>16778.7497</v>
      </c>
      <c r="DK231" s="13">
        <f t="shared" si="26"/>
        <v>313.3211</v>
      </c>
      <c r="DL231" s="13">
        <f t="shared" si="26"/>
        <v>16465.428599999999</v>
      </c>
      <c r="DM231" s="13">
        <f t="shared" si="31"/>
        <v>250</v>
      </c>
      <c r="DN231" s="13">
        <f t="shared" si="31"/>
        <v>218</v>
      </c>
      <c r="DO231" s="13">
        <f t="shared" si="31"/>
        <v>32</v>
      </c>
      <c r="DP231" s="13">
        <f t="shared" si="27"/>
        <v>10622.8567</v>
      </c>
      <c r="DQ231" s="13">
        <f t="shared" si="27"/>
        <v>284.53519999999997</v>
      </c>
      <c r="DR231" s="13">
        <f t="shared" si="27"/>
        <v>10338.3215</v>
      </c>
      <c r="DS231" s="14" t="s">
        <v>81</v>
      </c>
      <c r="DT231" s="14" t="s">
        <v>81</v>
      </c>
      <c r="DU231" s="14" t="s">
        <v>73</v>
      </c>
      <c r="DV231" s="14" t="s">
        <v>82</v>
      </c>
      <c r="DW231" s="14" t="s">
        <v>64</v>
      </c>
    </row>
    <row r="232" spans="2:127" x14ac:dyDescent="0.3">
      <c r="B232" s="11" t="s">
        <v>83</v>
      </c>
      <c r="C232" s="14">
        <v>5001342084</v>
      </c>
      <c r="D232" s="11" t="s">
        <v>758</v>
      </c>
      <c r="E232" s="11" t="s">
        <v>522</v>
      </c>
      <c r="F232" s="11" t="s">
        <v>759</v>
      </c>
      <c r="G232" s="11" t="s">
        <v>349</v>
      </c>
      <c r="H232" s="11" t="s">
        <v>87</v>
      </c>
      <c r="I232" s="11">
        <v>63105</v>
      </c>
      <c r="J232" s="11" t="s">
        <v>80</v>
      </c>
      <c r="K232" s="11"/>
      <c r="L232" s="11"/>
      <c r="M232" s="11"/>
      <c r="N232" s="11"/>
      <c r="O232" s="13">
        <v>984</v>
      </c>
      <c r="P232" s="13">
        <v>984</v>
      </c>
      <c r="Q232" s="13">
        <v>0</v>
      </c>
      <c r="R232" s="13">
        <v>100666.3928</v>
      </c>
      <c r="S232" s="13">
        <v>3095.7683000000002</v>
      </c>
      <c r="T232" s="13">
        <v>97570.624500000005</v>
      </c>
      <c r="U232" s="13">
        <v>12</v>
      </c>
      <c r="V232" s="13">
        <v>12</v>
      </c>
      <c r="W232" s="13">
        <v>0</v>
      </c>
      <c r="X232" s="13">
        <v>6454.0281000000004</v>
      </c>
      <c r="Y232" s="13">
        <v>134.4633</v>
      </c>
      <c r="Z232" s="13">
        <v>6319.5648000000001</v>
      </c>
      <c r="AA232" s="13">
        <v>60</v>
      </c>
      <c r="AB232" s="13">
        <v>60</v>
      </c>
      <c r="AC232" s="13">
        <v>0</v>
      </c>
      <c r="AD232" s="13">
        <v>8714.6845000000012</v>
      </c>
      <c r="AE232" s="13">
        <v>272.14089999999999</v>
      </c>
      <c r="AF232" s="13">
        <v>8442.5436000000009</v>
      </c>
      <c r="AG232" s="13">
        <v>93</v>
      </c>
      <c r="AH232" s="13">
        <v>93</v>
      </c>
      <c r="AI232" s="13">
        <v>0</v>
      </c>
      <c r="AJ232" s="13">
        <v>6948.5150000000003</v>
      </c>
      <c r="AK232" s="13">
        <v>246.3203</v>
      </c>
      <c r="AL232" s="13">
        <v>6702.1947</v>
      </c>
      <c r="AM232" s="13">
        <v>92</v>
      </c>
      <c r="AN232" s="13">
        <v>92</v>
      </c>
      <c r="AO232" s="13">
        <v>0</v>
      </c>
      <c r="AP232" s="13">
        <v>6890.0414999999994</v>
      </c>
      <c r="AQ232" s="13">
        <v>397.67610000000002</v>
      </c>
      <c r="AR232" s="13">
        <v>6492.3653999999997</v>
      </c>
      <c r="AS232" s="13">
        <v>128</v>
      </c>
      <c r="AT232" s="13">
        <v>128</v>
      </c>
      <c r="AU232" s="13">
        <v>0</v>
      </c>
      <c r="AV232" s="13">
        <v>8985.5702000000001</v>
      </c>
      <c r="AW232" s="13">
        <v>444.28339999999997</v>
      </c>
      <c r="AX232" s="13">
        <v>8541.2867999999999</v>
      </c>
      <c r="AY232" s="13">
        <v>83</v>
      </c>
      <c r="AZ232" s="13">
        <v>83</v>
      </c>
      <c r="BA232" s="13">
        <v>0</v>
      </c>
      <c r="BB232" s="13">
        <v>6846.5223000000005</v>
      </c>
      <c r="BC232" s="13">
        <v>181.3563</v>
      </c>
      <c r="BD232" s="13">
        <v>6665.1660000000002</v>
      </c>
      <c r="BE232" s="13">
        <v>72</v>
      </c>
      <c r="BF232" s="13">
        <v>72</v>
      </c>
      <c r="BG232" s="13">
        <v>0</v>
      </c>
      <c r="BH232" s="13">
        <v>6616.2430000000004</v>
      </c>
      <c r="BI232" s="13">
        <v>173.2492</v>
      </c>
      <c r="BJ232" s="13">
        <v>6442.9938000000002</v>
      </c>
      <c r="BK232" s="13">
        <v>91</v>
      </c>
      <c r="BL232" s="13">
        <v>91</v>
      </c>
      <c r="BM232" s="13">
        <v>0</v>
      </c>
      <c r="BN232" s="13">
        <v>9086.8507000000009</v>
      </c>
      <c r="BO232" s="13">
        <v>261.67719999999997</v>
      </c>
      <c r="BP232" s="13">
        <v>8825.1735000000008</v>
      </c>
      <c r="BQ232" s="13">
        <v>71</v>
      </c>
      <c r="BR232" s="13">
        <v>71</v>
      </c>
      <c r="BS232" s="13">
        <v>0</v>
      </c>
      <c r="BT232" s="13">
        <v>7245.1163999999999</v>
      </c>
      <c r="BU232" s="13">
        <v>197.32049999999998</v>
      </c>
      <c r="BV232" s="13">
        <v>7047.7959000000001</v>
      </c>
      <c r="BW232" s="13">
        <v>57</v>
      </c>
      <c r="BX232" s="13">
        <v>57</v>
      </c>
      <c r="BY232" s="13">
        <v>0</v>
      </c>
      <c r="BZ232" s="13">
        <v>7529.4678000000004</v>
      </c>
      <c r="CA232" s="13">
        <v>136.07069999999999</v>
      </c>
      <c r="CB232" s="13">
        <v>7393.3971000000001</v>
      </c>
      <c r="CC232" s="13">
        <v>82</v>
      </c>
      <c r="CD232" s="13">
        <v>82</v>
      </c>
      <c r="CE232" s="13">
        <v>0</v>
      </c>
      <c r="CF232" s="13">
        <v>9982.5467000000008</v>
      </c>
      <c r="CG232" s="13">
        <v>243.99860000000001</v>
      </c>
      <c r="CH232" s="13">
        <v>9738.5481</v>
      </c>
      <c r="CI232" s="13">
        <v>53</v>
      </c>
      <c r="CJ232" s="13">
        <v>53</v>
      </c>
      <c r="CK232" s="13">
        <v>0</v>
      </c>
      <c r="CL232" s="13">
        <v>7423.8310000000001</v>
      </c>
      <c r="CM232" s="13">
        <v>190.89160000000001</v>
      </c>
      <c r="CN232" s="13">
        <v>7232.9394000000002</v>
      </c>
      <c r="CO232" s="13">
        <v>90</v>
      </c>
      <c r="CP232" s="13">
        <v>90</v>
      </c>
      <c r="CQ232" s="13">
        <v>0</v>
      </c>
      <c r="CR232" s="13">
        <v>7942.9755999999998</v>
      </c>
      <c r="CS232" s="13">
        <v>216.3202</v>
      </c>
      <c r="CT232" s="13">
        <v>7726.6553999999996</v>
      </c>
      <c r="CU232" s="13">
        <f t="shared" si="28"/>
        <v>972</v>
      </c>
      <c r="CV232" s="13">
        <f t="shared" si="28"/>
        <v>972</v>
      </c>
      <c r="CW232" s="13">
        <f t="shared" si="28"/>
        <v>0</v>
      </c>
      <c r="CX232" s="13">
        <f t="shared" si="24"/>
        <v>94212.364700000035</v>
      </c>
      <c r="CY232" s="13">
        <f t="shared" si="24"/>
        <v>2961.3049999999994</v>
      </c>
      <c r="CZ232" s="13">
        <f t="shared" si="24"/>
        <v>91251.059700000013</v>
      </c>
      <c r="DA232" s="13">
        <f t="shared" si="29"/>
        <v>225</v>
      </c>
      <c r="DB232" s="13">
        <f t="shared" si="29"/>
        <v>225</v>
      </c>
      <c r="DC232" s="13">
        <f t="shared" si="29"/>
        <v>0</v>
      </c>
      <c r="DD232" s="13">
        <f t="shared" si="25"/>
        <v>25349.353300000002</v>
      </c>
      <c r="DE232" s="13">
        <f t="shared" si="25"/>
        <v>651.21040000000005</v>
      </c>
      <c r="DF232" s="13">
        <f t="shared" si="25"/>
        <v>24698.142899999999</v>
      </c>
      <c r="DG232" s="13">
        <f t="shared" si="30"/>
        <v>219</v>
      </c>
      <c r="DH232" s="13">
        <f t="shared" si="30"/>
        <v>219</v>
      </c>
      <c r="DI232" s="13">
        <f t="shared" si="30"/>
        <v>0</v>
      </c>
      <c r="DJ232" s="13">
        <f t="shared" si="26"/>
        <v>23861.4349</v>
      </c>
      <c r="DK232" s="13">
        <f t="shared" si="26"/>
        <v>595.06839999999988</v>
      </c>
      <c r="DL232" s="13">
        <f t="shared" si="26"/>
        <v>23266.366500000004</v>
      </c>
      <c r="DM232" s="13">
        <f t="shared" si="31"/>
        <v>143</v>
      </c>
      <c r="DN232" s="13">
        <f t="shared" si="31"/>
        <v>143</v>
      </c>
      <c r="DO232" s="13">
        <f t="shared" si="31"/>
        <v>0</v>
      </c>
      <c r="DP232" s="13">
        <f t="shared" si="27"/>
        <v>15366.8066</v>
      </c>
      <c r="DQ232" s="13">
        <f t="shared" si="27"/>
        <v>407.21180000000004</v>
      </c>
      <c r="DR232" s="13">
        <f t="shared" si="27"/>
        <v>14959.594799999999</v>
      </c>
      <c r="DS232" s="14" t="s">
        <v>71</v>
      </c>
      <c r="DT232" s="14" t="s">
        <v>92</v>
      </c>
      <c r="DU232" s="14" t="s">
        <v>73</v>
      </c>
      <c r="DV232" s="14" t="s">
        <v>82</v>
      </c>
      <c r="DW232" s="14" t="s">
        <v>74</v>
      </c>
    </row>
    <row r="233" spans="2:127" x14ac:dyDescent="0.3">
      <c r="B233" s="11" t="s">
        <v>83</v>
      </c>
      <c r="C233" s="14">
        <v>5001342089</v>
      </c>
      <c r="D233" s="11" t="s">
        <v>760</v>
      </c>
      <c r="E233" s="11" t="s">
        <v>522</v>
      </c>
      <c r="F233" s="11" t="s">
        <v>761</v>
      </c>
      <c r="G233" s="11" t="s">
        <v>710</v>
      </c>
      <c r="H233" s="11" t="s">
        <v>711</v>
      </c>
      <c r="I233" s="11">
        <v>57108</v>
      </c>
      <c r="J233" s="11" t="s">
        <v>80</v>
      </c>
      <c r="K233" s="11"/>
      <c r="L233" s="11"/>
      <c r="M233" s="11"/>
      <c r="N233" s="11"/>
      <c r="O233" s="13">
        <v>0</v>
      </c>
      <c r="P233" s="13">
        <v>0</v>
      </c>
      <c r="Q233" s="13">
        <v>0</v>
      </c>
      <c r="R233" s="13">
        <v>21833.239000000001</v>
      </c>
      <c r="S233" s="13">
        <v>97.392099999999999</v>
      </c>
      <c r="T233" s="13">
        <v>21735.8469</v>
      </c>
      <c r="U233" s="13">
        <v>0</v>
      </c>
      <c r="V233" s="13">
        <v>0</v>
      </c>
      <c r="W233" s="13">
        <v>0</v>
      </c>
      <c r="X233" s="13">
        <v>1604.7696999999998</v>
      </c>
      <c r="Y233" s="13">
        <v>12.535600000000001</v>
      </c>
      <c r="Z233" s="13">
        <v>1592.2340999999999</v>
      </c>
      <c r="AA233" s="13">
        <v>0</v>
      </c>
      <c r="AB233" s="13">
        <v>0</v>
      </c>
      <c r="AC233" s="13">
        <v>0</v>
      </c>
      <c r="AD233" s="13">
        <v>2204.9431</v>
      </c>
      <c r="AE233" s="13">
        <v>20.2498</v>
      </c>
      <c r="AF233" s="13">
        <v>2184.6932999999999</v>
      </c>
      <c r="AG233" s="13">
        <v>0</v>
      </c>
      <c r="AH233" s="13">
        <v>0</v>
      </c>
      <c r="AI233" s="13">
        <v>0</v>
      </c>
      <c r="AJ233" s="13">
        <v>1614.4124999999999</v>
      </c>
      <c r="AK233" s="13">
        <v>22.1784</v>
      </c>
      <c r="AL233" s="13">
        <v>1592.2340999999999</v>
      </c>
      <c r="AM233" s="13">
        <v>0</v>
      </c>
      <c r="AN233" s="13">
        <v>0</v>
      </c>
      <c r="AO233" s="13">
        <v>0</v>
      </c>
      <c r="AP233" s="13">
        <v>1987.3996</v>
      </c>
      <c r="AQ233" s="13">
        <v>12.535600000000001</v>
      </c>
      <c r="AR233" s="13">
        <v>1974.864</v>
      </c>
      <c r="AS233" s="13">
        <v>0</v>
      </c>
      <c r="AT233" s="13">
        <v>0</v>
      </c>
      <c r="AU233" s="13">
        <v>0</v>
      </c>
      <c r="AV233" s="13">
        <v>2179.2931000000003</v>
      </c>
      <c r="AW233" s="13">
        <v>19.285599999999999</v>
      </c>
      <c r="AX233" s="13">
        <v>2160.0075000000002</v>
      </c>
      <c r="AY233" s="13">
        <v>0</v>
      </c>
      <c r="AZ233" s="13">
        <v>0</v>
      </c>
      <c r="BA233" s="13">
        <v>0</v>
      </c>
      <c r="BB233" s="13">
        <v>1652.2128</v>
      </c>
      <c r="BC233" s="13">
        <v>10.607100000000001</v>
      </c>
      <c r="BD233" s="13">
        <v>1641.6057000000001</v>
      </c>
      <c r="BE233" s="13">
        <v>0</v>
      </c>
      <c r="BF233" s="13">
        <v>0</v>
      </c>
      <c r="BG233" s="13">
        <v>0</v>
      </c>
      <c r="BH233" s="13">
        <v>1355.9831999999999</v>
      </c>
      <c r="BI233" s="13">
        <v>10.607100000000001</v>
      </c>
      <c r="BJ233" s="13">
        <v>1345.3761</v>
      </c>
      <c r="BK233" s="13">
        <v>0</v>
      </c>
      <c r="BL233" s="13">
        <v>0</v>
      </c>
      <c r="BM233" s="13">
        <v>0</v>
      </c>
      <c r="BN233" s="13">
        <v>1951.914</v>
      </c>
      <c r="BO233" s="13">
        <v>-10.607100000000001</v>
      </c>
      <c r="BP233" s="13">
        <v>1962.5210999999999</v>
      </c>
      <c r="BQ233" s="13">
        <v>0</v>
      </c>
      <c r="BR233" s="13">
        <v>0</v>
      </c>
      <c r="BS233" s="13">
        <v>0</v>
      </c>
      <c r="BT233" s="13">
        <v>1296.0045</v>
      </c>
      <c r="BU233" s="13">
        <v>0</v>
      </c>
      <c r="BV233" s="13">
        <v>1296.0045</v>
      </c>
      <c r="BW233" s="13">
        <v>0</v>
      </c>
      <c r="BX233" s="13">
        <v>0</v>
      </c>
      <c r="BY233" s="13">
        <v>0</v>
      </c>
      <c r="BZ233" s="13">
        <v>1024.4607000000001</v>
      </c>
      <c r="CA233" s="13">
        <v>0</v>
      </c>
      <c r="CB233" s="13">
        <v>1024.4607000000001</v>
      </c>
      <c r="CC233" s="13">
        <v>0</v>
      </c>
      <c r="CD233" s="13">
        <v>0</v>
      </c>
      <c r="CE233" s="13">
        <v>0</v>
      </c>
      <c r="CF233" s="13">
        <v>1900.8065999999999</v>
      </c>
      <c r="CG233" s="13">
        <v>0</v>
      </c>
      <c r="CH233" s="13">
        <v>1900.8065999999999</v>
      </c>
      <c r="CI233" s="13">
        <v>0</v>
      </c>
      <c r="CJ233" s="13">
        <v>0</v>
      </c>
      <c r="CK233" s="13">
        <v>0</v>
      </c>
      <c r="CL233" s="13">
        <v>1567.5482999999999</v>
      </c>
      <c r="CM233" s="13">
        <v>0</v>
      </c>
      <c r="CN233" s="13">
        <v>1567.5482999999999</v>
      </c>
      <c r="CO233" s="13">
        <v>0</v>
      </c>
      <c r="CP233" s="13">
        <v>0</v>
      </c>
      <c r="CQ233" s="13">
        <v>0</v>
      </c>
      <c r="CR233" s="13">
        <v>1493.4909</v>
      </c>
      <c r="CS233" s="13">
        <v>0</v>
      </c>
      <c r="CT233" s="13">
        <v>1493.4909</v>
      </c>
      <c r="CU233" s="13">
        <f t="shared" si="28"/>
        <v>0</v>
      </c>
      <c r="CV233" s="13">
        <f t="shared" si="28"/>
        <v>0</v>
      </c>
      <c r="CW233" s="13">
        <f t="shared" si="28"/>
        <v>0</v>
      </c>
      <c r="CX233" s="13">
        <f t="shared" si="24"/>
        <v>20228.469300000001</v>
      </c>
      <c r="CY233" s="13">
        <f t="shared" si="24"/>
        <v>84.856500000000011</v>
      </c>
      <c r="CZ233" s="13">
        <f t="shared" si="24"/>
        <v>20143.612799999999</v>
      </c>
      <c r="DA233" s="13">
        <f t="shared" si="29"/>
        <v>0</v>
      </c>
      <c r="DB233" s="13">
        <f t="shared" si="29"/>
        <v>0</v>
      </c>
      <c r="DC233" s="13">
        <f t="shared" si="29"/>
        <v>0</v>
      </c>
      <c r="DD233" s="13">
        <f t="shared" si="25"/>
        <v>4961.8458000000001</v>
      </c>
      <c r="DE233" s="13">
        <f t="shared" si="25"/>
        <v>0</v>
      </c>
      <c r="DF233" s="13">
        <f t="shared" si="25"/>
        <v>4961.8458000000001</v>
      </c>
      <c r="DG233" s="13">
        <f t="shared" si="30"/>
        <v>0</v>
      </c>
      <c r="DH233" s="13">
        <f t="shared" si="30"/>
        <v>0</v>
      </c>
      <c r="DI233" s="13">
        <f t="shared" si="30"/>
        <v>0</v>
      </c>
      <c r="DJ233" s="13">
        <f t="shared" si="26"/>
        <v>4272.3791999999994</v>
      </c>
      <c r="DK233" s="13">
        <f t="shared" si="26"/>
        <v>-10.607100000000001</v>
      </c>
      <c r="DL233" s="13">
        <f t="shared" si="26"/>
        <v>4282.9863000000005</v>
      </c>
      <c r="DM233" s="13">
        <f t="shared" si="31"/>
        <v>0</v>
      </c>
      <c r="DN233" s="13">
        <f t="shared" si="31"/>
        <v>0</v>
      </c>
      <c r="DO233" s="13">
        <f t="shared" si="31"/>
        <v>0</v>
      </c>
      <c r="DP233" s="13">
        <f t="shared" si="27"/>
        <v>3061.0392000000002</v>
      </c>
      <c r="DQ233" s="13">
        <f t="shared" si="27"/>
        <v>0</v>
      </c>
      <c r="DR233" s="13">
        <f t="shared" si="27"/>
        <v>3061.0392000000002</v>
      </c>
      <c r="DS233" s="14" t="s">
        <v>71</v>
      </c>
      <c r="DT233" s="14" t="s">
        <v>81</v>
      </c>
      <c r="DU233" s="14" t="s">
        <v>73</v>
      </c>
      <c r="DV233" s="14" t="s">
        <v>82</v>
      </c>
      <c r="DW233" s="14" t="s">
        <v>126</v>
      </c>
    </row>
    <row r="234" spans="2:127" x14ac:dyDescent="0.3">
      <c r="B234" s="11" t="s">
        <v>65</v>
      </c>
      <c r="C234" s="14">
        <v>5001342103</v>
      </c>
      <c r="D234" s="11" t="s">
        <v>762</v>
      </c>
      <c r="E234" s="11" t="s">
        <v>522</v>
      </c>
      <c r="F234" s="11" t="s">
        <v>763</v>
      </c>
      <c r="G234" s="11" t="s">
        <v>290</v>
      </c>
      <c r="H234" s="11" t="s">
        <v>291</v>
      </c>
      <c r="I234" s="11">
        <v>2118</v>
      </c>
      <c r="J234" s="11" t="s">
        <v>80</v>
      </c>
      <c r="K234" s="11"/>
      <c r="L234" s="11"/>
      <c r="M234" s="11"/>
      <c r="N234" s="11"/>
      <c r="O234" s="13">
        <v>0</v>
      </c>
      <c r="P234" s="13">
        <v>0</v>
      </c>
      <c r="Q234" s="13">
        <v>0</v>
      </c>
      <c r="R234" s="13">
        <v>17835.4905</v>
      </c>
      <c r="S234" s="13">
        <v>0</v>
      </c>
      <c r="T234" s="13">
        <v>17835.4905</v>
      </c>
      <c r="U234" s="13">
        <v>0</v>
      </c>
      <c r="V234" s="13">
        <v>0</v>
      </c>
      <c r="W234" s="13">
        <v>0</v>
      </c>
      <c r="X234" s="13">
        <v>1184.9184</v>
      </c>
      <c r="Y234" s="13">
        <v>0</v>
      </c>
      <c r="Z234" s="13">
        <v>1184.9184</v>
      </c>
      <c r="AA234" s="13">
        <v>0</v>
      </c>
      <c r="AB234" s="13">
        <v>0</v>
      </c>
      <c r="AC234" s="13">
        <v>0</v>
      </c>
      <c r="AD234" s="13">
        <v>1518.1767</v>
      </c>
      <c r="AE234" s="13">
        <v>0</v>
      </c>
      <c r="AF234" s="13">
        <v>1518.1767</v>
      </c>
      <c r="AG234" s="13">
        <v>0</v>
      </c>
      <c r="AH234" s="13">
        <v>0</v>
      </c>
      <c r="AI234" s="13">
        <v>0</v>
      </c>
      <c r="AJ234" s="13">
        <v>1481.1479999999999</v>
      </c>
      <c r="AK234" s="13">
        <v>0</v>
      </c>
      <c r="AL234" s="13">
        <v>1481.1479999999999</v>
      </c>
      <c r="AM234" s="13">
        <v>0</v>
      </c>
      <c r="AN234" s="13">
        <v>0</v>
      </c>
      <c r="AO234" s="13">
        <v>0</v>
      </c>
      <c r="AP234" s="13">
        <v>1308.3474000000001</v>
      </c>
      <c r="AQ234" s="13">
        <v>0</v>
      </c>
      <c r="AR234" s="13">
        <v>1308.3474000000001</v>
      </c>
      <c r="AS234" s="13">
        <v>0</v>
      </c>
      <c r="AT234" s="13">
        <v>0</v>
      </c>
      <c r="AU234" s="13">
        <v>0</v>
      </c>
      <c r="AV234" s="13">
        <v>1789.7204999999999</v>
      </c>
      <c r="AW234" s="13">
        <v>0</v>
      </c>
      <c r="AX234" s="13">
        <v>1789.7204999999999</v>
      </c>
      <c r="AY234" s="13">
        <v>0</v>
      </c>
      <c r="AZ234" s="13">
        <v>0</v>
      </c>
      <c r="BA234" s="13">
        <v>0</v>
      </c>
      <c r="BB234" s="13">
        <v>1481.1479999999999</v>
      </c>
      <c r="BC234" s="13">
        <v>0</v>
      </c>
      <c r="BD234" s="13">
        <v>1481.1479999999999</v>
      </c>
      <c r="BE234" s="13">
        <v>0</v>
      </c>
      <c r="BF234" s="13">
        <v>0</v>
      </c>
      <c r="BG234" s="13">
        <v>0</v>
      </c>
      <c r="BH234" s="13">
        <v>1098.5181</v>
      </c>
      <c r="BI234" s="13">
        <v>0</v>
      </c>
      <c r="BJ234" s="13">
        <v>1098.5181</v>
      </c>
      <c r="BK234" s="13">
        <v>0</v>
      </c>
      <c r="BL234" s="13">
        <v>0</v>
      </c>
      <c r="BM234" s="13">
        <v>0</v>
      </c>
      <c r="BN234" s="13">
        <v>1579.8912</v>
      </c>
      <c r="BO234" s="13">
        <v>0</v>
      </c>
      <c r="BP234" s="13">
        <v>1579.8912</v>
      </c>
      <c r="BQ234" s="13">
        <v>0</v>
      </c>
      <c r="BR234" s="13">
        <v>0</v>
      </c>
      <c r="BS234" s="13">
        <v>0</v>
      </c>
      <c r="BT234" s="13">
        <v>1555.2054000000001</v>
      </c>
      <c r="BU234" s="13">
        <v>0</v>
      </c>
      <c r="BV234" s="13">
        <v>1555.2054000000001</v>
      </c>
      <c r="BW234" s="13">
        <v>0</v>
      </c>
      <c r="BX234" s="13">
        <v>0</v>
      </c>
      <c r="BY234" s="13">
        <v>0</v>
      </c>
      <c r="BZ234" s="13">
        <v>1308.3474000000001</v>
      </c>
      <c r="CA234" s="13">
        <v>0</v>
      </c>
      <c r="CB234" s="13">
        <v>1308.3474000000001</v>
      </c>
      <c r="CC234" s="13">
        <v>0</v>
      </c>
      <c r="CD234" s="13">
        <v>0</v>
      </c>
      <c r="CE234" s="13">
        <v>0</v>
      </c>
      <c r="CF234" s="13">
        <v>1555.2054000000001</v>
      </c>
      <c r="CG234" s="13">
        <v>0</v>
      </c>
      <c r="CH234" s="13">
        <v>1555.2054000000001</v>
      </c>
      <c r="CI234" s="13">
        <v>0</v>
      </c>
      <c r="CJ234" s="13">
        <v>0</v>
      </c>
      <c r="CK234" s="13">
        <v>0</v>
      </c>
      <c r="CL234" s="13">
        <v>987.43200000000002</v>
      </c>
      <c r="CM234" s="13">
        <v>0</v>
      </c>
      <c r="CN234" s="13">
        <v>987.43200000000002</v>
      </c>
      <c r="CO234" s="13">
        <v>0</v>
      </c>
      <c r="CP234" s="13">
        <v>0</v>
      </c>
      <c r="CQ234" s="13">
        <v>0</v>
      </c>
      <c r="CR234" s="13">
        <v>987.43200000000002</v>
      </c>
      <c r="CS234" s="13">
        <v>0</v>
      </c>
      <c r="CT234" s="13">
        <v>987.43200000000002</v>
      </c>
      <c r="CU234" s="13">
        <f t="shared" si="28"/>
        <v>0</v>
      </c>
      <c r="CV234" s="13">
        <f t="shared" si="28"/>
        <v>0</v>
      </c>
      <c r="CW234" s="13">
        <f t="shared" si="28"/>
        <v>0</v>
      </c>
      <c r="CX234" s="13">
        <f t="shared" si="24"/>
        <v>16650.572100000001</v>
      </c>
      <c r="CY234" s="13">
        <f t="shared" si="24"/>
        <v>0</v>
      </c>
      <c r="CZ234" s="13">
        <f t="shared" si="24"/>
        <v>16650.572100000001</v>
      </c>
      <c r="DA234" s="13">
        <f t="shared" si="29"/>
        <v>0</v>
      </c>
      <c r="DB234" s="13">
        <f t="shared" si="29"/>
        <v>0</v>
      </c>
      <c r="DC234" s="13">
        <f t="shared" si="29"/>
        <v>0</v>
      </c>
      <c r="DD234" s="13">
        <f t="shared" si="25"/>
        <v>3530.0694000000003</v>
      </c>
      <c r="DE234" s="13">
        <f t="shared" si="25"/>
        <v>0</v>
      </c>
      <c r="DF234" s="13">
        <f t="shared" si="25"/>
        <v>3530.0694000000003</v>
      </c>
      <c r="DG234" s="13">
        <f t="shared" si="30"/>
        <v>0</v>
      </c>
      <c r="DH234" s="13">
        <f t="shared" si="30"/>
        <v>0</v>
      </c>
      <c r="DI234" s="13">
        <f t="shared" si="30"/>
        <v>0</v>
      </c>
      <c r="DJ234" s="13">
        <f t="shared" si="26"/>
        <v>4443.4439999999995</v>
      </c>
      <c r="DK234" s="13">
        <f t="shared" si="26"/>
        <v>0</v>
      </c>
      <c r="DL234" s="13">
        <f t="shared" si="26"/>
        <v>4443.4439999999995</v>
      </c>
      <c r="DM234" s="13">
        <f t="shared" si="31"/>
        <v>0</v>
      </c>
      <c r="DN234" s="13">
        <f t="shared" si="31"/>
        <v>0</v>
      </c>
      <c r="DO234" s="13">
        <f t="shared" si="31"/>
        <v>0</v>
      </c>
      <c r="DP234" s="13">
        <f t="shared" si="27"/>
        <v>1974.864</v>
      </c>
      <c r="DQ234" s="13">
        <f t="shared" si="27"/>
        <v>0</v>
      </c>
      <c r="DR234" s="13">
        <f t="shared" si="27"/>
        <v>1974.864</v>
      </c>
      <c r="DS234" s="14" t="s">
        <v>81</v>
      </c>
      <c r="DT234" s="14" t="s">
        <v>125</v>
      </c>
      <c r="DU234" s="14" t="s">
        <v>73</v>
      </c>
      <c r="DV234" s="14" t="s">
        <v>82</v>
      </c>
      <c r="DW234" s="14" t="s">
        <v>74</v>
      </c>
    </row>
    <row r="235" spans="2:127" x14ac:dyDescent="0.3">
      <c r="B235" s="11" t="s">
        <v>53</v>
      </c>
      <c r="C235" s="14">
        <v>5001342121</v>
      </c>
      <c r="D235" s="11" t="s">
        <v>764</v>
      </c>
      <c r="E235" s="11" t="s">
        <v>522</v>
      </c>
      <c r="F235" s="11" t="s">
        <v>765</v>
      </c>
      <c r="G235" s="11" t="s">
        <v>371</v>
      </c>
      <c r="H235" s="11" t="s">
        <v>58</v>
      </c>
      <c r="I235" s="11">
        <v>90048</v>
      </c>
      <c r="J235" s="11" t="s">
        <v>80</v>
      </c>
      <c r="K235" s="11"/>
      <c r="L235" s="11"/>
      <c r="M235" s="11"/>
      <c r="N235" s="11"/>
      <c r="O235" s="13">
        <v>9</v>
      </c>
      <c r="P235" s="13">
        <v>9</v>
      </c>
      <c r="Q235" s="13">
        <v>0</v>
      </c>
      <c r="R235" s="13">
        <v>60934.898800000003</v>
      </c>
      <c r="S235" s="13">
        <v>652.17520000000002</v>
      </c>
      <c r="T235" s="13">
        <v>60282.723599999998</v>
      </c>
      <c r="U235" s="13">
        <v>0</v>
      </c>
      <c r="V235" s="13">
        <v>0</v>
      </c>
      <c r="W235" s="13">
        <v>0</v>
      </c>
      <c r="X235" s="13">
        <v>4265.0506000000005</v>
      </c>
      <c r="Y235" s="13">
        <v>6.7500999999999998</v>
      </c>
      <c r="Z235" s="13">
        <v>4258.3005000000003</v>
      </c>
      <c r="AA235" s="13">
        <v>0</v>
      </c>
      <c r="AB235" s="13">
        <v>0</v>
      </c>
      <c r="AC235" s="13">
        <v>0</v>
      </c>
      <c r="AD235" s="13">
        <v>5110.3460999999998</v>
      </c>
      <c r="AE235" s="13">
        <v>25.071300000000001</v>
      </c>
      <c r="AF235" s="13">
        <v>5085.2748000000001</v>
      </c>
      <c r="AG235" s="13">
        <v>9</v>
      </c>
      <c r="AH235" s="13">
        <v>9</v>
      </c>
      <c r="AI235" s="13">
        <v>0</v>
      </c>
      <c r="AJ235" s="13">
        <v>4105.4925000000003</v>
      </c>
      <c r="AK235" s="13">
        <v>44.678400000000003</v>
      </c>
      <c r="AL235" s="13">
        <v>4060.8141000000001</v>
      </c>
      <c r="AM235" s="13">
        <v>0</v>
      </c>
      <c r="AN235" s="13">
        <v>0</v>
      </c>
      <c r="AO235" s="13">
        <v>0</v>
      </c>
      <c r="AP235" s="13">
        <v>3805.2770999999998</v>
      </c>
      <c r="AQ235" s="13">
        <v>53.035499999999999</v>
      </c>
      <c r="AR235" s="13">
        <v>3752.2415999999998</v>
      </c>
      <c r="AS235" s="13">
        <v>0</v>
      </c>
      <c r="AT235" s="13">
        <v>0</v>
      </c>
      <c r="AU235" s="13">
        <v>0</v>
      </c>
      <c r="AV235" s="13">
        <v>5073.8958000000002</v>
      </c>
      <c r="AW235" s="13">
        <v>62.678400000000003</v>
      </c>
      <c r="AX235" s="13">
        <v>5011.2174000000005</v>
      </c>
      <c r="AY235" s="13">
        <v>0</v>
      </c>
      <c r="AZ235" s="13">
        <v>0</v>
      </c>
      <c r="BA235" s="13">
        <v>0</v>
      </c>
      <c r="BB235" s="13">
        <v>3556.2978000000003</v>
      </c>
      <c r="BC235" s="13">
        <v>38.571300000000001</v>
      </c>
      <c r="BD235" s="13">
        <v>3517.7265000000002</v>
      </c>
      <c r="BE235" s="13">
        <v>0</v>
      </c>
      <c r="BF235" s="13">
        <v>0</v>
      </c>
      <c r="BG235" s="13">
        <v>0</v>
      </c>
      <c r="BH235" s="13">
        <v>4671.4014999999999</v>
      </c>
      <c r="BI235" s="13">
        <v>67.499799999999993</v>
      </c>
      <c r="BJ235" s="13">
        <v>4603.9017000000003</v>
      </c>
      <c r="BK235" s="13">
        <v>0</v>
      </c>
      <c r="BL235" s="13">
        <v>0</v>
      </c>
      <c r="BM235" s="13">
        <v>0</v>
      </c>
      <c r="BN235" s="13">
        <v>5530.3901999999998</v>
      </c>
      <c r="BO235" s="13">
        <v>50.142600000000002</v>
      </c>
      <c r="BP235" s="13">
        <v>5480.2475999999997</v>
      </c>
      <c r="BQ235" s="13">
        <v>0</v>
      </c>
      <c r="BR235" s="13">
        <v>0</v>
      </c>
      <c r="BS235" s="13">
        <v>0</v>
      </c>
      <c r="BT235" s="13">
        <v>4546.0437000000002</v>
      </c>
      <c r="BU235" s="13">
        <v>65.570999999999998</v>
      </c>
      <c r="BV235" s="13">
        <v>4480.4727000000003</v>
      </c>
      <c r="BW235" s="13">
        <v>0</v>
      </c>
      <c r="BX235" s="13">
        <v>0</v>
      </c>
      <c r="BY235" s="13">
        <v>0</v>
      </c>
      <c r="BZ235" s="13">
        <v>4558.0011000000004</v>
      </c>
      <c r="CA235" s="13">
        <v>40.499699999999997</v>
      </c>
      <c r="CB235" s="13">
        <v>4517.5014000000001</v>
      </c>
      <c r="CC235" s="13">
        <v>0</v>
      </c>
      <c r="CD235" s="13">
        <v>0</v>
      </c>
      <c r="CE235" s="13">
        <v>0</v>
      </c>
      <c r="CF235" s="13">
        <v>6205.3926000000001</v>
      </c>
      <c r="CG235" s="13">
        <v>46.285499999999999</v>
      </c>
      <c r="CH235" s="13">
        <v>6159.1071000000002</v>
      </c>
      <c r="CI235" s="13">
        <v>0</v>
      </c>
      <c r="CJ235" s="13">
        <v>0</v>
      </c>
      <c r="CK235" s="13">
        <v>0</v>
      </c>
      <c r="CL235" s="13">
        <v>4709.2013999999999</v>
      </c>
      <c r="CM235" s="13">
        <v>55.928100000000001</v>
      </c>
      <c r="CN235" s="13">
        <v>4653.2732999999998</v>
      </c>
      <c r="CO235" s="13">
        <v>0</v>
      </c>
      <c r="CP235" s="13">
        <v>0</v>
      </c>
      <c r="CQ235" s="13">
        <v>0</v>
      </c>
      <c r="CR235" s="13">
        <v>4798.1084000000001</v>
      </c>
      <c r="CS235" s="13">
        <v>95.463499999999996</v>
      </c>
      <c r="CT235" s="13">
        <v>4702.6449000000002</v>
      </c>
      <c r="CU235" s="13">
        <f t="shared" si="28"/>
        <v>9</v>
      </c>
      <c r="CV235" s="13">
        <f t="shared" si="28"/>
        <v>9</v>
      </c>
      <c r="CW235" s="13">
        <f t="shared" si="28"/>
        <v>0</v>
      </c>
      <c r="CX235" s="13">
        <f t="shared" si="24"/>
        <v>56669.8482</v>
      </c>
      <c r="CY235" s="13">
        <f t="shared" si="24"/>
        <v>645.42510000000004</v>
      </c>
      <c r="CZ235" s="13">
        <f t="shared" si="24"/>
        <v>56024.423100000007</v>
      </c>
      <c r="DA235" s="13">
        <f t="shared" si="29"/>
        <v>0</v>
      </c>
      <c r="DB235" s="13">
        <f t="shared" si="29"/>
        <v>0</v>
      </c>
      <c r="DC235" s="13">
        <f t="shared" si="29"/>
        <v>0</v>
      </c>
      <c r="DD235" s="13">
        <f t="shared" si="25"/>
        <v>15712.702400000002</v>
      </c>
      <c r="DE235" s="13">
        <f t="shared" si="25"/>
        <v>197.6771</v>
      </c>
      <c r="DF235" s="13">
        <f t="shared" si="25"/>
        <v>15515.025300000001</v>
      </c>
      <c r="DG235" s="13">
        <f t="shared" si="30"/>
        <v>0</v>
      </c>
      <c r="DH235" s="13">
        <f t="shared" si="30"/>
        <v>0</v>
      </c>
      <c r="DI235" s="13">
        <f t="shared" si="30"/>
        <v>0</v>
      </c>
      <c r="DJ235" s="13">
        <f t="shared" si="26"/>
        <v>14634.435000000001</v>
      </c>
      <c r="DK235" s="13">
        <f t="shared" si="26"/>
        <v>156.2133</v>
      </c>
      <c r="DL235" s="13">
        <f t="shared" si="26"/>
        <v>14478.221700000002</v>
      </c>
      <c r="DM235" s="13">
        <f t="shared" si="31"/>
        <v>0</v>
      </c>
      <c r="DN235" s="13">
        <f t="shared" si="31"/>
        <v>0</v>
      </c>
      <c r="DO235" s="13">
        <f t="shared" si="31"/>
        <v>0</v>
      </c>
      <c r="DP235" s="13">
        <f t="shared" si="27"/>
        <v>9507.3097999999991</v>
      </c>
      <c r="DQ235" s="13">
        <f t="shared" si="27"/>
        <v>151.39159999999998</v>
      </c>
      <c r="DR235" s="13">
        <f t="shared" si="27"/>
        <v>9355.9182000000001</v>
      </c>
      <c r="DS235" s="14" t="s">
        <v>60</v>
      </c>
      <c r="DT235" s="14" t="s">
        <v>92</v>
      </c>
      <c r="DU235" s="14" t="s">
        <v>73</v>
      </c>
      <c r="DV235" s="14" t="s">
        <v>82</v>
      </c>
      <c r="DW235" s="14" t="s">
        <v>126</v>
      </c>
    </row>
    <row r="236" spans="2:127" x14ac:dyDescent="0.3">
      <c r="B236" s="11" t="s">
        <v>83</v>
      </c>
      <c r="C236" s="14">
        <v>5001342122</v>
      </c>
      <c r="D236" s="11" t="s">
        <v>766</v>
      </c>
      <c r="E236" s="11" t="s">
        <v>522</v>
      </c>
      <c r="F236" s="11" t="s">
        <v>767</v>
      </c>
      <c r="G236" s="11" t="s">
        <v>768</v>
      </c>
      <c r="H236" s="11" t="s">
        <v>309</v>
      </c>
      <c r="I236" s="11">
        <v>56303</v>
      </c>
      <c r="J236" s="11" t="s">
        <v>109</v>
      </c>
      <c r="K236" s="11"/>
      <c r="L236" s="11"/>
      <c r="M236" s="11"/>
      <c r="N236" s="11"/>
      <c r="O236" s="13">
        <v>77</v>
      </c>
      <c r="P236" s="13">
        <v>77</v>
      </c>
      <c r="Q236" s="13">
        <v>0</v>
      </c>
      <c r="R236" s="13">
        <v>17898.2176</v>
      </c>
      <c r="S236" s="13">
        <v>198.499</v>
      </c>
      <c r="T236" s="13">
        <v>17699.7186</v>
      </c>
      <c r="U236" s="13">
        <v>0</v>
      </c>
      <c r="V236" s="13">
        <v>0</v>
      </c>
      <c r="W236" s="13">
        <v>0</v>
      </c>
      <c r="X236" s="13">
        <v>860.33860000000004</v>
      </c>
      <c r="Y236" s="13">
        <v>8.6784999999999997</v>
      </c>
      <c r="Z236" s="13">
        <v>851.66010000000006</v>
      </c>
      <c r="AA236" s="13">
        <v>0</v>
      </c>
      <c r="AB236" s="13">
        <v>0</v>
      </c>
      <c r="AC236" s="13">
        <v>0</v>
      </c>
      <c r="AD236" s="13">
        <v>1341.7117000000001</v>
      </c>
      <c r="AE236" s="13">
        <v>8.6784999999999997</v>
      </c>
      <c r="AF236" s="13">
        <v>1333.0332000000001</v>
      </c>
      <c r="AG236" s="13">
        <v>0</v>
      </c>
      <c r="AH236" s="13">
        <v>0</v>
      </c>
      <c r="AI236" s="13">
        <v>0</v>
      </c>
      <c r="AJ236" s="13">
        <v>1366.3975</v>
      </c>
      <c r="AK236" s="13">
        <v>8.6784999999999997</v>
      </c>
      <c r="AL236" s="13">
        <v>1357.7190000000001</v>
      </c>
      <c r="AM236" s="13">
        <v>22</v>
      </c>
      <c r="AN236" s="13">
        <v>22</v>
      </c>
      <c r="AO236" s="13">
        <v>0</v>
      </c>
      <c r="AP236" s="13">
        <v>1388.3975</v>
      </c>
      <c r="AQ236" s="13">
        <v>30.6785</v>
      </c>
      <c r="AR236" s="13">
        <v>1357.7190000000001</v>
      </c>
      <c r="AS236" s="13">
        <v>22</v>
      </c>
      <c r="AT236" s="13">
        <v>22</v>
      </c>
      <c r="AU236" s="13">
        <v>0</v>
      </c>
      <c r="AV236" s="13">
        <v>1943.828</v>
      </c>
      <c r="AW236" s="13">
        <v>30.6785</v>
      </c>
      <c r="AX236" s="13">
        <v>1913.1495</v>
      </c>
      <c r="AY236" s="13">
        <v>33</v>
      </c>
      <c r="AZ236" s="13">
        <v>33</v>
      </c>
      <c r="BA236" s="13">
        <v>0</v>
      </c>
      <c r="BB236" s="13">
        <v>1226.5969</v>
      </c>
      <c r="BC236" s="13">
        <v>41.6785</v>
      </c>
      <c r="BD236" s="13">
        <v>1184.9184</v>
      </c>
      <c r="BE236" s="13">
        <v>0</v>
      </c>
      <c r="BF236" s="13">
        <v>0</v>
      </c>
      <c r="BG236" s="13">
        <v>0</v>
      </c>
      <c r="BH236" s="13">
        <v>1070.1678999999999</v>
      </c>
      <c r="BI236" s="13">
        <v>8.6784999999999997</v>
      </c>
      <c r="BJ236" s="13">
        <v>1061.4893999999999</v>
      </c>
      <c r="BK236" s="13">
        <v>0</v>
      </c>
      <c r="BL236" s="13">
        <v>0</v>
      </c>
      <c r="BM236" s="13">
        <v>0</v>
      </c>
      <c r="BN236" s="13">
        <v>1588.5697</v>
      </c>
      <c r="BO236" s="13">
        <v>8.6784999999999997</v>
      </c>
      <c r="BP236" s="13">
        <v>1579.8912</v>
      </c>
      <c r="BQ236" s="13">
        <v>0</v>
      </c>
      <c r="BR236" s="13">
        <v>0</v>
      </c>
      <c r="BS236" s="13">
        <v>0</v>
      </c>
      <c r="BT236" s="13">
        <v>1436.7905000000001</v>
      </c>
      <c r="BU236" s="13">
        <v>17.356999999999999</v>
      </c>
      <c r="BV236" s="13">
        <v>1419.4335000000001</v>
      </c>
      <c r="BW236" s="13">
        <v>0</v>
      </c>
      <c r="BX236" s="13">
        <v>0</v>
      </c>
      <c r="BY236" s="13">
        <v>0</v>
      </c>
      <c r="BZ236" s="13">
        <v>1329.3688</v>
      </c>
      <c r="CA236" s="13">
        <v>8.6784999999999997</v>
      </c>
      <c r="CB236" s="13">
        <v>1320.6903</v>
      </c>
      <c r="CC236" s="13">
        <v>0</v>
      </c>
      <c r="CD236" s="13">
        <v>0</v>
      </c>
      <c r="CE236" s="13">
        <v>0</v>
      </c>
      <c r="CF236" s="13">
        <v>1724.3416</v>
      </c>
      <c r="CG236" s="13">
        <v>8.6784999999999997</v>
      </c>
      <c r="CH236" s="13">
        <v>1715.6631</v>
      </c>
      <c r="CI236" s="13">
        <v>0</v>
      </c>
      <c r="CJ236" s="13">
        <v>0</v>
      </c>
      <c r="CK236" s="13">
        <v>0</v>
      </c>
      <c r="CL236" s="13">
        <v>1292.3400999999999</v>
      </c>
      <c r="CM236" s="13">
        <v>8.6784999999999997</v>
      </c>
      <c r="CN236" s="13">
        <v>1283.6615999999999</v>
      </c>
      <c r="CO236" s="13">
        <v>0</v>
      </c>
      <c r="CP236" s="13">
        <v>0</v>
      </c>
      <c r="CQ236" s="13">
        <v>0</v>
      </c>
      <c r="CR236" s="13">
        <v>1329.3688</v>
      </c>
      <c r="CS236" s="13">
        <v>8.6784999999999997</v>
      </c>
      <c r="CT236" s="13">
        <v>1320.6903</v>
      </c>
      <c r="CU236" s="13">
        <f t="shared" si="28"/>
        <v>77</v>
      </c>
      <c r="CV236" s="13">
        <f t="shared" si="28"/>
        <v>77</v>
      </c>
      <c r="CW236" s="13">
        <f t="shared" si="28"/>
        <v>0</v>
      </c>
      <c r="CX236" s="13">
        <f t="shared" si="24"/>
        <v>17037.878999999997</v>
      </c>
      <c r="CY236" s="13">
        <f t="shared" si="24"/>
        <v>189.82049999999998</v>
      </c>
      <c r="CZ236" s="13">
        <f t="shared" si="24"/>
        <v>16848.058499999999</v>
      </c>
      <c r="DA236" s="13">
        <f t="shared" si="29"/>
        <v>0</v>
      </c>
      <c r="DB236" s="13">
        <f t="shared" si="29"/>
        <v>0</v>
      </c>
      <c r="DC236" s="13">
        <f t="shared" si="29"/>
        <v>0</v>
      </c>
      <c r="DD236" s="13">
        <f t="shared" si="25"/>
        <v>4346.0505000000003</v>
      </c>
      <c r="DE236" s="13">
        <f t="shared" si="25"/>
        <v>26.035499999999999</v>
      </c>
      <c r="DF236" s="13">
        <f t="shared" si="25"/>
        <v>4320.0150000000003</v>
      </c>
      <c r="DG236" s="13">
        <f t="shared" si="30"/>
        <v>0</v>
      </c>
      <c r="DH236" s="13">
        <f t="shared" si="30"/>
        <v>0</v>
      </c>
      <c r="DI236" s="13">
        <f t="shared" si="30"/>
        <v>0</v>
      </c>
      <c r="DJ236" s="13">
        <f t="shared" si="26"/>
        <v>4354.7290000000003</v>
      </c>
      <c r="DK236" s="13">
        <f t="shared" si="26"/>
        <v>34.713999999999999</v>
      </c>
      <c r="DL236" s="13">
        <f t="shared" si="26"/>
        <v>4320.0150000000003</v>
      </c>
      <c r="DM236" s="13">
        <f t="shared" si="31"/>
        <v>0</v>
      </c>
      <c r="DN236" s="13">
        <f t="shared" si="31"/>
        <v>0</v>
      </c>
      <c r="DO236" s="13">
        <f t="shared" si="31"/>
        <v>0</v>
      </c>
      <c r="DP236" s="13">
        <f t="shared" si="27"/>
        <v>2621.7088999999996</v>
      </c>
      <c r="DQ236" s="13">
        <f t="shared" si="27"/>
        <v>17.356999999999999</v>
      </c>
      <c r="DR236" s="13">
        <f t="shared" si="27"/>
        <v>2604.3518999999997</v>
      </c>
      <c r="DS236" s="14" t="s">
        <v>60</v>
      </c>
      <c r="DT236" s="14" t="s">
        <v>81</v>
      </c>
      <c r="DU236" s="14" t="s">
        <v>73</v>
      </c>
      <c r="DV236" s="14" t="s">
        <v>82</v>
      </c>
      <c r="DW236" s="14" t="s">
        <v>74</v>
      </c>
    </row>
    <row r="237" spans="2:127" x14ac:dyDescent="0.3">
      <c r="B237" s="11" t="s">
        <v>83</v>
      </c>
      <c r="C237" s="14">
        <v>5001342131</v>
      </c>
      <c r="D237" s="11" t="s">
        <v>769</v>
      </c>
      <c r="E237" s="11" t="s">
        <v>522</v>
      </c>
      <c r="F237" s="11" t="s">
        <v>770</v>
      </c>
      <c r="G237" s="11" t="s">
        <v>771</v>
      </c>
      <c r="H237" s="11" t="s">
        <v>137</v>
      </c>
      <c r="I237" s="11">
        <v>75038</v>
      </c>
      <c r="J237" s="11" t="s">
        <v>80</v>
      </c>
      <c r="K237" s="11"/>
      <c r="L237" s="11"/>
      <c r="M237" s="11"/>
      <c r="N237" s="11"/>
      <c r="O237" s="13">
        <v>860</v>
      </c>
      <c r="P237" s="13">
        <v>860</v>
      </c>
      <c r="Q237" s="13">
        <v>0</v>
      </c>
      <c r="R237" s="13">
        <v>33752.285300000003</v>
      </c>
      <c r="S237" s="13">
        <v>883.14260000000002</v>
      </c>
      <c r="T237" s="13">
        <v>32869.142699999997</v>
      </c>
      <c r="U237" s="13">
        <v>33</v>
      </c>
      <c r="V237" s="13">
        <v>33</v>
      </c>
      <c r="W237" s="13">
        <v>0</v>
      </c>
      <c r="X237" s="13">
        <v>1998.6066000000001</v>
      </c>
      <c r="Y237" s="13">
        <v>48.428399999999996</v>
      </c>
      <c r="Z237" s="13">
        <v>1950.1782000000001</v>
      </c>
      <c r="AA237" s="13">
        <v>101</v>
      </c>
      <c r="AB237" s="13">
        <v>101</v>
      </c>
      <c r="AC237" s="13">
        <v>0</v>
      </c>
      <c r="AD237" s="13">
        <v>3893.3557999999998</v>
      </c>
      <c r="AE237" s="13">
        <v>116.4284</v>
      </c>
      <c r="AF237" s="13">
        <v>3776.9274</v>
      </c>
      <c r="AG237" s="13">
        <v>68</v>
      </c>
      <c r="AH237" s="13">
        <v>68</v>
      </c>
      <c r="AI237" s="13">
        <v>0</v>
      </c>
      <c r="AJ237" s="13">
        <v>1487.4335000000001</v>
      </c>
      <c r="AK237" s="13">
        <v>68</v>
      </c>
      <c r="AL237" s="13">
        <v>1419.4335000000001</v>
      </c>
      <c r="AM237" s="13">
        <v>51</v>
      </c>
      <c r="AN237" s="13">
        <v>51</v>
      </c>
      <c r="AO237" s="13">
        <v>0</v>
      </c>
      <c r="AP237" s="13">
        <v>1507.4621999999999</v>
      </c>
      <c r="AQ237" s="13">
        <v>51</v>
      </c>
      <c r="AR237" s="13">
        <v>1456.4621999999999</v>
      </c>
      <c r="AS237" s="13">
        <v>142</v>
      </c>
      <c r="AT237" s="13">
        <v>142</v>
      </c>
      <c r="AU237" s="13">
        <v>0</v>
      </c>
      <c r="AV237" s="13">
        <v>2425.4364999999998</v>
      </c>
      <c r="AW237" s="13">
        <v>142</v>
      </c>
      <c r="AX237" s="13">
        <v>2283.4364999999998</v>
      </c>
      <c r="AY237" s="13">
        <v>58</v>
      </c>
      <c r="AZ237" s="13">
        <v>58</v>
      </c>
      <c r="BA237" s="13">
        <v>0</v>
      </c>
      <c r="BB237" s="13">
        <v>2057.5497999999998</v>
      </c>
      <c r="BC237" s="13">
        <v>58</v>
      </c>
      <c r="BD237" s="13">
        <v>1999.5498</v>
      </c>
      <c r="BE237" s="13">
        <v>46</v>
      </c>
      <c r="BF237" s="13">
        <v>46</v>
      </c>
      <c r="BG237" s="13">
        <v>0</v>
      </c>
      <c r="BH237" s="13">
        <v>2206.7790999999997</v>
      </c>
      <c r="BI237" s="13">
        <v>34.428699999999999</v>
      </c>
      <c r="BJ237" s="13">
        <v>2172.3503999999998</v>
      </c>
      <c r="BK237" s="13">
        <v>45</v>
      </c>
      <c r="BL237" s="13">
        <v>45</v>
      </c>
      <c r="BM237" s="13">
        <v>0</v>
      </c>
      <c r="BN237" s="13">
        <v>3750.1839</v>
      </c>
      <c r="BO237" s="13">
        <v>71.999700000000004</v>
      </c>
      <c r="BP237" s="13">
        <v>3678.1842000000001</v>
      </c>
      <c r="BQ237" s="13">
        <v>30</v>
      </c>
      <c r="BR237" s="13">
        <v>30</v>
      </c>
      <c r="BS237" s="13">
        <v>0</v>
      </c>
      <c r="BT237" s="13">
        <v>2672.9238</v>
      </c>
      <c r="BU237" s="13">
        <v>6.8573999999999984</v>
      </c>
      <c r="BV237" s="13">
        <v>2666.0664000000002</v>
      </c>
      <c r="BW237" s="13">
        <v>39</v>
      </c>
      <c r="BX237" s="13">
        <v>39</v>
      </c>
      <c r="BY237" s="13">
        <v>0</v>
      </c>
      <c r="BZ237" s="13">
        <v>2482.8942000000002</v>
      </c>
      <c r="CA237" s="13">
        <v>39</v>
      </c>
      <c r="CB237" s="13">
        <v>2443.8942000000002</v>
      </c>
      <c r="CC237" s="13">
        <v>73</v>
      </c>
      <c r="CD237" s="13">
        <v>73</v>
      </c>
      <c r="CE237" s="13">
        <v>0</v>
      </c>
      <c r="CF237" s="13">
        <v>3380.8971999999999</v>
      </c>
      <c r="CG237" s="13">
        <v>73</v>
      </c>
      <c r="CH237" s="13">
        <v>3307.8971999999999</v>
      </c>
      <c r="CI237" s="13">
        <v>53</v>
      </c>
      <c r="CJ237" s="13">
        <v>53</v>
      </c>
      <c r="CK237" s="13">
        <v>0</v>
      </c>
      <c r="CL237" s="13">
        <v>2719.0664000000002</v>
      </c>
      <c r="CM237" s="13">
        <v>53</v>
      </c>
      <c r="CN237" s="13">
        <v>2666.0664000000002</v>
      </c>
      <c r="CO237" s="13">
        <v>121</v>
      </c>
      <c r="CP237" s="13">
        <v>121</v>
      </c>
      <c r="CQ237" s="13">
        <v>0</v>
      </c>
      <c r="CR237" s="13">
        <v>3169.6963000000001</v>
      </c>
      <c r="CS237" s="13">
        <v>121</v>
      </c>
      <c r="CT237" s="13">
        <v>3048.6963000000001</v>
      </c>
      <c r="CU237" s="13">
        <f t="shared" si="28"/>
        <v>827</v>
      </c>
      <c r="CV237" s="13">
        <f t="shared" si="28"/>
        <v>827</v>
      </c>
      <c r="CW237" s="13">
        <f t="shared" si="28"/>
        <v>0</v>
      </c>
      <c r="CX237" s="13">
        <f t="shared" si="24"/>
        <v>31753.678699999997</v>
      </c>
      <c r="CY237" s="13">
        <f t="shared" si="24"/>
        <v>834.71420000000001</v>
      </c>
      <c r="CZ237" s="13">
        <f t="shared" si="24"/>
        <v>30918.964499999998</v>
      </c>
      <c r="DA237" s="13">
        <f t="shared" si="29"/>
        <v>247</v>
      </c>
      <c r="DB237" s="13">
        <f t="shared" si="29"/>
        <v>247</v>
      </c>
      <c r="DC237" s="13">
        <f t="shared" si="29"/>
        <v>0</v>
      </c>
      <c r="DD237" s="13">
        <f t="shared" si="25"/>
        <v>9269.6599000000006</v>
      </c>
      <c r="DE237" s="13">
        <f t="shared" si="25"/>
        <v>247</v>
      </c>
      <c r="DF237" s="13">
        <f t="shared" si="25"/>
        <v>9022.6599000000006</v>
      </c>
      <c r="DG237" s="13">
        <f t="shared" si="30"/>
        <v>114</v>
      </c>
      <c r="DH237" s="13">
        <f t="shared" si="30"/>
        <v>114</v>
      </c>
      <c r="DI237" s="13">
        <f t="shared" si="30"/>
        <v>0</v>
      </c>
      <c r="DJ237" s="13">
        <f t="shared" si="26"/>
        <v>8906.0019000000011</v>
      </c>
      <c r="DK237" s="13">
        <f t="shared" si="26"/>
        <v>117.8571</v>
      </c>
      <c r="DL237" s="13">
        <f t="shared" si="26"/>
        <v>8788.1448</v>
      </c>
      <c r="DM237" s="13">
        <f t="shared" si="31"/>
        <v>174</v>
      </c>
      <c r="DN237" s="13">
        <f t="shared" si="31"/>
        <v>174</v>
      </c>
      <c r="DO237" s="13">
        <f t="shared" si="31"/>
        <v>0</v>
      </c>
      <c r="DP237" s="13">
        <f t="shared" si="27"/>
        <v>5888.7627000000002</v>
      </c>
      <c r="DQ237" s="13">
        <f t="shared" si="27"/>
        <v>174</v>
      </c>
      <c r="DR237" s="13">
        <f t="shared" si="27"/>
        <v>5714.7627000000002</v>
      </c>
      <c r="DS237" s="14" t="s">
        <v>60</v>
      </c>
      <c r="DT237" s="14" t="s">
        <v>81</v>
      </c>
      <c r="DU237" s="14" t="s">
        <v>73</v>
      </c>
      <c r="DV237" s="14" t="s">
        <v>82</v>
      </c>
      <c r="DW237" s="14" t="s">
        <v>74</v>
      </c>
    </row>
    <row r="238" spans="2:127" x14ac:dyDescent="0.3">
      <c r="B238" s="11" t="s">
        <v>53</v>
      </c>
      <c r="C238" s="14">
        <v>5001929003</v>
      </c>
      <c r="D238" s="11" t="s">
        <v>772</v>
      </c>
      <c r="E238" s="11" t="s">
        <v>522</v>
      </c>
      <c r="F238" s="11" t="s">
        <v>773</v>
      </c>
      <c r="G238" s="11" t="s">
        <v>680</v>
      </c>
      <c r="H238" s="11" t="s">
        <v>586</v>
      </c>
      <c r="I238" s="11">
        <v>80045</v>
      </c>
      <c r="J238" s="11" t="s">
        <v>368</v>
      </c>
      <c r="K238" s="11"/>
      <c r="L238" s="11"/>
      <c r="M238" s="11"/>
      <c r="N238" s="11"/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0</v>
      </c>
      <c r="BD238" s="13">
        <v>0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13">
        <v>0</v>
      </c>
      <c r="BL238" s="13">
        <v>0</v>
      </c>
      <c r="BM238" s="13">
        <v>0</v>
      </c>
      <c r="BN238" s="13">
        <v>0</v>
      </c>
      <c r="BO238" s="13">
        <v>0</v>
      </c>
      <c r="BP238" s="13">
        <v>0</v>
      </c>
      <c r="BQ238" s="13">
        <v>0</v>
      </c>
      <c r="BR238" s="13">
        <v>0</v>
      </c>
      <c r="BS238" s="13">
        <v>0</v>
      </c>
      <c r="BT238" s="13">
        <v>0</v>
      </c>
      <c r="BU238" s="13">
        <v>0</v>
      </c>
      <c r="BV238" s="13">
        <v>0</v>
      </c>
      <c r="BW238" s="13">
        <v>0</v>
      </c>
      <c r="BX238" s="13">
        <v>0</v>
      </c>
      <c r="BY238" s="13">
        <v>0</v>
      </c>
      <c r="BZ238" s="13">
        <v>0</v>
      </c>
      <c r="CA238" s="13">
        <v>0</v>
      </c>
      <c r="CB238" s="13">
        <v>0</v>
      </c>
      <c r="CC238" s="13">
        <v>0</v>
      </c>
      <c r="CD238" s="13">
        <v>0</v>
      </c>
      <c r="CE238" s="13">
        <v>0</v>
      </c>
      <c r="CF238" s="13">
        <v>0</v>
      </c>
      <c r="CG238" s="13">
        <v>0</v>
      </c>
      <c r="CH238" s="13">
        <v>0</v>
      </c>
      <c r="CI238" s="13">
        <v>0</v>
      </c>
      <c r="CJ238" s="13">
        <v>0</v>
      </c>
      <c r="CK238" s="13">
        <v>0</v>
      </c>
      <c r="CL238" s="13">
        <v>0</v>
      </c>
      <c r="CM238" s="13">
        <v>0</v>
      </c>
      <c r="CN238" s="13">
        <v>0</v>
      </c>
      <c r="CO238" s="13">
        <v>0</v>
      </c>
      <c r="CP238" s="13">
        <v>0</v>
      </c>
      <c r="CQ238" s="13">
        <v>0</v>
      </c>
      <c r="CR238" s="13">
        <v>0</v>
      </c>
      <c r="CS238" s="13">
        <v>0</v>
      </c>
      <c r="CT238" s="13">
        <v>0</v>
      </c>
      <c r="CU238" s="13">
        <f t="shared" si="28"/>
        <v>0</v>
      </c>
      <c r="CV238" s="13">
        <f t="shared" si="28"/>
        <v>0</v>
      </c>
      <c r="CW238" s="13">
        <f t="shared" si="28"/>
        <v>0</v>
      </c>
      <c r="CX238" s="13">
        <f t="shared" si="24"/>
        <v>0</v>
      </c>
      <c r="CY238" s="13">
        <f t="shared" si="24"/>
        <v>0</v>
      </c>
      <c r="CZ238" s="13">
        <f t="shared" si="24"/>
        <v>0</v>
      </c>
      <c r="DA238" s="13">
        <f t="shared" si="29"/>
        <v>0</v>
      </c>
      <c r="DB238" s="13">
        <f t="shared" si="29"/>
        <v>0</v>
      </c>
      <c r="DC238" s="13">
        <f t="shared" si="29"/>
        <v>0</v>
      </c>
      <c r="DD238" s="13">
        <f t="shared" si="25"/>
        <v>0</v>
      </c>
      <c r="DE238" s="13">
        <f t="shared" si="25"/>
        <v>0</v>
      </c>
      <c r="DF238" s="13">
        <f t="shared" si="25"/>
        <v>0</v>
      </c>
      <c r="DG238" s="13">
        <f t="shared" si="30"/>
        <v>0</v>
      </c>
      <c r="DH238" s="13">
        <f t="shared" si="30"/>
        <v>0</v>
      </c>
      <c r="DI238" s="13">
        <f t="shared" si="30"/>
        <v>0</v>
      </c>
      <c r="DJ238" s="13">
        <f t="shared" si="26"/>
        <v>0</v>
      </c>
      <c r="DK238" s="13">
        <f t="shared" si="26"/>
        <v>0</v>
      </c>
      <c r="DL238" s="13">
        <f t="shared" si="26"/>
        <v>0</v>
      </c>
      <c r="DM238" s="13">
        <f t="shared" si="31"/>
        <v>0</v>
      </c>
      <c r="DN238" s="13">
        <f t="shared" si="31"/>
        <v>0</v>
      </c>
      <c r="DO238" s="13">
        <f t="shared" si="31"/>
        <v>0</v>
      </c>
      <c r="DP238" s="13">
        <f t="shared" si="27"/>
        <v>0</v>
      </c>
      <c r="DQ238" s="13">
        <f t="shared" si="27"/>
        <v>0</v>
      </c>
      <c r="DR238" s="13">
        <f t="shared" si="27"/>
        <v>0</v>
      </c>
      <c r="DS238" s="14" t="s">
        <v>60</v>
      </c>
      <c r="DT238" s="14" t="s">
        <v>81</v>
      </c>
      <c r="DU238" s="14" t="s">
        <v>73</v>
      </c>
      <c r="DV238" s="14" t="s">
        <v>372</v>
      </c>
      <c r="DW238" s="14" t="s">
        <v>372</v>
      </c>
    </row>
    <row r="239" spans="2:127" x14ac:dyDescent="0.3">
      <c r="B239" s="11" t="s">
        <v>65</v>
      </c>
      <c r="C239" s="14">
        <v>5002032159</v>
      </c>
      <c r="D239" s="11" t="s">
        <v>774</v>
      </c>
      <c r="E239" s="11" t="s">
        <v>522</v>
      </c>
      <c r="F239" s="11" t="s">
        <v>775</v>
      </c>
      <c r="G239" s="11" t="s">
        <v>776</v>
      </c>
      <c r="H239" s="11" t="s">
        <v>359</v>
      </c>
      <c r="I239" s="11">
        <v>19713</v>
      </c>
      <c r="J239" s="11" t="s">
        <v>368</v>
      </c>
      <c r="K239" s="11"/>
      <c r="L239" s="11"/>
      <c r="M239" s="11"/>
      <c r="N239" s="11"/>
      <c r="O239" s="13">
        <v>156</v>
      </c>
      <c r="P239" s="13">
        <v>156</v>
      </c>
      <c r="Q239" s="13">
        <v>0</v>
      </c>
      <c r="R239" s="13">
        <v>18843.150600000001</v>
      </c>
      <c r="S239" s="13">
        <v>156</v>
      </c>
      <c r="T239" s="13">
        <v>18687.150600000001</v>
      </c>
      <c r="U239" s="13">
        <v>0</v>
      </c>
      <c r="V239" s="13">
        <v>0</v>
      </c>
      <c r="W239" s="13">
        <v>0</v>
      </c>
      <c r="X239" s="13">
        <v>1320.6903</v>
      </c>
      <c r="Y239" s="13">
        <v>0</v>
      </c>
      <c r="Z239" s="13">
        <v>1320.6903</v>
      </c>
      <c r="AA239" s="13">
        <v>0</v>
      </c>
      <c r="AB239" s="13">
        <v>0</v>
      </c>
      <c r="AC239" s="13">
        <v>0</v>
      </c>
      <c r="AD239" s="13">
        <v>1678.6343999999999</v>
      </c>
      <c r="AE239" s="13">
        <v>0</v>
      </c>
      <c r="AF239" s="13">
        <v>1678.6343999999999</v>
      </c>
      <c r="AG239" s="13">
        <v>0</v>
      </c>
      <c r="AH239" s="13">
        <v>0</v>
      </c>
      <c r="AI239" s="13">
        <v>0</v>
      </c>
      <c r="AJ239" s="13">
        <v>1394.7476999999999</v>
      </c>
      <c r="AK239" s="13">
        <v>0</v>
      </c>
      <c r="AL239" s="13">
        <v>1394.7476999999999</v>
      </c>
      <c r="AM239" s="13">
        <v>0</v>
      </c>
      <c r="AN239" s="13">
        <v>0</v>
      </c>
      <c r="AO239" s="13">
        <v>0</v>
      </c>
      <c r="AP239" s="13">
        <v>1283.6615999999999</v>
      </c>
      <c r="AQ239" s="13">
        <v>0</v>
      </c>
      <c r="AR239" s="13">
        <v>1283.6615999999999</v>
      </c>
      <c r="AS239" s="13">
        <v>0</v>
      </c>
      <c r="AT239" s="13">
        <v>0</v>
      </c>
      <c r="AU239" s="13">
        <v>0</v>
      </c>
      <c r="AV239" s="13">
        <v>1987.2068999999999</v>
      </c>
      <c r="AW239" s="13">
        <v>0</v>
      </c>
      <c r="AX239" s="13">
        <v>1987.2068999999999</v>
      </c>
      <c r="AY239" s="13">
        <v>0</v>
      </c>
      <c r="AZ239" s="13">
        <v>0</v>
      </c>
      <c r="BA239" s="13">
        <v>0</v>
      </c>
      <c r="BB239" s="13">
        <v>1296.0045</v>
      </c>
      <c r="BC239" s="13">
        <v>0</v>
      </c>
      <c r="BD239" s="13">
        <v>1296.0045</v>
      </c>
      <c r="BE239" s="13">
        <v>0</v>
      </c>
      <c r="BF239" s="13">
        <v>0</v>
      </c>
      <c r="BG239" s="13">
        <v>0</v>
      </c>
      <c r="BH239" s="13">
        <v>1357.7190000000001</v>
      </c>
      <c r="BI239" s="13">
        <v>0</v>
      </c>
      <c r="BJ239" s="13">
        <v>1357.7190000000001</v>
      </c>
      <c r="BK239" s="13">
        <v>0</v>
      </c>
      <c r="BL239" s="13">
        <v>0</v>
      </c>
      <c r="BM239" s="13">
        <v>0</v>
      </c>
      <c r="BN239" s="13">
        <v>1592.2340999999999</v>
      </c>
      <c r="BO239" s="13">
        <v>0</v>
      </c>
      <c r="BP239" s="13">
        <v>1592.2340999999999</v>
      </c>
      <c r="BQ239" s="13">
        <v>49</v>
      </c>
      <c r="BR239" s="13">
        <v>49</v>
      </c>
      <c r="BS239" s="13">
        <v>0</v>
      </c>
      <c r="BT239" s="13">
        <v>1443.7476999999999</v>
      </c>
      <c r="BU239" s="13">
        <v>49</v>
      </c>
      <c r="BV239" s="13">
        <v>1394.7476999999999</v>
      </c>
      <c r="BW239" s="13">
        <v>23</v>
      </c>
      <c r="BX239" s="13">
        <v>23</v>
      </c>
      <c r="BY239" s="13">
        <v>0</v>
      </c>
      <c r="BZ239" s="13">
        <v>1170.8896999999999</v>
      </c>
      <c r="CA239" s="13">
        <v>23</v>
      </c>
      <c r="CB239" s="13">
        <v>1147.8896999999999</v>
      </c>
      <c r="CC239" s="13">
        <v>36</v>
      </c>
      <c r="CD239" s="13">
        <v>36</v>
      </c>
      <c r="CE239" s="13">
        <v>0</v>
      </c>
      <c r="CF239" s="13">
        <v>1665.2628</v>
      </c>
      <c r="CG239" s="13">
        <v>36</v>
      </c>
      <c r="CH239" s="13">
        <v>1629.2628</v>
      </c>
      <c r="CI239" s="13">
        <v>24</v>
      </c>
      <c r="CJ239" s="13">
        <v>24</v>
      </c>
      <c r="CK239" s="13">
        <v>0</v>
      </c>
      <c r="CL239" s="13">
        <v>1307.6615999999999</v>
      </c>
      <c r="CM239" s="13">
        <v>24</v>
      </c>
      <c r="CN239" s="13">
        <v>1283.6615999999999</v>
      </c>
      <c r="CO239" s="13">
        <v>24</v>
      </c>
      <c r="CP239" s="13">
        <v>24</v>
      </c>
      <c r="CQ239" s="13">
        <v>0</v>
      </c>
      <c r="CR239" s="13">
        <v>1344.6903</v>
      </c>
      <c r="CS239" s="13">
        <v>24</v>
      </c>
      <c r="CT239" s="13">
        <v>1320.6903</v>
      </c>
      <c r="CU239" s="13">
        <f t="shared" si="28"/>
        <v>156</v>
      </c>
      <c r="CV239" s="13">
        <f t="shared" si="28"/>
        <v>156</v>
      </c>
      <c r="CW239" s="13">
        <f t="shared" si="28"/>
        <v>0</v>
      </c>
      <c r="CX239" s="13">
        <f t="shared" si="24"/>
        <v>17522.460299999999</v>
      </c>
      <c r="CY239" s="13">
        <f t="shared" si="24"/>
        <v>156</v>
      </c>
      <c r="CZ239" s="13">
        <f t="shared" si="24"/>
        <v>17366.460299999999</v>
      </c>
      <c r="DA239" s="13">
        <f t="shared" si="29"/>
        <v>84</v>
      </c>
      <c r="DB239" s="13">
        <f t="shared" si="29"/>
        <v>84</v>
      </c>
      <c r="DC239" s="13">
        <f t="shared" si="29"/>
        <v>0</v>
      </c>
      <c r="DD239" s="13">
        <f t="shared" si="25"/>
        <v>4317.6147000000001</v>
      </c>
      <c r="DE239" s="13">
        <f t="shared" si="25"/>
        <v>84</v>
      </c>
      <c r="DF239" s="13">
        <f t="shared" si="25"/>
        <v>4233.6147000000001</v>
      </c>
      <c r="DG239" s="13">
        <f t="shared" si="30"/>
        <v>72</v>
      </c>
      <c r="DH239" s="13">
        <f t="shared" si="30"/>
        <v>72</v>
      </c>
      <c r="DI239" s="13">
        <f t="shared" si="30"/>
        <v>0</v>
      </c>
      <c r="DJ239" s="13">
        <f t="shared" si="26"/>
        <v>4206.8714999999993</v>
      </c>
      <c r="DK239" s="13">
        <f t="shared" si="26"/>
        <v>72</v>
      </c>
      <c r="DL239" s="13">
        <f t="shared" si="26"/>
        <v>4134.8714999999993</v>
      </c>
      <c r="DM239" s="13">
        <f t="shared" si="31"/>
        <v>48</v>
      </c>
      <c r="DN239" s="13">
        <f t="shared" si="31"/>
        <v>48</v>
      </c>
      <c r="DO239" s="13">
        <f t="shared" si="31"/>
        <v>0</v>
      </c>
      <c r="DP239" s="13">
        <f t="shared" si="27"/>
        <v>2652.3518999999997</v>
      </c>
      <c r="DQ239" s="13">
        <f t="shared" si="27"/>
        <v>48</v>
      </c>
      <c r="DR239" s="13">
        <f t="shared" si="27"/>
        <v>2604.3518999999997</v>
      </c>
      <c r="DS239" s="14" t="s">
        <v>60</v>
      </c>
      <c r="DT239" s="14" t="s">
        <v>81</v>
      </c>
      <c r="DU239" s="14" t="s">
        <v>73</v>
      </c>
      <c r="DV239" s="14" t="s">
        <v>63</v>
      </c>
      <c r="DW239" s="14" t="s">
        <v>74</v>
      </c>
    </row>
    <row r="240" spans="2:127" x14ac:dyDescent="0.3">
      <c r="B240" s="11" t="s">
        <v>75</v>
      </c>
      <c r="C240" s="14">
        <v>5002038406</v>
      </c>
      <c r="D240" s="11" t="s">
        <v>777</v>
      </c>
      <c r="E240" s="11" t="s">
        <v>522</v>
      </c>
      <c r="F240" s="11" t="s">
        <v>778</v>
      </c>
      <c r="G240" s="11" t="s">
        <v>68</v>
      </c>
      <c r="H240" s="11" t="s">
        <v>108</v>
      </c>
      <c r="I240" s="11">
        <v>29210</v>
      </c>
      <c r="J240" s="11" t="s">
        <v>368</v>
      </c>
      <c r="K240" s="11"/>
      <c r="L240" s="11"/>
      <c r="M240" s="11"/>
      <c r="N240" s="11"/>
      <c r="O240" s="13">
        <v>12</v>
      </c>
      <c r="P240" s="13">
        <v>12</v>
      </c>
      <c r="Q240" s="13">
        <v>0</v>
      </c>
      <c r="R240" s="13">
        <v>29965.707699999999</v>
      </c>
      <c r="S240" s="13">
        <v>342.74770000000001</v>
      </c>
      <c r="T240" s="13">
        <v>29622.959999999999</v>
      </c>
      <c r="U240" s="13">
        <v>12</v>
      </c>
      <c r="V240" s="13">
        <v>12</v>
      </c>
      <c r="W240" s="13">
        <v>0</v>
      </c>
      <c r="X240" s="13">
        <v>1730.1697999999999</v>
      </c>
      <c r="Y240" s="13">
        <v>51.535400000000003</v>
      </c>
      <c r="Z240" s="13">
        <v>1678.6343999999999</v>
      </c>
      <c r="AA240" s="13">
        <v>6</v>
      </c>
      <c r="AB240" s="13">
        <v>6</v>
      </c>
      <c r="AC240" s="13">
        <v>0</v>
      </c>
      <c r="AD240" s="13">
        <v>3422.2826</v>
      </c>
      <c r="AE240" s="13">
        <v>77.356700000000004</v>
      </c>
      <c r="AF240" s="13">
        <v>3344.9259000000002</v>
      </c>
      <c r="AG240" s="13">
        <v>0</v>
      </c>
      <c r="AH240" s="13">
        <v>0</v>
      </c>
      <c r="AI240" s="13">
        <v>0</v>
      </c>
      <c r="AJ240" s="13">
        <v>948.08870000000002</v>
      </c>
      <c r="AK240" s="13">
        <v>34.714100000000002</v>
      </c>
      <c r="AL240" s="13">
        <v>913.37459999999999</v>
      </c>
      <c r="AM240" s="13">
        <v>0</v>
      </c>
      <c r="AN240" s="13">
        <v>0</v>
      </c>
      <c r="AO240" s="13">
        <v>0</v>
      </c>
      <c r="AP240" s="13">
        <v>1916.2349999999999</v>
      </c>
      <c r="AQ240" s="13">
        <v>15.4284</v>
      </c>
      <c r="AR240" s="13">
        <v>1900.8065999999999</v>
      </c>
      <c r="AS240" s="13">
        <v>0</v>
      </c>
      <c r="AT240" s="13">
        <v>0</v>
      </c>
      <c r="AU240" s="13">
        <v>0</v>
      </c>
      <c r="AV240" s="13">
        <v>3804.6988000000001</v>
      </c>
      <c r="AW240" s="13">
        <v>15.4285</v>
      </c>
      <c r="AX240" s="13">
        <v>3789.2703000000001</v>
      </c>
      <c r="AY240" s="13">
        <v>0</v>
      </c>
      <c r="AZ240" s="13">
        <v>0</v>
      </c>
      <c r="BA240" s="13">
        <v>0</v>
      </c>
      <c r="BB240" s="13">
        <v>1532.6408999999999</v>
      </c>
      <c r="BC240" s="13">
        <v>14.4642</v>
      </c>
      <c r="BD240" s="13">
        <v>1518.1767</v>
      </c>
      <c r="BE240" s="13">
        <v>0</v>
      </c>
      <c r="BF240" s="13">
        <v>0</v>
      </c>
      <c r="BG240" s="13">
        <v>0</v>
      </c>
      <c r="BH240" s="13">
        <v>1950.5636000000002</v>
      </c>
      <c r="BI240" s="13">
        <v>25.071200000000001</v>
      </c>
      <c r="BJ240" s="13">
        <v>1925.4924000000001</v>
      </c>
      <c r="BK240" s="13">
        <v>0</v>
      </c>
      <c r="BL240" s="13">
        <v>0</v>
      </c>
      <c r="BM240" s="13">
        <v>0</v>
      </c>
      <c r="BN240" s="13">
        <v>3448.6833000000001</v>
      </c>
      <c r="BO240" s="13">
        <v>17.357099999999999</v>
      </c>
      <c r="BP240" s="13">
        <v>3431.3262</v>
      </c>
      <c r="BQ240" s="13">
        <v>-6</v>
      </c>
      <c r="BR240" s="13">
        <v>-6</v>
      </c>
      <c r="BS240" s="13">
        <v>0</v>
      </c>
      <c r="BT240" s="13">
        <v>1930.2922000000001</v>
      </c>
      <c r="BU240" s="13">
        <v>17.142700000000001</v>
      </c>
      <c r="BV240" s="13">
        <v>1913.1495</v>
      </c>
      <c r="BW240" s="13">
        <v>0</v>
      </c>
      <c r="BX240" s="13">
        <v>0</v>
      </c>
      <c r="BY240" s="13">
        <v>0</v>
      </c>
      <c r="BZ240" s="13">
        <v>1846.8063</v>
      </c>
      <c r="CA240" s="13">
        <v>7.7141999999999999</v>
      </c>
      <c r="CB240" s="13">
        <v>1839.0921000000001</v>
      </c>
      <c r="CC240" s="13">
        <v>0</v>
      </c>
      <c r="CD240" s="13">
        <v>0</v>
      </c>
      <c r="CE240" s="13">
        <v>0</v>
      </c>
      <c r="CF240" s="13">
        <v>3404.1329999999998</v>
      </c>
      <c r="CG240" s="13">
        <v>22.1784</v>
      </c>
      <c r="CH240" s="13">
        <v>3381.9546</v>
      </c>
      <c r="CI240" s="13">
        <v>0</v>
      </c>
      <c r="CJ240" s="13">
        <v>0</v>
      </c>
      <c r="CK240" s="13">
        <v>0</v>
      </c>
      <c r="CL240" s="13">
        <v>1609.7837999999999</v>
      </c>
      <c r="CM240" s="13">
        <v>29.892600000000002</v>
      </c>
      <c r="CN240" s="13">
        <v>1579.8912</v>
      </c>
      <c r="CO240" s="13">
        <v>0</v>
      </c>
      <c r="CP240" s="13">
        <v>0</v>
      </c>
      <c r="CQ240" s="13">
        <v>0</v>
      </c>
      <c r="CR240" s="13">
        <v>2421.3296999999998</v>
      </c>
      <c r="CS240" s="13">
        <v>14.4642</v>
      </c>
      <c r="CT240" s="13">
        <v>2406.8654999999999</v>
      </c>
      <c r="CU240" s="13">
        <f t="shared" si="28"/>
        <v>0</v>
      </c>
      <c r="CV240" s="13">
        <f t="shared" si="28"/>
        <v>0</v>
      </c>
      <c r="CW240" s="13">
        <f t="shared" si="28"/>
        <v>0</v>
      </c>
      <c r="CX240" s="13">
        <f t="shared" si="24"/>
        <v>28235.537899999996</v>
      </c>
      <c r="CY240" s="13">
        <f t="shared" si="24"/>
        <v>291.21230000000003</v>
      </c>
      <c r="CZ240" s="13">
        <f t="shared" si="24"/>
        <v>27944.325600000004</v>
      </c>
      <c r="DA240" s="13">
        <f t="shared" si="29"/>
        <v>0</v>
      </c>
      <c r="DB240" s="13">
        <f t="shared" si="29"/>
        <v>0</v>
      </c>
      <c r="DC240" s="13">
        <f t="shared" si="29"/>
        <v>0</v>
      </c>
      <c r="DD240" s="13">
        <f t="shared" si="25"/>
        <v>7435.2464999999993</v>
      </c>
      <c r="DE240" s="13">
        <f t="shared" si="25"/>
        <v>66.535200000000003</v>
      </c>
      <c r="DF240" s="13">
        <f t="shared" si="25"/>
        <v>7368.7112999999999</v>
      </c>
      <c r="DG240" s="13">
        <f t="shared" si="30"/>
        <v>-6</v>
      </c>
      <c r="DH240" s="13">
        <f t="shared" si="30"/>
        <v>-6</v>
      </c>
      <c r="DI240" s="13">
        <f t="shared" si="30"/>
        <v>0</v>
      </c>
      <c r="DJ240" s="13">
        <f t="shared" si="26"/>
        <v>7225.7818000000007</v>
      </c>
      <c r="DK240" s="13">
        <f t="shared" si="26"/>
        <v>42.213999999999999</v>
      </c>
      <c r="DL240" s="13">
        <f t="shared" si="26"/>
        <v>7183.5677999999998</v>
      </c>
      <c r="DM240" s="13">
        <f t="shared" si="31"/>
        <v>0</v>
      </c>
      <c r="DN240" s="13">
        <f t="shared" si="31"/>
        <v>0</v>
      </c>
      <c r="DO240" s="13">
        <f t="shared" si="31"/>
        <v>0</v>
      </c>
      <c r="DP240" s="13">
        <f t="shared" si="27"/>
        <v>4031.1134999999995</v>
      </c>
      <c r="DQ240" s="13">
        <f t="shared" si="27"/>
        <v>44.3568</v>
      </c>
      <c r="DR240" s="13">
        <f t="shared" si="27"/>
        <v>3986.7566999999999</v>
      </c>
      <c r="DS240" s="14" t="s">
        <v>71</v>
      </c>
      <c r="DT240" s="14" t="s">
        <v>72</v>
      </c>
      <c r="DU240" s="14" t="s">
        <v>73</v>
      </c>
      <c r="DV240" s="14" t="s">
        <v>63</v>
      </c>
      <c r="DW240" s="14" t="s">
        <v>74</v>
      </c>
    </row>
    <row r="241" spans="2:127" x14ac:dyDescent="0.3">
      <c r="B241" s="11" t="s">
        <v>53</v>
      </c>
      <c r="C241" s="14">
        <v>5002072556</v>
      </c>
      <c r="D241" s="11" t="s">
        <v>779</v>
      </c>
      <c r="E241" s="11" t="s">
        <v>522</v>
      </c>
      <c r="F241" s="11" t="s">
        <v>780</v>
      </c>
      <c r="G241" s="11" t="s">
        <v>781</v>
      </c>
      <c r="H241" s="11" t="s">
        <v>445</v>
      </c>
      <c r="I241" s="11">
        <v>97401</v>
      </c>
      <c r="J241" s="11" t="s">
        <v>70</v>
      </c>
      <c r="K241" s="11"/>
      <c r="L241" s="11"/>
      <c r="M241" s="11"/>
      <c r="N241" s="11"/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3">
        <v>0</v>
      </c>
      <c r="BN241" s="13">
        <v>0</v>
      </c>
      <c r="BO241" s="13">
        <v>0</v>
      </c>
      <c r="BP241" s="13">
        <v>0</v>
      </c>
      <c r="BQ241" s="13">
        <v>0</v>
      </c>
      <c r="BR241" s="13">
        <v>0</v>
      </c>
      <c r="BS241" s="13">
        <v>0</v>
      </c>
      <c r="BT241" s="13">
        <v>0</v>
      </c>
      <c r="BU241" s="13">
        <v>0</v>
      </c>
      <c r="BV241" s="13">
        <v>0</v>
      </c>
      <c r="BW241" s="13">
        <v>0</v>
      </c>
      <c r="BX241" s="13">
        <v>0</v>
      </c>
      <c r="BY241" s="13">
        <v>0</v>
      </c>
      <c r="BZ241" s="13">
        <v>0</v>
      </c>
      <c r="CA241" s="13">
        <v>0</v>
      </c>
      <c r="CB241" s="13">
        <v>0</v>
      </c>
      <c r="CC241" s="13">
        <v>0</v>
      </c>
      <c r="CD241" s="13">
        <v>0</v>
      </c>
      <c r="CE241" s="13">
        <v>0</v>
      </c>
      <c r="CF241" s="13">
        <v>0</v>
      </c>
      <c r="CG241" s="13">
        <v>0</v>
      </c>
      <c r="CH241" s="13">
        <v>0</v>
      </c>
      <c r="CI241" s="13">
        <v>0</v>
      </c>
      <c r="CJ241" s="13">
        <v>0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f t="shared" si="28"/>
        <v>0</v>
      </c>
      <c r="CV241" s="13">
        <f t="shared" si="28"/>
        <v>0</v>
      </c>
      <c r="CW241" s="13">
        <f t="shared" si="28"/>
        <v>0</v>
      </c>
      <c r="CX241" s="13">
        <f t="shared" si="24"/>
        <v>0</v>
      </c>
      <c r="CY241" s="13">
        <f t="shared" si="24"/>
        <v>0</v>
      </c>
      <c r="CZ241" s="13">
        <f t="shared" si="24"/>
        <v>0</v>
      </c>
      <c r="DA241" s="13">
        <f t="shared" si="29"/>
        <v>0</v>
      </c>
      <c r="DB241" s="13">
        <f t="shared" si="29"/>
        <v>0</v>
      </c>
      <c r="DC241" s="13">
        <f t="shared" si="29"/>
        <v>0</v>
      </c>
      <c r="DD241" s="13">
        <f t="shared" si="25"/>
        <v>0</v>
      </c>
      <c r="DE241" s="13">
        <f t="shared" si="25"/>
        <v>0</v>
      </c>
      <c r="DF241" s="13">
        <f t="shared" si="25"/>
        <v>0</v>
      </c>
      <c r="DG241" s="13">
        <f t="shared" si="30"/>
        <v>0</v>
      </c>
      <c r="DH241" s="13">
        <f t="shared" si="30"/>
        <v>0</v>
      </c>
      <c r="DI241" s="13">
        <f t="shared" si="30"/>
        <v>0</v>
      </c>
      <c r="DJ241" s="13">
        <f t="shared" si="26"/>
        <v>0</v>
      </c>
      <c r="DK241" s="13">
        <f t="shared" si="26"/>
        <v>0</v>
      </c>
      <c r="DL241" s="13">
        <f t="shared" si="26"/>
        <v>0</v>
      </c>
      <c r="DM241" s="13">
        <f t="shared" si="31"/>
        <v>0</v>
      </c>
      <c r="DN241" s="13">
        <f t="shared" si="31"/>
        <v>0</v>
      </c>
      <c r="DO241" s="13">
        <f t="shared" si="31"/>
        <v>0</v>
      </c>
      <c r="DP241" s="13">
        <f t="shared" si="27"/>
        <v>0</v>
      </c>
      <c r="DQ241" s="13">
        <f t="shared" si="27"/>
        <v>0</v>
      </c>
      <c r="DR241" s="13">
        <f t="shared" si="27"/>
        <v>0</v>
      </c>
      <c r="DS241" s="14" t="s">
        <v>60</v>
      </c>
      <c r="DT241" s="14" t="s">
        <v>81</v>
      </c>
      <c r="DU241" s="14" t="s">
        <v>73</v>
      </c>
      <c r="DV241" s="14" t="s">
        <v>372</v>
      </c>
      <c r="DW241" s="14" t="s">
        <v>74</v>
      </c>
    </row>
    <row r="242" spans="2:127" x14ac:dyDescent="0.3">
      <c r="B242" s="11" t="s">
        <v>53</v>
      </c>
      <c r="C242" s="14">
        <v>5006563776</v>
      </c>
      <c r="D242" s="11" t="s">
        <v>782</v>
      </c>
      <c r="E242" s="11" t="s">
        <v>522</v>
      </c>
      <c r="F242" s="11" t="s">
        <v>783</v>
      </c>
      <c r="G242" s="11" t="s">
        <v>784</v>
      </c>
      <c r="H242" s="11" t="s">
        <v>161</v>
      </c>
      <c r="I242" s="11">
        <v>89511</v>
      </c>
      <c r="J242" s="11" t="s">
        <v>70</v>
      </c>
      <c r="K242" s="11"/>
      <c r="L242" s="11"/>
      <c r="M242" s="11"/>
      <c r="N242" s="11"/>
      <c r="O242" s="13">
        <v>0</v>
      </c>
      <c r="P242" s="13">
        <v>0</v>
      </c>
      <c r="Q242" s="13">
        <v>0</v>
      </c>
      <c r="R242" s="13">
        <v>18827.5497</v>
      </c>
      <c r="S242" s="13">
        <v>115.7133</v>
      </c>
      <c r="T242" s="13">
        <v>18711.8364</v>
      </c>
      <c r="U242" s="13">
        <v>0</v>
      </c>
      <c r="V242" s="13">
        <v>0</v>
      </c>
      <c r="W242" s="13">
        <v>0</v>
      </c>
      <c r="X242" s="13">
        <v>1371.6043</v>
      </c>
      <c r="Y242" s="13">
        <v>38.571100000000001</v>
      </c>
      <c r="Z242" s="13">
        <v>1333.0332000000001</v>
      </c>
      <c r="AA242" s="13">
        <v>0</v>
      </c>
      <c r="AB242" s="13">
        <v>0</v>
      </c>
      <c r="AC242" s="13">
        <v>0</v>
      </c>
      <c r="AD242" s="13">
        <v>1765.8054999999999</v>
      </c>
      <c r="AE242" s="13">
        <v>50.142400000000002</v>
      </c>
      <c r="AF242" s="13">
        <v>1715.6631</v>
      </c>
      <c r="AG242" s="13">
        <v>0</v>
      </c>
      <c r="AH242" s="13">
        <v>0</v>
      </c>
      <c r="AI242" s="13">
        <v>0</v>
      </c>
      <c r="AJ242" s="13">
        <v>1346.9185000000002</v>
      </c>
      <c r="AK242" s="13">
        <v>38.571100000000001</v>
      </c>
      <c r="AL242" s="13">
        <v>1308.3474000000001</v>
      </c>
      <c r="AM242" s="13">
        <v>0</v>
      </c>
      <c r="AN242" s="13">
        <v>0</v>
      </c>
      <c r="AO242" s="13">
        <v>0</v>
      </c>
      <c r="AP242" s="13">
        <v>1458.5835</v>
      </c>
      <c r="AQ242" s="13">
        <v>14.4642</v>
      </c>
      <c r="AR242" s="13">
        <v>1444.1193000000001</v>
      </c>
      <c r="AS242" s="13">
        <v>0</v>
      </c>
      <c r="AT242" s="13">
        <v>0</v>
      </c>
      <c r="AU242" s="13">
        <v>0</v>
      </c>
      <c r="AV242" s="13">
        <v>1851.4349999999999</v>
      </c>
      <c r="AW242" s="13">
        <v>0</v>
      </c>
      <c r="AX242" s="13">
        <v>1851.4349999999999</v>
      </c>
      <c r="AY242" s="13">
        <v>0</v>
      </c>
      <c r="AZ242" s="13">
        <v>0</v>
      </c>
      <c r="BA242" s="13">
        <v>0</v>
      </c>
      <c r="BB242" s="13">
        <v>975.08910000000003</v>
      </c>
      <c r="BC242" s="13">
        <v>0</v>
      </c>
      <c r="BD242" s="13">
        <v>975.08910000000003</v>
      </c>
      <c r="BE242" s="13">
        <v>0</v>
      </c>
      <c r="BF242" s="13">
        <v>0</v>
      </c>
      <c r="BG242" s="13">
        <v>0</v>
      </c>
      <c r="BH242" s="13">
        <v>1407.0906</v>
      </c>
      <c r="BI242" s="13">
        <v>0</v>
      </c>
      <c r="BJ242" s="13">
        <v>1407.0906</v>
      </c>
      <c r="BK242" s="13">
        <v>0</v>
      </c>
      <c r="BL242" s="13">
        <v>0</v>
      </c>
      <c r="BM242" s="13">
        <v>0</v>
      </c>
      <c r="BN242" s="13">
        <v>1839.0921000000001</v>
      </c>
      <c r="BO242" s="13">
        <v>0</v>
      </c>
      <c r="BP242" s="13">
        <v>1839.0921000000001</v>
      </c>
      <c r="BQ242" s="13">
        <v>0</v>
      </c>
      <c r="BR242" s="13">
        <v>0</v>
      </c>
      <c r="BS242" s="13">
        <v>0</v>
      </c>
      <c r="BT242" s="13">
        <v>1296.7761</v>
      </c>
      <c r="BU242" s="13">
        <v>-11.571300000000001</v>
      </c>
      <c r="BV242" s="13">
        <v>1308.3474000000001</v>
      </c>
      <c r="BW242" s="13">
        <v>0</v>
      </c>
      <c r="BX242" s="13">
        <v>0</v>
      </c>
      <c r="BY242" s="13">
        <v>0</v>
      </c>
      <c r="BZ242" s="13">
        <v>1269.1974</v>
      </c>
      <c r="CA242" s="13">
        <v>-14.4642</v>
      </c>
      <c r="CB242" s="13">
        <v>1283.6615999999999</v>
      </c>
      <c r="CC242" s="13">
        <v>0</v>
      </c>
      <c r="CD242" s="13">
        <v>0</v>
      </c>
      <c r="CE242" s="13">
        <v>0</v>
      </c>
      <c r="CF242" s="13">
        <v>1765.0346999999999</v>
      </c>
      <c r="CG242" s="13">
        <v>0</v>
      </c>
      <c r="CH242" s="13">
        <v>1765.0346999999999</v>
      </c>
      <c r="CI242" s="13">
        <v>0</v>
      </c>
      <c r="CJ242" s="13">
        <v>0</v>
      </c>
      <c r="CK242" s="13">
        <v>0</v>
      </c>
      <c r="CL242" s="13">
        <v>1246.6329000000001</v>
      </c>
      <c r="CM242" s="13">
        <v>0</v>
      </c>
      <c r="CN242" s="13">
        <v>1246.6329000000001</v>
      </c>
      <c r="CO242" s="13">
        <v>0</v>
      </c>
      <c r="CP242" s="13">
        <v>0</v>
      </c>
      <c r="CQ242" s="13">
        <v>0</v>
      </c>
      <c r="CR242" s="13">
        <v>1234.29</v>
      </c>
      <c r="CS242" s="13">
        <v>0</v>
      </c>
      <c r="CT242" s="13">
        <v>1234.29</v>
      </c>
      <c r="CU242" s="13">
        <f t="shared" si="28"/>
        <v>0</v>
      </c>
      <c r="CV242" s="13">
        <f t="shared" si="28"/>
        <v>0</v>
      </c>
      <c r="CW242" s="13">
        <f t="shared" si="28"/>
        <v>0</v>
      </c>
      <c r="CX242" s="13">
        <f t="shared" si="24"/>
        <v>17455.945400000004</v>
      </c>
      <c r="CY242" s="13">
        <f t="shared" si="24"/>
        <v>77.142200000000003</v>
      </c>
      <c r="CZ242" s="13">
        <f t="shared" si="24"/>
        <v>17378.803200000002</v>
      </c>
      <c r="DA242" s="13">
        <f t="shared" si="29"/>
        <v>0</v>
      </c>
      <c r="DB242" s="13">
        <f t="shared" si="29"/>
        <v>0</v>
      </c>
      <c r="DC242" s="13">
        <f t="shared" si="29"/>
        <v>0</v>
      </c>
      <c r="DD242" s="13">
        <f t="shared" si="25"/>
        <v>4245.9575999999997</v>
      </c>
      <c r="DE242" s="13">
        <f t="shared" si="25"/>
        <v>0</v>
      </c>
      <c r="DF242" s="13">
        <f t="shared" si="25"/>
        <v>4245.9575999999997</v>
      </c>
      <c r="DG242" s="13">
        <f t="shared" si="30"/>
        <v>0</v>
      </c>
      <c r="DH242" s="13">
        <f t="shared" si="30"/>
        <v>0</v>
      </c>
      <c r="DI242" s="13">
        <f t="shared" si="30"/>
        <v>0</v>
      </c>
      <c r="DJ242" s="13">
        <f t="shared" si="26"/>
        <v>4405.0655999999999</v>
      </c>
      <c r="DK242" s="13">
        <f t="shared" si="26"/>
        <v>-26.035499999999999</v>
      </c>
      <c r="DL242" s="13">
        <f t="shared" si="26"/>
        <v>4431.1010999999999</v>
      </c>
      <c r="DM242" s="13">
        <f t="shared" si="31"/>
        <v>0</v>
      </c>
      <c r="DN242" s="13">
        <f t="shared" si="31"/>
        <v>0</v>
      </c>
      <c r="DO242" s="13">
        <f t="shared" si="31"/>
        <v>0</v>
      </c>
      <c r="DP242" s="13">
        <f t="shared" si="27"/>
        <v>2480.9229</v>
      </c>
      <c r="DQ242" s="13">
        <f t="shared" si="27"/>
        <v>0</v>
      </c>
      <c r="DR242" s="13">
        <f t="shared" si="27"/>
        <v>2480.9229</v>
      </c>
      <c r="DS242" s="14" t="s">
        <v>60</v>
      </c>
      <c r="DT242" s="14" t="s">
        <v>81</v>
      </c>
      <c r="DU242" s="14" t="s">
        <v>73</v>
      </c>
      <c r="DV242" s="14" t="s">
        <v>63</v>
      </c>
      <c r="DW242" s="14" t="s">
        <v>74</v>
      </c>
    </row>
    <row r="243" spans="2:127" x14ac:dyDescent="0.3">
      <c r="B243" s="11" t="s">
        <v>75</v>
      </c>
      <c r="C243" s="14">
        <v>5007724488</v>
      </c>
      <c r="D243" s="11" t="s">
        <v>785</v>
      </c>
      <c r="E243" s="11" t="s">
        <v>522</v>
      </c>
      <c r="F243" s="11" t="s">
        <v>786</v>
      </c>
      <c r="G243" s="11" t="s">
        <v>787</v>
      </c>
      <c r="H243" s="11" t="s">
        <v>104</v>
      </c>
      <c r="I243" s="11">
        <v>33709</v>
      </c>
      <c r="J243" s="11" t="s">
        <v>70</v>
      </c>
      <c r="K243" s="11"/>
      <c r="L243" s="11"/>
      <c r="M243" s="11"/>
      <c r="N243" s="11"/>
      <c r="O243" s="13">
        <v>392</v>
      </c>
      <c r="P243" s="13">
        <v>392</v>
      </c>
      <c r="Q243" s="13">
        <v>0</v>
      </c>
      <c r="R243" s="13">
        <v>10035.277</v>
      </c>
      <c r="S243" s="13">
        <v>432.50080000000003</v>
      </c>
      <c r="T243" s="13">
        <v>9602.7762000000002</v>
      </c>
      <c r="U243" s="13">
        <v>22</v>
      </c>
      <c r="V243" s="13">
        <v>22</v>
      </c>
      <c r="W243" s="13">
        <v>0</v>
      </c>
      <c r="X243" s="13">
        <v>663.83079999999995</v>
      </c>
      <c r="Y243" s="13">
        <v>22</v>
      </c>
      <c r="Z243" s="13">
        <v>641.83079999999995</v>
      </c>
      <c r="AA243" s="13">
        <v>26</v>
      </c>
      <c r="AB243" s="13">
        <v>26</v>
      </c>
      <c r="AC243" s="13">
        <v>0</v>
      </c>
      <c r="AD243" s="13">
        <v>803.60270000000003</v>
      </c>
      <c r="AE243" s="13">
        <v>26</v>
      </c>
      <c r="AF243" s="13">
        <v>777.60270000000003</v>
      </c>
      <c r="AG243" s="13">
        <v>27</v>
      </c>
      <c r="AH243" s="13">
        <v>27</v>
      </c>
      <c r="AI243" s="13">
        <v>0</v>
      </c>
      <c r="AJ243" s="13">
        <v>570.08759999999995</v>
      </c>
      <c r="AK243" s="13">
        <v>27</v>
      </c>
      <c r="AL243" s="13">
        <v>543.08759999999995</v>
      </c>
      <c r="AM243" s="13">
        <v>20</v>
      </c>
      <c r="AN243" s="13">
        <v>20</v>
      </c>
      <c r="AO243" s="13">
        <v>0</v>
      </c>
      <c r="AP243" s="13">
        <v>489.03019999999998</v>
      </c>
      <c r="AQ243" s="13">
        <v>20</v>
      </c>
      <c r="AR243" s="13">
        <v>469.03019999999998</v>
      </c>
      <c r="AS243" s="13">
        <v>28</v>
      </c>
      <c r="AT243" s="13">
        <v>28</v>
      </c>
      <c r="AU243" s="13">
        <v>0</v>
      </c>
      <c r="AV243" s="13">
        <v>1015.432</v>
      </c>
      <c r="AW243" s="13">
        <v>28</v>
      </c>
      <c r="AX243" s="13">
        <v>987.43200000000002</v>
      </c>
      <c r="AY243" s="13">
        <v>28</v>
      </c>
      <c r="AZ243" s="13">
        <v>28</v>
      </c>
      <c r="BA243" s="13">
        <v>0</v>
      </c>
      <c r="BB243" s="13">
        <v>348.91539999999998</v>
      </c>
      <c r="BC243" s="13">
        <v>28</v>
      </c>
      <c r="BD243" s="13">
        <v>320.91539999999998</v>
      </c>
      <c r="BE243" s="13">
        <v>34</v>
      </c>
      <c r="BF243" s="13">
        <v>34</v>
      </c>
      <c r="BG243" s="13">
        <v>0</v>
      </c>
      <c r="BH243" s="13">
        <v>712.85950000000003</v>
      </c>
      <c r="BI243" s="13">
        <v>34</v>
      </c>
      <c r="BJ243" s="13">
        <v>678.85950000000003</v>
      </c>
      <c r="BK243" s="13">
        <v>36</v>
      </c>
      <c r="BL243" s="13">
        <v>36</v>
      </c>
      <c r="BM243" s="13">
        <v>0</v>
      </c>
      <c r="BN243" s="13">
        <v>1145.704</v>
      </c>
      <c r="BO243" s="13">
        <v>22.5001</v>
      </c>
      <c r="BP243" s="13">
        <v>1123.2039</v>
      </c>
      <c r="BQ243" s="13">
        <v>28</v>
      </c>
      <c r="BR243" s="13">
        <v>28</v>
      </c>
      <c r="BS243" s="13">
        <v>0</v>
      </c>
      <c r="BT243" s="13">
        <v>756.23109999999997</v>
      </c>
      <c r="BU243" s="13">
        <v>28</v>
      </c>
      <c r="BV243" s="13">
        <v>728.23109999999997</v>
      </c>
      <c r="BW243" s="13">
        <v>28</v>
      </c>
      <c r="BX243" s="13">
        <v>28</v>
      </c>
      <c r="BY243" s="13">
        <v>0</v>
      </c>
      <c r="BZ243" s="13">
        <v>780.91690000000006</v>
      </c>
      <c r="CA243" s="13">
        <v>28</v>
      </c>
      <c r="CB243" s="13">
        <v>752.91690000000006</v>
      </c>
      <c r="CC243" s="13">
        <v>20</v>
      </c>
      <c r="CD243" s="13">
        <v>20</v>
      </c>
      <c r="CE243" s="13">
        <v>0</v>
      </c>
      <c r="CF243" s="13">
        <v>982.36079999999993</v>
      </c>
      <c r="CG243" s="13">
        <v>56.643300000000004</v>
      </c>
      <c r="CH243" s="13">
        <v>925.71749999999997</v>
      </c>
      <c r="CI243" s="13">
        <v>34</v>
      </c>
      <c r="CJ243" s="13">
        <v>34</v>
      </c>
      <c r="CK243" s="13">
        <v>0</v>
      </c>
      <c r="CL243" s="13">
        <v>791.93139999999994</v>
      </c>
      <c r="CM243" s="13">
        <v>51.357399999999998</v>
      </c>
      <c r="CN243" s="13">
        <v>740.57399999999996</v>
      </c>
      <c r="CO243" s="13">
        <v>61</v>
      </c>
      <c r="CP243" s="13">
        <v>61</v>
      </c>
      <c r="CQ243" s="13">
        <v>0</v>
      </c>
      <c r="CR243" s="13">
        <v>974.37459999999999</v>
      </c>
      <c r="CS243" s="13">
        <v>61</v>
      </c>
      <c r="CT243" s="13">
        <v>913.37459999999999</v>
      </c>
      <c r="CU243" s="13">
        <f t="shared" si="28"/>
        <v>370</v>
      </c>
      <c r="CV243" s="13">
        <f t="shared" si="28"/>
        <v>370</v>
      </c>
      <c r="CW243" s="13">
        <f t="shared" si="28"/>
        <v>0</v>
      </c>
      <c r="CX243" s="13">
        <f t="shared" si="24"/>
        <v>9371.4461999999985</v>
      </c>
      <c r="CY243" s="13">
        <f t="shared" si="24"/>
        <v>410.50079999999997</v>
      </c>
      <c r="CZ243" s="13">
        <f t="shared" si="24"/>
        <v>8960.9453999999987</v>
      </c>
      <c r="DA243" s="13">
        <f t="shared" si="29"/>
        <v>115</v>
      </c>
      <c r="DB243" s="13">
        <f t="shared" si="29"/>
        <v>115</v>
      </c>
      <c r="DC243" s="13">
        <f t="shared" si="29"/>
        <v>0</v>
      </c>
      <c r="DD243" s="13">
        <f t="shared" si="25"/>
        <v>2748.6668</v>
      </c>
      <c r="DE243" s="13">
        <f t="shared" si="25"/>
        <v>169.00069999999999</v>
      </c>
      <c r="DF243" s="13">
        <f t="shared" si="25"/>
        <v>2579.6660999999999</v>
      </c>
      <c r="DG243" s="13">
        <f t="shared" si="30"/>
        <v>92</v>
      </c>
      <c r="DH243" s="13">
        <f t="shared" si="30"/>
        <v>92</v>
      </c>
      <c r="DI243" s="13">
        <f t="shared" si="30"/>
        <v>0</v>
      </c>
      <c r="DJ243" s="13">
        <f t="shared" si="26"/>
        <v>2682.8519999999999</v>
      </c>
      <c r="DK243" s="13">
        <f t="shared" si="26"/>
        <v>78.500100000000003</v>
      </c>
      <c r="DL243" s="13">
        <f t="shared" si="26"/>
        <v>2604.3519000000001</v>
      </c>
      <c r="DM243" s="13">
        <f t="shared" si="31"/>
        <v>95</v>
      </c>
      <c r="DN243" s="13">
        <f t="shared" si="31"/>
        <v>95</v>
      </c>
      <c r="DO243" s="13">
        <f t="shared" si="31"/>
        <v>0</v>
      </c>
      <c r="DP243" s="13">
        <f t="shared" si="27"/>
        <v>1766.306</v>
      </c>
      <c r="DQ243" s="13">
        <f t="shared" si="27"/>
        <v>112.3574</v>
      </c>
      <c r="DR243" s="13">
        <f t="shared" si="27"/>
        <v>1653.9485999999999</v>
      </c>
      <c r="DS243" s="14" t="s">
        <v>71</v>
      </c>
      <c r="DT243" s="14" t="s">
        <v>92</v>
      </c>
      <c r="DU243" s="14" t="s">
        <v>73</v>
      </c>
      <c r="DV243" s="14" t="s">
        <v>63</v>
      </c>
      <c r="DW243" s="14" t="s">
        <v>74</v>
      </c>
    </row>
    <row r="244" spans="2:127" x14ac:dyDescent="0.3">
      <c r="B244" s="11" t="s">
        <v>65</v>
      </c>
      <c r="C244" s="14">
        <v>5008955842</v>
      </c>
      <c r="D244" s="11" t="s">
        <v>788</v>
      </c>
      <c r="E244" s="11" t="s">
        <v>522</v>
      </c>
      <c r="F244" s="11" t="s">
        <v>789</v>
      </c>
      <c r="G244" s="11" t="s">
        <v>790</v>
      </c>
      <c r="H244" s="11" t="s">
        <v>291</v>
      </c>
      <c r="I244" s="11">
        <v>2138</v>
      </c>
      <c r="J244" s="11" t="s">
        <v>80</v>
      </c>
      <c r="K244" s="11"/>
      <c r="L244" s="11"/>
      <c r="M244" s="11"/>
      <c r="N244" s="11"/>
      <c r="O244" s="13">
        <v>1032</v>
      </c>
      <c r="P244" s="13">
        <v>1032</v>
      </c>
      <c r="Q244" s="13">
        <v>0</v>
      </c>
      <c r="R244" s="13">
        <v>68915.043799999999</v>
      </c>
      <c r="S244" s="13">
        <v>2139.9548</v>
      </c>
      <c r="T244" s="13">
        <v>66775.089000000007</v>
      </c>
      <c r="U244" s="13">
        <v>68</v>
      </c>
      <c r="V244" s="13">
        <v>68</v>
      </c>
      <c r="W244" s="13">
        <v>0</v>
      </c>
      <c r="X244" s="13">
        <v>3965.2689</v>
      </c>
      <c r="Y244" s="13">
        <v>237.7131</v>
      </c>
      <c r="Z244" s="13">
        <v>3727.5558000000001</v>
      </c>
      <c r="AA244" s="13">
        <v>102</v>
      </c>
      <c r="AB244" s="13">
        <v>102</v>
      </c>
      <c r="AC244" s="13">
        <v>0</v>
      </c>
      <c r="AD244" s="13">
        <v>6365.6337999999996</v>
      </c>
      <c r="AE244" s="13">
        <v>292.92700000000002</v>
      </c>
      <c r="AF244" s="13">
        <v>6072.7067999999999</v>
      </c>
      <c r="AG244" s="13">
        <v>16</v>
      </c>
      <c r="AH244" s="13">
        <v>16</v>
      </c>
      <c r="AI244" s="13">
        <v>0</v>
      </c>
      <c r="AJ244" s="13">
        <v>4521.9278000000004</v>
      </c>
      <c r="AK244" s="13">
        <v>189.56989999999999</v>
      </c>
      <c r="AL244" s="13">
        <v>4332.3579</v>
      </c>
      <c r="AM244" s="13">
        <v>85</v>
      </c>
      <c r="AN244" s="13">
        <v>85</v>
      </c>
      <c r="AO244" s="13">
        <v>0</v>
      </c>
      <c r="AP244" s="13">
        <v>5485.98</v>
      </c>
      <c r="AQ244" s="13">
        <v>301.96199999999999</v>
      </c>
      <c r="AR244" s="13">
        <v>5184.018</v>
      </c>
      <c r="AS244" s="13">
        <v>121</v>
      </c>
      <c r="AT244" s="13">
        <v>121</v>
      </c>
      <c r="AU244" s="13">
        <v>0</v>
      </c>
      <c r="AV244" s="13">
        <v>5479.5540000000001</v>
      </c>
      <c r="AW244" s="13">
        <v>172.107</v>
      </c>
      <c r="AX244" s="13">
        <v>5307.4470000000001</v>
      </c>
      <c r="AY244" s="13">
        <v>76</v>
      </c>
      <c r="AZ244" s="13">
        <v>76</v>
      </c>
      <c r="BA244" s="13">
        <v>0</v>
      </c>
      <c r="BB244" s="13">
        <v>5282.3881000000001</v>
      </c>
      <c r="BC244" s="13">
        <v>172.42750000000001</v>
      </c>
      <c r="BD244" s="13">
        <v>5109.9606000000003</v>
      </c>
      <c r="BE244" s="13">
        <v>38</v>
      </c>
      <c r="BF244" s="13">
        <v>38</v>
      </c>
      <c r="BG244" s="13">
        <v>0</v>
      </c>
      <c r="BH244" s="13">
        <v>4805.2523000000001</v>
      </c>
      <c r="BI244" s="13">
        <v>40.892899999999997</v>
      </c>
      <c r="BJ244" s="13">
        <v>4764.3594000000003</v>
      </c>
      <c r="BK244" s="13">
        <v>94</v>
      </c>
      <c r="BL244" s="13">
        <v>94</v>
      </c>
      <c r="BM244" s="13">
        <v>0</v>
      </c>
      <c r="BN244" s="13">
        <v>6091.1062000000002</v>
      </c>
      <c r="BO244" s="13">
        <v>117.1426</v>
      </c>
      <c r="BP244" s="13">
        <v>5973.9636</v>
      </c>
      <c r="BQ244" s="13">
        <v>70</v>
      </c>
      <c r="BR244" s="13">
        <v>70</v>
      </c>
      <c r="BS244" s="13">
        <v>0</v>
      </c>
      <c r="BT244" s="13">
        <v>4760.3019999999997</v>
      </c>
      <c r="BU244" s="13">
        <v>70</v>
      </c>
      <c r="BV244" s="13">
        <v>4690.3019999999997</v>
      </c>
      <c r="BW244" s="13">
        <v>86</v>
      </c>
      <c r="BX244" s="13">
        <v>86</v>
      </c>
      <c r="BY244" s="13">
        <v>0</v>
      </c>
      <c r="BZ244" s="13">
        <v>4838.0164999999997</v>
      </c>
      <c r="CA244" s="13">
        <v>86</v>
      </c>
      <c r="CB244" s="13">
        <v>4752.0164999999997</v>
      </c>
      <c r="CC244" s="13">
        <v>75</v>
      </c>
      <c r="CD244" s="13">
        <v>75</v>
      </c>
      <c r="CE244" s="13">
        <v>0</v>
      </c>
      <c r="CF244" s="13">
        <v>6843.3438000000006</v>
      </c>
      <c r="CG244" s="13">
        <v>178.17779999999999</v>
      </c>
      <c r="CH244" s="13">
        <v>6665.1660000000002</v>
      </c>
      <c r="CI244" s="13">
        <v>77</v>
      </c>
      <c r="CJ244" s="13">
        <v>77</v>
      </c>
      <c r="CK244" s="13">
        <v>0</v>
      </c>
      <c r="CL244" s="13">
        <v>5443.8468000000003</v>
      </c>
      <c r="CM244" s="13">
        <v>111.714</v>
      </c>
      <c r="CN244" s="13">
        <v>5332.1328000000003</v>
      </c>
      <c r="CO244" s="13">
        <v>124</v>
      </c>
      <c r="CP244" s="13">
        <v>124</v>
      </c>
      <c r="CQ244" s="13">
        <v>0</v>
      </c>
      <c r="CR244" s="13">
        <v>5032.4236000000001</v>
      </c>
      <c r="CS244" s="13">
        <v>169.321</v>
      </c>
      <c r="CT244" s="13">
        <v>4863.1026000000002</v>
      </c>
      <c r="CU244" s="13">
        <f t="shared" si="28"/>
        <v>964</v>
      </c>
      <c r="CV244" s="13">
        <f t="shared" si="28"/>
        <v>964</v>
      </c>
      <c r="CW244" s="13">
        <f t="shared" si="28"/>
        <v>0</v>
      </c>
      <c r="CX244" s="13">
        <f t="shared" si="24"/>
        <v>64949.774899999997</v>
      </c>
      <c r="CY244" s="13">
        <f t="shared" si="24"/>
        <v>1902.2416999999996</v>
      </c>
      <c r="CZ244" s="13">
        <f t="shared" si="24"/>
        <v>63047.533199999998</v>
      </c>
      <c r="DA244" s="13">
        <f t="shared" si="29"/>
        <v>276</v>
      </c>
      <c r="DB244" s="13">
        <f t="shared" si="29"/>
        <v>276</v>
      </c>
      <c r="DC244" s="13">
        <f t="shared" si="29"/>
        <v>0</v>
      </c>
      <c r="DD244" s="13">
        <f t="shared" si="25"/>
        <v>17319.614200000004</v>
      </c>
      <c r="DE244" s="13">
        <f t="shared" si="25"/>
        <v>459.21280000000002</v>
      </c>
      <c r="DF244" s="13">
        <f t="shared" si="25"/>
        <v>16860.401400000002</v>
      </c>
      <c r="DG244" s="13">
        <f t="shared" si="30"/>
        <v>250</v>
      </c>
      <c r="DH244" s="13">
        <f t="shared" si="30"/>
        <v>250</v>
      </c>
      <c r="DI244" s="13">
        <f t="shared" si="30"/>
        <v>0</v>
      </c>
      <c r="DJ244" s="13">
        <f t="shared" si="26"/>
        <v>15689.4247</v>
      </c>
      <c r="DK244" s="13">
        <f t="shared" si="26"/>
        <v>273.14260000000002</v>
      </c>
      <c r="DL244" s="13">
        <f t="shared" si="26"/>
        <v>15416.282099999999</v>
      </c>
      <c r="DM244" s="13">
        <f t="shared" si="31"/>
        <v>201</v>
      </c>
      <c r="DN244" s="13">
        <f t="shared" si="31"/>
        <v>201</v>
      </c>
      <c r="DO244" s="13">
        <f t="shared" si="31"/>
        <v>0</v>
      </c>
      <c r="DP244" s="13">
        <f t="shared" si="27"/>
        <v>10476.270400000001</v>
      </c>
      <c r="DQ244" s="13">
        <f t="shared" si="27"/>
        <v>281.03499999999997</v>
      </c>
      <c r="DR244" s="13">
        <f t="shared" si="27"/>
        <v>10195.235400000001</v>
      </c>
      <c r="DS244" s="14" t="s">
        <v>81</v>
      </c>
      <c r="DT244" s="14" t="s">
        <v>72</v>
      </c>
      <c r="DU244" s="14" t="s">
        <v>73</v>
      </c>
      <c r="DV244" s="14" t="s">
        <v>82</v>
      </c>
      <c r="DW244" s="14" t="s">
        <v>64</v>
      </c>
    </row>
    <row r="245" spans="2:127" x14ac:dyDescent="0.3">
      <c r="B245" s="11" t="s">
        <v>53</v>
      </c>
      <c r="C245" s="14">
        <v>5008956003</v>
      </c>
      <c r="D245" s="11" t="s">
        <v>791</v>
      </c>
      <c r="E245" s="11" t="s">
        <v>522</v>
      </c>
      <c r="F245" s="11" t="s">
        <v>792</v>
      </c>
      <c r="G245" s="11" t="s">
        <v>295</v>
      </c>
      <c r="H245" s="11" t="s">
        <v>296</v>
      </c>
      <c r="I245" s="11">
        <v>60606</v>
      </c>
      <c r="J245" s="11" t="s">
        <v>80</v>
      </c>
      <c r="K245" s="11"/>
      <c r="L245" s="11"/>
      <c r="M245" s="11"/>
      <c r="N245" s="11"/>
      <c r="O245" s="13">
        <v>1238</v>
      </c>
      <c r="P245" s="13">
        <v>1238</v>
      </c>
      <c r="Q245" s="13">
        <v>0</v>
      </c>
      <c r="R245" s="13">
        <v>89886.989499999996</v>
      </c>
      <c r="S245" s="13">
        <v>3918.6909999999998</v>
      </c>
      <c r="T245" s="13">
        <v>85968.298500000004</v>
      </c>
      <c r="U245" s="13">
        <v>118</v>
      </c>
      <c r="V245" s="13">
        <v>118</v>
      </c>
      <c r="W245" s="13">
        <v>0</v>
      </c>
      <c r="X245" s="13">
        <v>6253.3834999999999</v>
      </c>
      <c r="Y245" s="13">
        <v>304.10570000000001</v>
      </c>
      <c r="Z245" s="13">
        <v>5949.2777999999998</v>
      </c>
      <c r="AA245" s="13">
        <v>101</v>
      </c>
      <c r="AB245" s="13">
        <v>101</v>
      </c>
      <c r="AC245" s="13">
        <v>0</v>
      </c>
      <c r="AD245" s="13">
        <v>7457.1727000000001</v>
      </c>
      <c r="AE245" s="13">
        <v>335.31939999999997</v>
      </c>
      <c r="AF245" s="13">
        <v>7121.8532999999998</v>
      </c>
      <c r="AG245" s="13">
        <v>101</v>
      </c>
      <c r="AH245" s="13">
        <v>101</v>
      </c>
      <c r="AI245" s="13">
        <v>0</v>
      </c>
      <c r="AJ245" s="13">
        <v>6455.0844999999999</v>
      </c>
      <c r="AK245" s="13">
        <v>246.60579999999999</v>
      </c>
      <c r="AL245" s="13">
        <v>6208.4786999999997</v>
      </c>
      <c r="AM245" s="13">
        <v>82</v>
      </c>
      <c r="AN245" s="13">
        <v>82</v>
      </c>
      <c r="AO245" s="13">
        <v>0</v>
      </c>
      <c r="AP245" s="13">
        <v>5801.7744000000002</v>
      </c>
      <c r="AQ245" s="13">
        <v>284.49810000000002</v>
      </c>
      <c r="AR245" s="13">
        <v>5517.2763000000004</v>
      </c>
      <c r="AS245" s="13">
        <v>45</v>
      </c>
      <c r="AT245" s="13">
        <v>45</v>
      </c>
      <c r="AU245" s="13">
        <v>0</v>
      </c>
      <c r="AV245" s="13">
        <v>7404.0655999999999</v>
      </c>
      <c r="AW245" s="13">
        <v>282.21230000000003</v>
      </c>
      <c r="AX245" s="13">
        <v>7121.8532999999998</v>
      </c>
      <c r="AY245" s="13">
        <v>50</v>
      </c>
      <c r="AZ245" s="13">
        <v>50</v>
      </c>
      <c r="BA245" s="13">
        <v>0</v>
      </c>
      <c r="BB245" s="13">
        <v>6082.5892999999996</v>
      </c>
      <c r="BC245" s="13">
        <v>281.42629999999997</v>
      </c>
      <c r="BD245" s="13">
        <v>5801.1629999999996</v>
      </c>
      <c r="BE245" s="13">
        <v>92</v>
      </c>
      <c r="BF245" s="13">
        <v>92</v>
      </c>
      <c r="BG245" s="13">
        <v>0</v>
      </c>
      <c r="BH245" s="13">
        <v>6883.0994000000001</v>
      </c>
      <c r="BI245" s="13">
        <v>316.67660000000001</v>
      </c>
      <c r="BJ245" s="13">
        <v>6566.4228000000003</v>
      </c>
      <c r="BK245" s="13">
        <v>175</v>
      </c>
      <c r="BL245" s="13">
        <v>175</v>
      </c>
      <c r="BM245" s="13">
        <v>0</v>
      </c>
      <c r="BN245" s="13">
        <v>8204.6311000000005</v>
      </c>
      <c r="BO245" s="13">
        <v>490.3186</v>
      </c>
      <c r="BP245" s="13">
        <v>7714.3125</v>
      </c>
      <c r="BQ245" s="13">
        <v>91</v>
      </c>
      <c r="BR245" s="13">
        <v>91</v>
      </c>
      <c r="BS245" s="13">
        <v>0</v>
      </c>
      <c r="BT245" s="13">
        <v>6552.6990999999998</v>
      </c>
      <c r="BU245" s="13">
        <v>257.82010000000002</v>
      </c>
      <c r="BV245" s="13">
        <v>6294.8789999999999</v>
      </c>
      <c r="BW245" s="13">
        <v>94</v>
      </c>
      <c r="BX245" s="13">
        <v>94</v>
      </c>
      <c r="BY245" s="13">
        <v>0</v>
      </c>
      <c r="BZ245" s="13">
        <v>6948.5505000000003</v>
      </c>
      <c r="CA245" s="13">
        <v>246.35579999999999</v>
      </c>
      <c r="CB245" s="13">
        <v>6702.1947</v>
      </c>
      <c r="CC245" s="13">
        <v>90</v>
      </c>
      <c r="CD245" s="13">
        <v>90</v>
      </c>
      <c r="CE245" s="13">
        <v>0</v>
      </c>
      <c r="CF245" s="13">
        <v>7961.6834000000008</v>
      </c>
      <c r="CG245" s="13">
        <v>197.99930000000001</v>
      </c>
      <c r="CH245" s="13">
        <v>7763.6841000000004</v>
      </c>
      <c r="CI245" s="13">
        <v>74</v>
      </c>
      <c r="CJ245" s="13">
        <v>74</v>
      </c>
      <c r="CK245" s="13">
        <v>0</v>
      </c>
      <c r="CL245" s="13">
        <v>6714.2848000000004</v>
      </c>
      <c r="CM245" s="13">
        <v>308.31970000000001</v>
      </c>
      <c r="CN245" s="13">
        <v>6405.9651000000003</v>
      </c>
      <c r="CO245" s="13">
        <v>125</v>
      </c>
      <c r="CP245" s="13">
        <v>125</v>
      </c>
      <c r="CQ245" s="13">
        <v>0</v>
      </c>
      <c r="CR245" s="13">
        <v>7167.9712</v>
      </c>
      <c r="CS245" s="13">
        <v>367.0333</v>
      </c>
      <c r="CT245" s="13">
        <v>6800.9378999999999</v>
      </c>
      <c r="CU245" s="13">
        <f t="shared" si="28"/>
        <v>1120</v>
      </c>
      <c r="CV245" s="13">
        <f t="shared" si="28"/>
        <v>1120</v>
      </c>
      <c r="CW245" s="13">
        <f t="shared" si="28"/>
        <v>0</v>
      </c>
      <c r="CX245" s="13">
        <f t="shared" si="24"/>
        <v>83633.605999999985</v>
      </c>
      <c r="CY245" s="13">
        <f t="shared" si="24"/>
        <v>3614.5852999999997</v>
      </c>
      <c r="CZ245" s="13">
        <f t="shared" si="24"/>
        <v>80019.020700000008</v>
      </c>
      <c r="DA245" s="13">
        <f t="shared" si="29"/>
        <v>289</v>
      </c>
      <c r="DB245" s="13">
        <f t="shared" si="29"/>
        <v>289</v>
      </c>
      <c r="DC245" s="13">
        <f t="shared" si="29"/>
        <v>0</v>
      </c>
      <c r="DD245" s="13">
        <f t="shared" si="25"/>
        <v>21843.939400000003</v>
      </c>
      <c r="DE245" s="13">
        <f t="shared" si="25"/>
        <v>873.35230000000001</v>
      </c>
      <c r="DF245" s="13">
        <f t="shared" si="25"/>
        <v>20970.587100000001</v>
      </c>
      <c r="DG245" s="13">
        <f t="shared" si="30"/>
        <v>360</v>
      </c>
      <c r="DH245" s="13">
        <f t="shared" si="30"/>
        <v>360</v>
      </c>
      <c r="DI245" s="13">
        <f t="shared" si="30"/>
        <v>0</v>
      </c>
      <c r="DJ245" s="13">
        <f t="shared" si="26"/>
        <v>21705.880700000002</v>
      </c>
      <c r="DK245" s="13">
        <f t="shared" si="26"/>
        <v>994.49450000000002</v>
      </c>
      <c r="DL245" s="13">
        <f t="shared" si="26"/>
        <v>20711.386200000001</v>
      </c>
      <c r="DM245" s="13">
        <f t="shared" si="31"/>
        <v>199</v>
      </c>
      <c r="DN245" s="13">
        <f t="shared" si="31"/>
        <v>199</v>
      </c>
      <c r="DO245" s="13">
        <f t="shared" si="31"/>
        <v>0</v>
      </c>
      <c r="DP245" s="13">
        <f t="shared" si="27"/>
        <v>13882.256000000001</v>
      </c>
      <c r="DQ245" s="13">
        <f t="shared" si="27"/>
        <v>675.35300000000007</v>
      </c>
      <c r="DR245" s="13">
        <f t="shared" si="27"/>
        <v>13206.903</v>
      </c>
      <c r="DS245" s="14" t="s">
        <v>81</v>
      </c>
      <c r="DT245" s="14" t="s">
        <v>81</v>
      </c>
      <c r="DU245" s="14" t="s">
        <v>73</v>
      </c>
      <c r="DV245" s="14" t="s">
        <v>82</v>
      </c>
      <c r="DW245" s="14" t="s">
        <v>74</v>
      </c>
    </row>
    <row r="246" spans="2:127" x14ac:dyDescent="0.3">
      <c r="B246" s="11" t="s">
        <v>75</v>
      </c>
      <c r="C246" s="14">
        <v>5010561869</v>
      </c>
      <c r="D246" s="11" t="s">
        <v>793</v>
      </c>
      <c r="E246" s="11" t="s">
        <v>522</v>
      </c>
      <c r="F246" s="11" t="s">
        <v>794</v>
      </c>
      <c r="G246" s="11" t="s">
        <v>795</v>
      </c>
      <c r="H246" s="11" t="s">
        <v>169</v>
      </c>
      <c r="I246" s="11">
        <v>22042</v>
      </c>
      <c r="J246" s="11" t="s">
        <v>80</v>
      </c>
      <c r="K246" s="11"/>
      <c r="L246" s="11"/>
      <c r="M246" s="11"/>
      <c r="N246" s="11"/>
      <c r="O246" s="13">
        <v>160</v>
      </c>
      <c r="P246" s="13">
        <v>160</v>
      </c>
      <c r="Q246" s="13">
        <v>0</v>
      </c>
      <c r="R246" s="13">
        <v>32488.363099999999</v>
      </c>
      <c r="S246" s="13">
        <v>680.70979999999997</v>
      </c>
      <c r="T246" s="13">
        <v>31807.653300000002</v>
      </c>
      <c r="U246" s="13">
        <v>0</v>
      </c>
      <c r="V246" s="13">
        <v>0</v>
      </c>
      <c r="W246" s="13">
        <v>0</v>
      </c>
      <c r="X246" s="13">
        <v>2274.9507000000003</v>
      </c>
      <c r="Y246" s="13">
        <v>3.8571</v>
      </c>
      <c r="Z246" s="13">
        <v>2271.0936000000002</v>
      </c>
      <c r="AA246" s="13">
        <v>0</v>
      </c>
      <c r="AB246" s="13">
        <v>0</v>
      </c>
      <c r="AC246" s="13">
        <v>0</v>
      </c>
      <c r="AD246" s="13">
        <v>6220.0499999999993</v>
      </c>
      <c r="AE246" s="13">
        <v>11.571300000000001</v>
      </c>
      <c r="AF246" s="13">
        <v>6208.4786999999997</v>
      </c>
      <c r="AG246" s="13">
        <v>0</v>
      </c>
      <c r="AH246" s="13">
        <v>0</v>
      </c>
      <c r="AI246" s="13">
        <v>0</v>
      </c>
      <c r="AJ246" s="13">
        <v>756.19509999999991</v>
      </c>
      <c r="AK246" s="13">
        <v>27.963999999999999</v>
      </c>
      <c r="AL246" s="13">
        <v>728.23109999999997</v>
      </c>
      <c r="AM246" s="13">
        <v>0</v>
      </c>
      <c r="AN246" s="13">
        <v>0</v>
      </c>
      <c r="AO246" s="13">
        <v>0</v>
      </c>
      <c r="AP246" s="13">
        <v>814.63139999999999</v>
      </c>
      <c r="AQ246" s="13">
        <v>0</v>
      </c>
      <c r="AR246" s="13">
        <v>814.63139999999999</v>
      </c>
      <c r="AS246" s="13">
        <v>30</v>
      </c>
      <c r="AT246" s="13">
        <v>30</v>
      </c>
      <c r="AU246" s="13">
        <v>0</v>
      </c>
      <c r="AV246" s="13">
        <v>2316.5219999999999</v>
      </c>
      <c r="AW246" s="13">
        <v>45.428399999999996</v>
      </c>
      <c r="AX246" s="13">
        <v>2271.0936000000002</v>
      </c>
      <c r="AY246" s="13">
        <v>20</v>
      </c>
      <c r="AZ246" s="13">
        <v>20</v>
      </c>
      <c r="BA246" s="13">
        <v>0</v>
      </c>
      <c r="BB246" s="13">
        <v>2867.93</v>
      </c>
      <c r="BC246" s="13">
        <v>115.4633</v>
      </c>
      <c r="BD246" s="13">
        <v>2752.4666999999999</v>
      </c>
      <c r="BE246" s="13">
        <v>50</v>
      </c>
      <c r="BF246" s="13">
        <v>50</v>
      </c>
      <c r="BG246" s="13">
        <v>0</v>
      </c>
      <c r="BH246" s="13">
        <v>2547.701</v>
      </c>
      <c r="BI246" s="13">
        <v>91.463899999999995</v>
      </c>
      <c r="BJ246" s="13">
        <v>2456.2370999999998</v>
      </c>
      <c r="BK246" s="13">
        <v>0</v>
      </c>
      <c r="BL246" s="13">
        <v>0</v>
      </c>
      <c r="BM246" s="13">
        <v>0</v>
      </c>
      <c r="BN246" s="13">
        <v>2888.2386000000001</v>
      </c>
      <c r="BO246" s="13">
        <v>0</v>
      </c>
      <c r="BP246" s="13">
        <v>2888.2386000000001</v>
      </c>
      <c r="BQ246" s="13">
        <v>0</v>
      </c>
      <c r="BR246" s="13">
        <v>0</v>
      </c>
      <c r="BS246" s="13">
        <v>0</v>
      </c>
      <c r="BT246" s="13">
        <v>1712.577</v>
      </c>
      <c r="BU246" s="13">
        <v>46.285499999999999</v>
      </c>
      <c r="BV246" s="13">
        <v>1666.2915</v>
      </c>
      <c r="BW246" s="13">
        <v>10</v>
      </c>
      <c r="BX246" s="13">
        <v>10</v>
      </c>
      <c r="BY246" s="13">
        <v>0</v>
      </c>
      <c r="BZ246" s="13">
        <v>2302.6929999999998</v>
      </c>
      <c r="CA246" s="13">
        <v>56.285200000000003</v>
      </c>
      <c r="CB246" s="13">
        <v>2246.4078</v>
      </c>
      <c r="CC246" s="13">
        <v>30</v>
      </c>
      <c r="CD246" s="13">
        <v>30</v>
      </c>
      <c r="CE246" s="13">
        <v>0</v>
      </c>
      <c r="CF246" s="13">
        <v>2721.1368000000002</v>
      </c>
      <c r="CG246" s="13">
        <v>116.78489999999999</v>
      </c>
      <c r="CH246" s="13">
        <v>2604.3519000000001</v>
      </c>
      <c r="CI246" s="13">
        <v>0</v>
      </c>
      <c r="CJ246" s="13">
        <v>0</v>
      </c>
      <c r="CK246" s="13">
        <v>0</v>
      </c>
      <c r="CL246" s="13">
        <v>2289.2216000000003</v>
      </c>
      <c r="CM246" s="13">
        <v>67.499600000000001</v>
      </c>
      <c r="CN246" s="13">
        <v>2221.7220000000002</v>
      </c>
      <c r="CO246" s="13">
        <v>20</v>
      </c>
      <c r="CP246" s="13">
        <v>20</v>
      </c>
      <c r="CQ246" s="13">
        <v>0</v>
      </c>
      <c r="CR246" s="13">
        <v>2776.5158999999999</v>
      </c>
      <c r="CS246" s="13">
        <v>98.1066</v>
      </c>
      <c r="CT246" s="13">
        <v>2678.4092999999998</v>
      </c>
      <c r="CU246" s="13">
        <f t="shared" si="28"/>
        <v>160</v>
      </c>
      <c r="CV246" s="13">
        <f t="shared" si="28"/>
        <v>160</v>
      </c>
      <c r="CW246" s="13">
        <f t="shared" si="28"/>
        <v>0</v>
      </c>
      <c r="CX246" s="13">
        <f t="shared" si="24"/>
        <v>30213.412400000001</v>
      </c>
      <c r="CY246" s="13">
        <f t="shared" si="24"/>
        <v>676.85269999999991</v>
      </c>
      <c r="CZ246" s="13">
        <f t="shared" si="24"/>
        <v>29536.559700000002</v>
      </c>
      <c r="DA246" s="13">
        <f t="shared" si="29"/>
        <v>50</v>
      </c>
      <c r="DB246" s="13">
        <f t="shared" si="29"/>
        <v>50</v>
      </c>
      <c r="DC246" s="13">
        <f t="shared" si="29"/>
        <v>0</v>
      </c>
      <c r="DD246" s="13">
        <f t="shared" si="25"/>
        <v>7786.8743000000013</v>
      </c>
      <c r="DE246" s="13">
        <f t="shared" si="25"/>
        <v>282.39109999999999</v>
      </c>
      <c r="DF246" s="13">
        <f t="shared" si="25"/>
        <v>7504.4832000000006</v>
      </c>
      <c r="DG246" s="13">
        <f t="shared" si="30"/>
        <v>10</v>
      </c>
      <c r="DH246" s="13">
        <f t="shared" si="30"/>
        <v>10</v>
      </c>
      <c r="DI246" s="13">
        <f t="shared" si="30"/>
        <v>0</v>
      </c>
      <c r="DJ246" s="13">
        <f t="shared" si="26"/>
        <v>6903.5085999999992</v>
      </c>
      <c r="DK246" s="13">
        <f t="shared" si="26"/>
        <v>102.5707</v>
      </c>
      <c r="DL246" s="13">
        <f t="shared" si="26"/>
        <v>6800.9378999999999</v>
      </c>
      <c r="DM246" s="13">
        <f t="shared" si="31"/>
        <v>20</v>
      </c>
      <c r="DN246" s="13">
        <f t="shared" si="31"/>
        <v>20</v>
      </c>
      <c r="DO246" s="13">
        <f t="shared" si="31"/>
        <v>0</v>
      </c>
      <c r="DP246" s="13">
        <f t="shared" si="27"/>
        <v>5065.7375000000002</v>
      </c>
      <c r="DQ246" s="13">
        <f t="shared" si="27"/>
        <v>165.6062</v>
      </c>
      <c r="DR246" s="13">
        <f t="shared" si="27"/>
        <v>4900.1313</v>
      </c>
      <c r="DS246" s="14" t="s">
        <v>81</v>
      </c>
      <c r="DT246" s="14" t="s">
        <v>81</v>
      </c>
      <c r="DU246" s="14" t="s">
        <v>73</v>
      </c>
      <c r="DV246" s="14" t="s">
        <v>97</v>
      </c>
      <c r="DW246" s="14" t="s">
        <v>74</v>
      </c>
    </row>
    <row r="247" spans="2:127" x14ac:dyDescent="0.3">
      <c r="B247" s="11" t="s">
        <v>75</v>
      </c>
      <c r="C247" s="14">
        <v>5011490358</v>
      </c>
      <c r="D247" s="11" t="s">
        <v>796</v>
      </c>
      <c r="E247" s="11" t="s">
        <v>522</v>
      </c>
      <c r="F247" s="11" t="s">
        <v>797</v>
      </c>
      <c r="G247" s="11" t="s">
        <v>156</v>
      </c>
      <c r="H247" s="11" t="s">
        <v>157</v>
      </c>
      <c r="I247" s="11">
        <v>30308</v>
      </c>
      <c r="J247" s="11" t="s">
        <v>368</v>
      </c>
      <c r="K247" s="11"/>
      <c r="L247" s="11"/>
      <c r="M247" s="11"/>
      <c r="N247" s="11"/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13">
        <v>0</v>
      </c>
      <c r="BL247" s="13">
        <v>0</v>
      </c>
      <c r="BM247" s="13">
        <v>0</v>
      </c>
      <c r="BN247" s="13">
        <v>0</v>
      </c>
      <c r="BO247" s="13">
        <v>0</v>
      </c>
      <c r="BP247" s="13">
        <v>0</v>
      </c>
      <c r="BQ247" s="13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0</v>
      </c>
      <c r="BZ247" s="13">
        <v>0</v>
      </c>
      <c r="CA247" s="13">
        <v>0</v>
      </c>
      <c r="CB247" s="13">
        <v>0</v>
      </c>
      <c r="CC247" s="13">
        <v>0</v>
      </c>
      <c r="CD247" s="13">
        <v>0</v>
      </c>
      <c r="CE247" s="13">
        <v>0</v>
      </c>
      <c r="CF247" s="13">
        <v>0</v>
      </c>
      <c r="CG247" s="13">
        <v>0</v>
      </c>
      <c r="CH247" s="13">
        <v>0</v>
      </c>
      <c r="CI247" s="13">
        <v>0</v>
      </c>
      <c r="CJ247" s="13">
        <v>0</v>
      </c>
      <c r="CK247" s="13">
        <v>0</v>
      </c>
      <c r="CL247" s="13">
        <v>0</v>
      </c>
      <c r="CM247" s="13">
        <v>0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f t="shared" si="28"/>
        <v>0</v>
      </c>
      <c r="CV247" s="13">
        <f t="shared" si="28"/>
        <v>0</v>
      </c>
      <c r="CW247" s="13">
        <f t="shared" si="28"/>
        <v>0</v>
      </c>
      <c r="CX247" s="13">
        <f t="shared" si="24"/>
        <v>0</v>
      </c>
      <c r="CY247" s="13">
        <f t="shared" si="24"/>
        <v>0</v>
      </c>
      <c r="CZ247" s="13">
        <f t="shared" si="24"/>
        <v>0</v>
      </c>
      <c r="DA247" s="13">
        <f t="shared" si="29"/>
        <v>0</v>
      </c>
      <c r="DB247" s="13">
        <f t="shared" si="29"/>
        <v>0</v>
      </c>
      <c r="DC247" s="13">
        <f t="shared" si="29"/>
        <v>0</v>
      </c>
      <c r="DD247" s="13">
        <f t="shared" si="25"/>
        <v>0</v>
      </c>
      <c r="DE247" s="13">
        <f t="shared" si="25"/>
        <v>0</v>
      </c>
      <c r="DF247" s="13">
        <f t="shared" si="25"/>
        <v>0</v>
      </c>
      <c r="DG247" s="13">
        <f t="shared" si="30"/>
        <v>0</v>
      </c>
      <c r="DH247" s="13">
        <f t="shared" si="30"/>
        <v>0</v>
      </c>
      <c r="DI247" s="13">
        <f t="shared" si="30"/>
        <v>0</v>
      </c>
      <c r="DJ247" s="13">
        <f t="shared" si="26"/>
        <v>0</v>
      </c>
      <c r="DK247" s="13">
        <f t="shared" si="26"/>
        <v>0</v>
      </c>
      <c r="DL247" s="13">
        <f t="shared" si="26"/>
        <v>0</v>
      </c>
      <c r="DM247" s="13">
        <f t="shared" si="31"/>
        <v>0</v>
      </c>
      <c r="DN247" s="13">
        <f t="shared" si="31"/>
        <v>0</v>
      </c>
      <c r="DO247" s="13">
        <f t="shared" si="31"/>
        <v>0</v>
      </c>
      <c r="DP247" s="13">
        <f t="shared" si="27"/>
        <v>0</v>
      </c>
      <c r="DQ247" s="13">
        <f t="shared" si="27"/>
        <v>0</v>
      </c>
      <c r="DR247" s="13">
        <f t="shared" si="27"/>
        <v>0</v>
      </c>
      <c r="DS247" s="14" t="s">
        <v>60</v>
      </c>
      <c r="DT247" s="14" t="s">
        <v>72</v>
      </c>
      <c r="DU247" s="14" t="s">
        <v>73</v>
      </c>
      <c r="DV247" s="14" t="s">
        <v>372</v>
      </c>
      <c r="DW247" s="14" t="s">
        <v>64</v>
      </c>
    </row>
    <row r="248" spans="2:127" x14ac:dyDescent="0.3">
      <c r="B248" s="11" t="s">
        <v>65</v>
      </c>
      <c r="C248" s="14" t="s">
        <v>798</v>
      </c>
      <c r="D248" s="11" t="s">
        <v>799</v>
      </c>
      <c r="E248" s="11" t="s">
        <v>522</v>
      </c>
      <c r="F248" s="11" t="s">
        <v>800</v>
      </c>
      <c r="G248" s="11" t="s">
        <v>801</v>
      </c>
      <c r="H248" s="11" t="s">
        <v>216</v>
      </c>
      <c r="I248" s="11">
        <v>43035</v>
      </c>
      <c r="J248" s="11" t="s">
        <v>70</v>
      </c>
      <c r="K248" s="11"/>
      <c r="L248" s="11"/>
      <c r="M248" s="11"/>
      <c r="N248" s="11"/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0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  <c r="BL248" s="13">
        <v>0</v>
      </c>
      <c r="BM248" s="13">
        <v>0</v>
      </c>
      <c r="BN248" s="13">
        <v>0</v>
      </c>
      <c r="BO248" s="13">
        <v>0</v>
      </c>
      <c r="BP248" s="13">
        <v>0</v>
      </c>
      <c r="BQ248" s="13">
        <v>0</v>
      </c>
      <c r="BR248" s="13">
        <v>0</v>
      </c>
      <c r="BS248" s="13">
        <v>0</v>
      </c>
      <c r="BT248" s="13">
        <v>0</v>
      </c>
      <c r="BU248" s="13">
        <v>0</v>
      </c>
      <c r="BV248" s="13">
        <v>0</v>
      </c>
      <c r="BW248" s="13">
        <v>0</v>
      </c>
      <c r="BX248" s="13">
        <v>0</v>
      </c>
      <c r="BY248" s="13">
        <v>0</v>
      </c>
      <c r="BZ248" s="13">
        <v>0</v>
      </c>
      <c r="CA248" s="13">
        <v>0</v>
      </c>
      <c r="CB248" s="13">
        <v>0</v>
      </c>
      <c r="CC248" s="13">
        <v>0</v>
      </c>
      <c r="CD248" s="13">
        <v>0</v>
      </c>
      <c r="CE248" s="13">
        <v>0</v>
      </c>
      <c r="CF248" s="13">
        <v>0</v>
      </c>
      <c r="CG248" s="13">
        <v>0</v>
      </c>
      <c r="CH248" s="13">
        <v>0</v>
      </c>
      <c r="CI248" s="13">
        <v>0</v>
      </c>
      <c r="CJ248" s="13">
        <v>0</v>
      </c>
      <c r="CK248" s="13">
        <v>0</v>
      </c>
      <c r="CL248" s="13">
        <v>0</v>
      </c>
      <c r="CM248" s="13">
        <v>0</v>
      </c>
      <c r="CN248" s="13">
        <v>0</v>
      </c>
      <c r="CO248" s="13">
        <v>0</v>
      </c>
      <c r="CP248" s="13">
        <v>0</v>
      </c>
      <c r="CQ248" s="13">
        <v>0</v>
      </c>
      <c r="CR248" s="13">
        <v>0</v>
      </c>
      <c r="CS248" s="13">
        <v>0</v>
      </c>
      <c r="CT248" s="13">
        <v>0</v>
      </c>
      <c r="CU248" s="13">
        <f t="shared" si="28"/>
        <v>0</v>
      </c>
      <c r="CV248" s="13">
        <f t="shared" si="28"/>
        <v>0</v>
      </c>
      <c r="CW248" s="13">
        <f t="shared" si="28"/>
        <v>0</v>
      </c>
      <c r="CX248" s="13">
        <f t="shared" si="24"/>
        <v>0</v>
      </c>
      <c r="CY248" s="13">
        <f t="shared" si="24"/>
        <v>0</v>
      </c>
      <c r="CZ248" s="13">
        <f t="shared" si="24"/>
        <v>0</v>
      </c>
      <c r="DA248" s="13">
        <f t="shared" si="29"/>
        <v>0</v>
      </c>
      <c r="DB248" s="13">
        <f t="shared" si="29"/>
        <v>0</v>
      </c>
      <c r="DC248" s="13">
        <f t="shared" si="29"/>
        <v>0</v>
      </c>
      <c r="DD248" s="13">
        <f t="shared" si="25"/>
        <v>0</v>
      </c>
      <c r="DE248" s="13">
        <f t="shared" si="25"/>
        <v>0</v>
      </c>
      <c r="DF248" s="13">
        <f t="shared" si="25"/>
        <v>0</v>
      </c>
      <c r="DG248" s="13">
        <f t="shared" si="30"/>
        <v>0</v>
      </c>
      <c r="DH248" s="13">
        <f t="shared" si="30"/>
        <v>0</v>
      </c>
      <c r="DI248" s="13">
        <f t="shared" si="30"/>
        <v>0</v>
      </c>
      <c r="DJ248" s="13">
        <f t="shared" si="26"/>
        <v>0</v>
      </c>
      <c r="DK248" s="13">
        <f t="shared" si="26"/>
        <v>0</v>
      </c>
      <c r="DL248" s="13">
        <f t="shared" si="26"/>
        <v>0</v>
      </c>
      <c r="DM248" s="13">
        <f t="shared" si="31"/>
        <v>0</v>
      </c>
      <c r="DN248" s="13">
        <f t="shared" si="31"/>
        <v>0</v>
      </c>
      <c r="DO248" s="13">
        <f t="shared" si="31"/>
        <v>0</v>
      </c>
      <c r="DP248" s="13">
        <f t="shared" si="27"/>
        <v>0</v>
      </c>
      <c r="DQ248" s="13">
        <f t="shared" si="27"/>
        <v>0</v>
      </c>
      <c r="DR248" s="13">
        <f t="shared" si="27"/>
        <v>0</v>
      </c>
      <c r="DS248" s="14" t="s">
        <v>81</v>
      </c>
      <c r="DT248" s="14" t="s">
        <v>72</v>
      </c>
      <c r="DU248" s="14" t="s">
        <v>113</v>
      </c>
      <c r="DV248" s="14" t="s">
        <v>372</v>
      </c>
      <c r="DW248" s="14" t="s">
        <v>74</v>
      </c>
    </row>
    <row r="249" spans="2:127" x14ac:dyDescent="0.3">
      <c r="B249" s="11" t="s">
        <v>65</v>
      </c>
      <c r="C249" s="14">
        <v>5001338035</v>
      </c>
      <c r="D249" s="11" t="s">
        <v>802</v>
      </c>
      <c r="E249" s="11" t="s">
        <v>803</v>
      </c>
      <c r="F249" s="11" t="s">
        <v>804</v>
      </c>
      <c r="G249" s="11" t="s">
        <v>805</v>
      </c>
      <c r="H249" s="11" t="s">
        <v>239</v>
      </c>
      <c r="I249" s="11">
        <v>18960</v>
      </c>
      <c r="J249" s="11" t="s">
        <v>70</v>
      </c>
      <c r="K249" s="11"/>
      <c r="L249" s="11"/>
      <c r="M249" s="11"/>
      <c r="N249" s="11"/>
      <c r="O249" s="13">
        <v>-5</v>
      </c>
      <c r="P249" s="13">
        <v>-5</v>
      </c>
      <c r="Q249" s="13">
        <v>0</v>
      </c>
      <c r="R249" s="13">
        <v>45553.795899999997</v>
      </c>
      <c r="S249" s="13">
        <v>440.49639999999999</v>
      </c>
      <c r="T249" s="13">
        <v>45113.299500000001</v>
      </c>
      <c r="U249" s="13">
        <v>0</v>
      </c>
      <c r="V249" s="13">
        <v>0</v>
      </c>
      <c r="W249" s="13">
        <v>0</v>
      </c>
      <c r="X249" s="13">
        <v>2804.1523000000002</v>
      </c>
      <c r="Y249" s="13">
        <v>26.9998</v>
      </c>
      <c r="Z249" s="13">
        <v>2777.1525000000001</v>
      </c>
      <c r="AA249" s="13">
        <v>0</v>
      </c>
      <c r="AB249" s="13">
        <v>0</v>
      </c>
      <c r="AC249" s="13">
        <v>0</v>
      </c>
      <c r="AD249" s="13">
        <v>3840.9558999999999</v>
      </c>
      <c r="AE249" s="13">
        <v>26.9998</v>
      </c>
      <c r="AF249" s="13">
        <v>3813.9560999999999</v>
      </c>
      <c r="AG249" s="13">
        <v>0</v>
      </c>
      <c r="AH249" s="13">
        <v>0</v>
      </c>
      <c r="AI249" s="13">
        <v>0</v>
      </c>
      <c r="AJ249" s="13">
        <v>3680.4982</v>
      </c>
      <c r="AK249" s="13">
        <v>26.9998</v>
      </c>
      <c r="AL249" s="13">
        <v>3653.4983999999999</v>
      </c>
      <c r="AM249" s="13">
        <v>0</v>
      </c>
      <c r="AN249" s="13">
        <v>0</v>
      </c>
      <c r="AO249" s="13">
        <v>0</v>
      </c>
      <c r="AP249" s="13">
        <v>3238.4677999999999</v>
      </c>
      <c r="AQ249" s="13">
        <v>53.999600000000001</v>
      </c>
      <c r="AR249" s="13">
        <v>3184.4681999999998</v>
      </c>
      <c r="AS249" s="13">
        <v>0</v>
      </c>
      <c r="AT249" s="13">
        <v>0</v>
      </c>
      <c r="AU249" s="13">
        <v>0</v>
      </c>
      <c r="AV249" s="13">
        <v>4371.7005999999992</v>
      </c>
      <c r="AW249" s="13">
        <v>26.9998</v>
      </c>
      <c r="AX249" s="13">
        <v>4344.7007999999996</v>
      </c>
      <c r="AY249" s="13">
        <v>0</v>
      </c>
      <c r="AZ249" s="13">
        <v>0</v>
      </c>
      <c r="BA249" s="13">
        <v>0</v>
      </c>
      <c r="BB249" s="13">
        <v>2853.3312000000001</v>
      </c>
      <c r="BC249" s="13">
        <v>14.4642</v>
      </c>
      <c r="BD249" s="13">
        <v>2838.8670000000002</v>
      </c>
      <c r="BE249" s="13">
        <v>-5</v>
      </c>
      <c r="BF249" s="13">
        <v>-5</v>
      </c>
      <c r="BG249" s="13">
        <v>0</v>
      </c>
      <c r="BH249" s="13">
        <v>2994.1313</v>
      </c>
      <c r="BI249" s="13">
        <v>44.178199999999997</v>
      </c>
      <c r="BJ249" s="13">
        <v>2949.9531000000002</v>
      </c>
      <c r="BK249" s="13">
        <v>0</v>
      </c>
      <c r="BL249" s="13">
        <v>0</v>
      </c>
      <c r="BM249" s="13">
        <v>0</v>
      </c>
      <c r="BN249" s="13">
        <v>4391.7577000000001</v>
      </c>
      <c r="BO249" s="13">
        <v>34.713999999999999</v>
      </c>
      <c r="BP249" s="13">
        <v>4357.0437000000002</v>
      </c>
      <c r="BQ249" s="13">
        <v>0</v>
      </c>
      <c r="BR249" s="13">
        <v>0</v>
      </c>
      <c r="BS249" s="13">
        <v>0</v>
      </c>
      <c r="BT249" s="13">
        <v>2938.1882999999998</v>
      </c>
      <c r="BU249" s="13">
        <v>37.6068</v>
      </c>
      <c r="BV249" s="13">
        <v>2900.5814999999998</v>
      </c>
      <c r="BW249" s="13">
        <v>0</v>
      </c>
      <c r="BX249" s="13">
        <v>0</v>
      </c>
      <c r="BY249" s="13">
        <v>0</v>
      </c>
      <c r="BZ249" s="13">
        <v>3403.7468000000003</v>
      </c>
      <c r="CA249" s="13">
        <v>58.820900000000002</v>
      </c>
      <c r="CB249" s="13">
        <v>3344.9259000000002</v>
      </c>
      <c r="CC249" s="13">
        <v>0</v>
      </c>
      <c r="CD249" s="13">
        <v>0</v>
      </c>
      <c r="CE249" s="13">
        <v>0</v>
      </c>
      <c r="CF249" s="13">
        <v>4741.9875999999995</v>
      </c>
      <c r="CG249" s="13">
        <v>26.9998</v>
      </c>
      <c r="CH249" s="13">
        <v>4714.9877999999999</v>
      </c>
      <c r="CI249" s="13">
        <v>0</v>
      </c>
      <c r="CJ249" s="13">
        <v>0</v>
      </c>
      <c r="CK249" s="13">
        <v>0</v>
      </c>
      <c r="CL249" s="13">
        <v>2710.2303999999999</v>
      </c>
      <c r="CM249" s="13">
        <v>31.821100000000001</v>
      </c>
      <c r="CN249" s="13">
        <v>2678.4092999999998</v>
      </c>
      <c r="CO249" s="13">
        <v>0</v>
      </c>
      <c r="CP249" s="13">
        <v>0</v>
      </c>
      <c r="CQ249" s="13">
        <v>0</v>
      </c>
      <c r="CR249" s="13">
        <v>3584.6478000000002</v>
      </c>
      <c r="CS249" s="13">
        <v>29.892600000000002</v>
      </c>
      <c r="CT249" s="13">
        <v>3554.7552000000001</v>
      </c>
      <c r="CU249" s="13">
        <f t="shared" si="28"/>
        <v>-5</v>
      </c>
      <c r="CV249" s="13">
        <f t="shared" si="28"/>
        <v>-5</v>
      </c>
      <c r="CW249" s="13">
        <f t="shared" si="28"/>
        <v>0</v>
      </c>
      <c r="CX249" s="13">
        <f t="shared" si="24"/>
        <v>42749.643600000003</v>
      </c>
      <c r="CY249" s="13">
        <f t="shared" si="24"/>
        <v>413.4966</v>
      </c>
      <c r="CZ249" s="13">
        <f t="shared" si="24"/>
        <v>42336.147000000004</v>
      </c>
      <c r="DA249" s="13">
        <f t="shared" si="29"/>
        <v>0</v>
      </c>
      <c r="DB249" s="13">
        <f t="shared" si="29"/>
        <v>0</v>
      </c>
      <c r="DC249" s="13">
        <f t="shared" si="29"/>
        <v>0</v>
      </c>
      <c r="DD249" s="13">
        <f t="shared" si="25"/>
        <v>11036.8658</v>
      </c>
      <c r="DE249" s="13">
        <f t="shared" si="25"/>
        <v>88.71350000000001</v>
      </c>
      <c r="DF249" s="13">
        <f t="shared" si="25"/>
        <v>10948.1523</v>
      </c>
      <c r="DG249" s="13">
        <f t="shared" si="30"/>
        <v>0</v>
      </c>
      <c r="DH249" s="13">
        <f t="shared" si="30"/>
        <v>0</v>
      </c>
      <c r="DI249" s="13">
        <f t="shared" si="30"/>
        <v>0</v>
      </c>
      <c r="DJ249" s="13">
        <f t="shared" si="26"/>
        <v>10733.692800000001</v>
      </c>
      <c r="DK249" s="13">
        <f t="shared" si="26"/>
        <v>131.14169999999999</v>
      </c>
      <c r="DL249" s="13">
        <f t="shared" si="26"/>
        <v>10602.551100000001</v>
      </c>
      <c r="DM249" s="13">
        <f t="shared" si="31"/>
        <v>0</v>
      </c>
      <c r="DN249" s="13">
        <f t="shared" si="31"/>
        <v>0</v>
      </c>
      <c r="DO249" s="13">
        <f t="shared" si="31"/>
        <v>0</v>
      </c>
      <c r="DP249" s="13">
        <f t="shared" si="27"/>
        <v>6294.8782000000001</v>
      </c>
      <c r="DQ249" s="13">
        <f t="shared" si="27"/>
        <v>61.713700000000003</v>
      </c>
      <c r="DR249" s="13">
        <f t="shared" si="27"/>
        <v>6233.1644999999999</v>
      </c>
      <c r="DS249" s="14" t="s">
        <v>81</v>
      </c>
      <c r="DT249" s="14" t="s">
        <v>72</v>
      </c>
      <c r="DU249" s="14" t="s">
        <v>113</v>
      </c>
      <c r="DV249" s="14" t="s">
        <v>372</v>
      </c>
      <c r="DW249" s="14" t="s">
        <v>74</v>
      </c>
    </row>
    <row r="250" spans="2:127" x14ac:dyDescent="0.3">
      <c r="B250" s="11" t="s">
        <v>83</v>
      </c>
      <c r="C250" s="14">
        <v>5007555524</v>
      </c>
      <c r="D250" s="11" t="s">
        <v>806</v>
      </c>
      <c r="E250" s="11" t="s">
        <v>803</v>
      </c>
      <c r="F250" s="11" t="s">
        <v>807</v>
      </c>
      <c r="G250" s="11" t="s">
        <v>808</v>
      </c>
      <c r="H250" s="11" t="s">
        <v>296</v>
      </c>
      <c r="I250" s="11">
        <v>60415</v>
      </c>
      <c r="J250" s="11" t="s">
        <v>70</v>
      </c>
      <c r="K250" s="11"/>
      <c r="L250" s="11"/>
      <c r="M250" s="11"/>
      <c r="N250" s="11"/>
      <c r="O250" s="13">
        <v>162</v>
      </c>
      <c r="P250" s="13">
        <v>162</v>
      </c>
      <c r="Q250" s="13">
        <v>0</v>
      </c>
      <c r="R250" s="13">
        <v>17932.685600000001</v>
      </c>
      <c r="S250" s="13">
        <v>578.56819999999993</v>
      </c>
      <c r="T250" s="13">
        <v>17354.117399999999</v>
      </c>
      <c r="U250" s="13">
        <v>24</v>
      </c>
      <c r="V250" s="13">
        <v>24</v>
      </c>
      <c r="W250" s="13">
        <v>0</v>
      </c>
      <c r="X250" s="13">
        <v>1002.5600999999999</v>
      </c>
      <c r="Y250" s="13">
        <v>64.49969999999999</v>
      </c>
      <c r="Z250" s="13">
        <v>938.06039999999996</v>
      </c>
      <c r="AA250" s="13">
        <v>0</v>
      </c>
      <c r="AB250" s="13">
        <v>0</v>
      </c>
      <c r="AC250" s="13">
        <v>0</v>
      </c>
      <c r="AD250" s="13">
        <v>1411.7187000000001</v>
      </c>
      <c r="AE250" s="13">
        <v>53.999699999999997</v>
      </c>
      <c r="AF250" s="13">
        <v>1357.7190000000001</v>
      </c>
      <c r="AG250" s="13">
        <v>0</v>
      </c>
      <c r="AH250" s="13">
        <v>0</v>
      </c>
      <c r="AI250" s="13">
        <v>0</v>
      </c>
      <c r="AJ250" s="13">
        <v>1076.1462000000001</v>
      </c>
      <c r="AK250" s="13">
        <v>26.999700000000001</v>
      </c>
      <c r="AL250" s="13">
        <v>1049.1465000000001</v>
      </c>
      <c r="AM250" s="13">
        <v>0</v>
      </c>
      <c r="AN250" s="13">
        <v>0</v>
      </c>
      <c r="AO250" s="13">
        <v>0</v>
      </c>
      <c r="AP250" s="13">
        <v>952.71730000000002</v>
      </c>
      <c r="AQ250" s="13">
        <v>26.9998</v>
      </c>
      <c r="AR250" s="13">
        <v>925.71749999999997</v>
      </c>
      <c r="AS250" s="13">
        <v>0</v>
      </c>
      <c r="AT250" s="13">
        <v>0</v>
      </c>
      <c r="AU250" s="13">
        <v>0</v>
      </c>
      <c r="AV250" s="13">
        <v>1540.5478000000001</v>
      </c>
      <c r="AW250" s="13">
        <v>34.713999999999999</v>
      </c>
      <c r="AX250" s="13">
        <v>1505.8338000000001</v>
      </c>
      <c r="AY250" s="13">
        <v>0</v>
      </c>
      <c r="AZ250" s="13">
        <v>0</v>
      </c>
      <c r="BA250" s="13">
        <v>0</v>
      </c>
      <c r="BB250" s="13">
        <v>1323.0043000000001</v>
      </c>
      <c r="BC250" s="13">
        <v>26.9998</v>
      </c>
      <c r="BD250" s="13">
        <v>1296.0045</v>
      </c>
      <c r="BE250" s="13">
        <v>24</v>
      </c>
      <c r="BF250" s="13">
        <v>24</v>
      </c>
      <c r="BG250" s="13">
        <v>0</v>
      </c>
      <c r="BH250" s="13">
        <v>1370.9186000000002</v>
      </c>
      <c r="BI250" s="13">
        <v>62.571199999999997</v>
      </c>
      <c r="BJ250" s="13">
        <v>1308.3474000000001</v>
      </c>
      <c r="BK250" s="13">
        <v>30</v>
      </c>
      <c r="BL250" s="13">
        <v>30</v>
      </c>
      <c r="BM250" s="13">
        <v>0</v>
      </c>
      <c r="BN250" s="13">
        <v>1896.0918000000001</v>
      </c>
      <c r="BO250" s="13">
        <v>56.999700000000004</v>
      </c>
      <c r="BP250" s="13">
        <v>1839.0921000000001</v>
      </c>
      <c r="BQ250" s="13">
        <v>24</v>
      </c>
      <c r="BR250" s="13">
        <v>24</v>
      </c>
      <c r="BS250" s="13">
        <v>0</v>
      </c>
      <c r="BT250" s="13">
        <v>1622.4051999999999</v>
      </c>
      <c r="BU250" s="13">
        <v>54.856899999999996</v>
      </c>
      <c r="BV250" s="13">
        <v>1567.5482999999999</v>
      </c>
      <c r="BW250" s="13">
        <v>12</v>
      </c>
      <c r="BX250" s="13">
        <v>12</v>
      </c>
      <c r="BY250" s="13">
        <v>0</v>
      </c>
      <c r="BZ250" s="13">
        <v>1388.2329999999999</v>
      </c>
      <c r="CA250" s="13">
        <v>42.856899999999996</v>
      </c>
      <c r="CB250" s="13">
        <v>1345.3761</v>
      </c>
      <c r="CC250" s="13">
        <v>36</v>
      </c>
      <c r="CD250" s="13">
        <v>36</v>
      </c>
      <c r="CE250" s="13">
        <v>0</v>
      </c>
      <c r="CF250" s="13">
        <v>1719.6485</v>
      </c>
      <c r="CG250" s="13">
        <v>53.356999999999999</v>
      </c>
      <c r="CH250" s="13">
        <v>1666.2915</v>
      </c>
      <c r="CI250" s="13">
        <v>12</v>
      </c>
      <c r="CJ250" s="13">
        <v>12</v>
      </c>
      <c r="CK250" s="13">
        <v>0</v>
      </c>
      <c r="CL250" s="13">
        <v>1425.2617</v>
      </c>
      <c r="CM250" s="13">
        <v>42.856899999999996</v>
      </c>
      <c r="CN250" s="13">
        <v>1382.4048</v>
      </c>
      <c r="CO250" s="13">
        <v>0</v>
      </c>
      <c r="CP250" s="13">
        <v>0</v>
      </c>
      <c r="CQ250" s="13">
        <v>0</v>
      </c>
      <c r="CR250" s="13">
        <v>1203.4323999999999</v>
      </c>
      <c r="CS250" s="13">
        <v>30.8569</v>
      </c>
      <c r="CT250" s="13">
        <v>1172.5754999999999</v>
      </c>
      <c r="CU250" s="13">
        <f t="shared" si="28"/>
        <v>138</v>
      </c>
      <c r="CV250" s="13">
        <f t="shared" si="28"/>
        <v>138</v>
      </c>
      <c r="CW250" s="13">
        <f t="shared" si="28"/>
        <v>0</v>
      </c>
      <c r="CX250" s="13">
        <f t="shared" si="24"/>
        <v>16930.125500000002</v>
      </c>
      <c r="CY250" s="13">
        <f t="shared" si="24"/>
        <v>514.06849999999997</v>
      </c>
      <c r="CZ250" s="13">
        <f t="shared" si="24"/>
        <v>16416.057000000001</v>
      </c>
      <c r="DA250" s="13">
        <f t="shared" si="29"/>
        <v>48</v>
      </c>
      <c r="DB250" s="13">
        <f t="shared" si="29"/>
        <v>48</v>
      </c>
      <c r="DC250" s="13">
        <f t="shared" si="29"/>
        <v>0</v>
      </c>
      <c r="DD250" s="13">
        <f t="shared" si="25"/>
        <v>4348.3425999999999</v>
      </c>
      <c r="DE250" s="13">
        <f t="shared" si="25"/>
        <v>127.07079999999999</v>
      </c>
      <c r="DF250" s="13">
        <f t="shared" si="25"/>
        <v>4221.2718000000004</v>
      </c>
      <c r="DG250" s="13">
        <f t="shared" si="30"/>
        <v>66</v>
      </c>
      <c r="DH250" s="13">
        <f t="shared" si="30"/>
        <v>66</v>
      </c>
      <c r="DI250" s="13">
        <f t="shared" si="30"/>
        <v>0</v>
      </c>
      <c r="DJ250" s="13">
        <f t="shared" si="26"/>
        <v>4906.7300000000005</v>
      </c>
      <c r="DK250" s="13">
        <f t="shared" si="26"/>
        <v>154.71350000000001</v>
      </c>
      <c r="DL250" s="13">
        <f t="shared" si="26"/>
        <v>4752.0164999999997</v>
      </c>
      <c r="DM250" s="13">
        <f t="shared" si="31"/>
        <v>12</v>
      </c>
      <c r="DN250" s="13">
        <f t="shared" si="31"/>
        <v>12</v>
      </c>
      <c r="DO250" s="13">
        <f t="shared" si="31"/>
        <v>0</v>
      </c>
      <c r="DP250" s="13">
        <f t="shared" si="27"/>
        <v>2628.6940999999997</v>
      </c>
      <c r="DQ250" s="13">
        <f t="shared" si="27"/>
        <v>73.713799999999992</v>
      </c>
      <c r="DR250" s="13">
        <f t="shared" si="27"/>
        <v>2554.9803000000002</v>
      </c>
      <c r="DS250" s="14" t="s">
        <v>81</v>
      </c>
      <c r="DT250" s="14" t="s">
        <v>72</v>
      </c>
      <c r="DU250" s="14" t="s">
        <v>113</v>
      </c>
      <c r="DV250" s="14" t="s">
        <v>372</v>
      </c>
      <c r="DW250" s="14" t="s">
        <v>74</v>
      </c>
    </row>
    <row r="251" spans="2:127" x14ac:dyDescent="0.3">
      <c r="B251" s="11" t="s">
        <v>75</v>
      </c>
      <c r="C251" s="14">
        <v>5001342095</v>
      </c>
      <c r="D251" s="11" t="s">
        <v>809</v>
      </c>
      <c r="E251" s="11" t="s">
        <v>803</v>
      </c>
      <c r="F251" s="11" t="s">
        <v>810</v>
      </c>
      <c r="G251" s="11" t="s">
        <v>281</v>
      </c>
      <c r="H251" s="11" t="s">
        <v>282</v>
      </c>
      <c r="I251" s="11">
        <v>40299</v>
      </c>
      <c r="J251" s="11" t="s">
        <v>80</v>
      </c>
      <c r="K251" s="11"/>
      <c r="L251" s="11"/>
      <c r="M251" s="11"/>
      <c r="N251" s="11"/>
      <c r="O251" s="13">
        <v>739</v>
      </c>
      <c r="P251" s="13">
        <v>739</v>
      </c>
      <c r="Q251" s="13">
        <v>0</v>
      </c>
      <c r="R251" s="13">
        <v>38268.165300000001</v>
      </c>
      <c r="S251" s="13">
        <v>807.46379999999999</v>
      </c>
      <c r="T251" s="13">
        <v>37460.701500000003</v>
      </c>
      <c r="U251" s="13">
        <v>99</v>
      </c>
      <c r="V251" s="13">
        <v>99</v>
      </c>
      <c r="W251" s="13">
        <v>0</v>
      </c>
      <c r="X251" s="13">
        <v>2826.7809000000002</v>
      </c>
      <c r="Y251" s="13">
        <v>99</v>
      </c>
      <c r="Z251" s="13">
        <v>2727.7809000000002</v>
      </c>
      <c r="AA251" s="13">
        <v>73</v>
      </c>
      <c r="AB251" s="13">
        <v>73</v>
      </c>
      <c r="AC251" s="13">
        <v>0</v>
      </c>
      <c r="AD251" s="13">
        <v>3196.7180000000003</v>
      </c>
      <c r="AE251" s="13">
        <v>73.964299999999994</v>
      </c>
      <c r="AF251" s="13">
        <v>3122.7537000000002</v>
      </c>
      <c r="AG251" s="13">
        <v>51</v>
      </c>
      <c r="AH251" s="13">
        <v>51</v>
      </c>
      <c r="AI251" s="13">
        <v>0</v>
      </c>
      <c r="AJ251" s="13">
        <v>2507.2370999999998</v>
      </c>
      <c r="AK251" s="13">
        <v>51</v>
      </c>
      <c r="AL251" s="13">
        <v>2456.2370999999998</v>
      </c>
      <c r="AM251" s="13">
        <v>91</v>
      </c>
      <c r="AN251" s="13">
        <v>91</v>
      </c>
      <c r="AO251" s="13">
        <v>0</v>
      </c>
      <c r="AP251" s="13">
        <v>2584.2658000000001</v>
      </c>
      <c r="AQ251" s="13">
        <v>91</v>
      </c>
      <c r="AR251" s="13">
        <v>2493.2658000000001</v>
      </c>
      <c r="AS251" s="13">
        <v>97</v>
      </c>
      <c r="AT251" s="13">
        <v>97</v>
      </c>
      <c r="AU251" s="13">
        <v>0</v>
      </c>
      <c r="AV251" s="13">
        <v>3176.1671000000001</v>
      </c>
      <c r="AW251" s="13">
        <v>164.49950000000001</v>
      </c>
      <c r="AX251" s="13">
        <v>3011.6676000000002</v>
      </c>
      <c r="AY251" s="13">
        <v>64</v>
      </c>
      <c r="AZ251" s="13">
        <v>64</v>
      </c>
      <c r="BA251" s="13">
        <v>0</v>
      </c>
      <c r="BB251" s="13">
        <v>2347.4364999999998</v>
      </c>
      <c r="BC251" s="13">
        <v>64</v>
      </c>
      <c r="BD251" s="13">
        <v>2283.4364999999998</v>
      </c>
      <c r="BE251" s="13">
        <v>16</v>
      </c>
      <c r="BF251" s="13">
        <v>16</v>
      </c>
      <c r="BG251" s="13">
        <v>0</v>
      </c>
      <c r="BH251" s="13">
        <v>2385.8368</v>
      </c>
      <c r="BI251" s="13">
        <v>16</v>
      </c>
      <c r="BJ251" s="13">
        <v>2369.8368</v>
      </c>
      <c r="BK251" s="13">
        <v>82</v>
      </c>
      <c r="BL251" s="13">
        <v>82</v>
      </c>
      <c r="BM251" s="13">
        <v>0</v>
      </c>
      <c r="BN251" s="13">
        <v>3365.2114000000001</v>
      </c>
      <c r="BO251" s="13">
        <v>82</v>
      </c>
      <c r="BP251" s="13">
        <v>3283.2114000000001</v>
      </c>
      <c r="BQ251" s="13">
        <v>78</v>
      </c>
      <c r="BR251" s="13">
        <v>78</v>
      </c>
      <c r="BS251" s="13">
        <v>0</v>
      </c>
      <c r="BT251" s="13">
        <v>2558.9229</v>
      </c>
      <c r="BU251" s="13">
        <v>78</v>
      </c>
      <c r="BV251" s="13">
        <v>2480.9229</v>
      </c>
      <c r="BW251" s="13">
        <v>24</v>
      </c>
      <c r="BX251" s="13">
        <v>24</v>
      </c>
      <c r="BY251" s="13">
        <v>0</v>
      </c>
      <c r="BZ251" s="13">
        <v>3171.4395</v>
      </c>
      <c r="CA251" s="13">
        <v>24</v>
      </c>
      <c r="CB251" s="13">
        <v>3147.4395</v>
      </c>
      <c r="CC251" s="13">
        <v>21</v>
      </c>
      <c r="CD251" s="13">
        <v>21</v>
      </c>
      <c r="CE251" s="13">
        <v>0</v>
      </c>
      <c r="CF251" s="13">
        <v>4131.1857</v>
      </c>
      <c r="CG251" s="13">
        <v>21</v>
      </c>
      <c r="CH251" s="13">
        <v>4110.1857</v>
      </c>
      <c r="CI251" s="13">
        <v>31</v>
      </c>
      <c r="CJ251" s="13">
        <v>31</v>
      </c>
      <c r="CK251" s="13">
        <v>0</v>
      </c>
      <c r="CL251" s="13">
        <v>3227.8110999999999</v>
      </c>
      <c r="CM251" s="13">
        <v>31</v>
      </c>
      <c r="CN251" s="13">
        <v>3196.8110999999999</v>
      </c>
      <c r="CO251" s="13">
        <v>12</v>
      </c>
      <c r="CP251" s="13">
        <v>12</v>
      </c>
      <c r="CQ251" s="13">
        <v>0</v>
      </c>
      <c r="CR251" s="13">
        <v>2789.1525000000001</v>
      </c>
      <c r="CS251" s="13">
        <v>12</v>
      </c>
      <c r="CT251" s="13">
        <v>2777.1525000000001</v>
      </c>
      <c r="CU251" s="13">
        <f t="shared" si="28"/>
        <v>640</v>
      </c>
      <c r="CV251" s="13">
        <f t="shared" si="28"/>
        <v>640</v>
      </c>
      <c r="CW251" s="13">
        <f t="shared" si="28"/>
        <v>0</v>
      </c>
      <c r="CX251" s="13">
        <f t="shared" si="24"/>
        <v>35441.384399999995</v>
      </c>
      <c r="CY251" s="13">
        <f t="shared" si="24"/>
        <v>708.46379999999999</v>
      </c>
      <c r="CZ251" s="13">
        <f t="shared" si="24"/>
        <v>34732.920599999998</v>
      </c>
      <c r="DA251" s="13">
        <f t="shared" si="29"/>
        <v>64</v>
      </c>
      <c r="DB251" s="13">
        <f t="shared" si="29"/>
        <v>64</v>
      </c>
      <c r="DC251" s="13">
        <f t="shared" si="29"/>
        <v>0</v>
      </c>
      <c r="DD251" s="13">
        <f t="shared" si="25"/>
        <v>10148.149300000001</v>
      </c>
      <c r="DE251" s="13">
        <f t="shared" si="25"/>
        <v>64</v>
      </c>
      <c r="DF251" s="13">
        <f t="shared" si="25"/>
        <v>10084.149300000001</v>
      </c>
      <c r="DG251" s="13">
        <f t="shared" si="30"/>
        <v>184</v>
      </c>
      <c r="DH251" s="13">
        <f t="shared" si="30"/>
        <v>184</v>
      </c>
      <c r="DI251" s="13">
        <f t="shared" si="30"/>
        <v>0</v>
      </c>
      <c r="DJ251" s="13">
        <f t="shared" si="26"/>
        <v>9095.5738000000001</v>
      </c>
      <c r="DK251" s="13">
        <f t="shared" si="26"/>
        <v>184</v>
      </c>
      <c r="DL251" s="13">
        <f t="shared" si="26"/>
        <v>8911.5738000000001</v>
      </c>
      <c r="DM251" s="13">
        <f t="shared" si="31"/>
        <v>43</v>
      </c>
      <c r="DN251" s="13">
        <f t="shared" si="31"/>
        <v>43</v>
      </c>
      <c r="DO251" s="13">
        <f t="shared" si="31"/>
        <v>0</v>
      </c>
      <c r="DP251" s="13">
        <f t="shared" si="27"/>
        <v>6016.9636</v>
      </c>
      <c r="DQ251" s="13">
        <f t="shared" si="27"/>
        <v>43</v>
      </c>
      <c r="DR251" s="13">
        <f t="shared" si="27"/>
        <v>5973.9636</v>
      </c>
      <c r="DS251" s="14" t="s">
        <v>81</v>
      </c>
      <c r="DT251" s="14" t="s">
        <v>72</v>
      </c>
      <c r="DU251" s="14" t="s">
        <v>113</v>
      </c>
      <c r="DV251" s="14" t="s">
        <v>372</v>
      </c>
      <c r="DW251" s="14" t="s">
        <v>74</v>
      </c>
    </row>
    <row r="252" spans="2:127" x14ac:dyDescent="0.3">
      <c r="B252" s="11" t="s">
        <v>75</v>
      </c>
      <c r="C252" s="14">
        <v>5001340420</v>
      </c>
      <c r="D252" s="11" t="s">
        <v>811</v>
      </c>
      <c r="E252" s="11" t="s">
        <v>803</v>
      </c>
      <c r="F252" s="11" t="s">
        <v>812</v>
      </c>
      <c r="G252" s="11" t="s">
        <v>813</v>
      </c>
      <c r="H252" s="11" t="s">
        <v>145</v>
      </c>
      <c r="I252" s="11">
        <v>35223</v>
      </c>
      <c r="J252" s="11" t="s">
        <v>109</v>
      </c>
      <c r="K252" s="11"/>
      <c r="L252" s="11"/>
      <c r="M252" s="11"/>
      <c r="N252" s="11"/>
      <c r="O252" s="13">
        <v>398</v>
      </c>
      <c r="P252" s="13">
        <v>398</v>
      </c>
      <c r="Q252" s="13">
        <v>0</v>
      </c>
      <c r="R252" s="13">
        <v>25376.5285</v>
      </c>
      <c r="S252" s="13">
        <v>3134.6226999999999</v>
      </c>
      <c r="T252" s="13">
        <v>22241.9058</v>
      </c>
      <c r="U252" s="13">
        <v>23</v>
      </c>
      <c r="V252" s="13">
        <v>23</v>
      </c>
      <c r="W252" s="13">
        <v>0</v>
      </c>
      <c r="X252" s="13">
        <v>2062.8555999999999</v>
      </c>
      <c r="Y252" s="13">
        <v>174.39189999999999</v>
      </c>
      <c r="Z252" s="13">
        <v>1888.4637</v>
      </c>
      <c r="AA252" s="13">
        <v>48</v>
      </c>
      <c r="AB252" s="13">
        <v>48</v>
      </c>
      <c r="AC252" s="13">
        <v>0</v>
      </c>
      <c r="AD252" s="13">
        <v>2178.3058000000001</v>
      </c>
      <c r="AE252" s="13">
        <v>215.78469999999999</v>
      </c>
      <c r="AF252" s="13">
        <v>1962.5210999999999</v>
      </c>
      <c r="AG252" s="13">
        <v>32</v>
      </c>
      <c r="AH252" s="13">
        <v>32</v>
      </c>
      <c r="AI252" s="13">
        <v>0</v>
      </c>
      <c r="AJ252" s="13">
        <v>1824.0340000000001</v>
      </c>
      <c r="AK252" s="13">
        <v>120.71380000000001</v>
      </c>
      <c r="AL252" s="13">
        <v>1703.3202000000001</v>
      </c>
      <c r="AM252" s="13">
        <v>16</v>
      </c>
      <c r="AN252" s="13">
        <v>16</v>
      </c>
      <c r="AO252" s="13">
        <v>0</v>
      </c>
      <c r="AP252" s="13">
        <v>1696.9478999999999</v>
      </c>
      <c r="AQ252" s="13">
        <v>104.71380000000001</v>
      </c>
      <c r="AR252" s="13">
        <v>1592.2340999999999</v>
      </c>
      <c r="AS252" s="13">
        <v>39</v>
      </c>
      <c r="AT252" s="13">
        <v>39</v>
      </c>
      <c r="AU252" s="13">
        <v>0</v>
      </c>
      <c r="AV252" s="13">
        <v>2132.0843</v>
      </c>
      <c r="AW252" s="13">
        <v>194.249</v>
      </c>
      <c r="AX252" s="13">
        <v>1937.8353</v>
      </c>
      <c r="AY252" s="13">
        <v>25</v>
      </c>
      <c r="AZ252" s="13">
        <v>25</v>
      </c>
      <c r="BA252" s="13">
        <v>0</v>
      </c>
      <c r="BB252" s="13">
        <v>1458.5101999999999</v>
      </c>
      <c r="BC252" s="13">
        <v>199.53440000000001</v>
      </c>
      <c r="BD252" s="13">
        <v>1258.9757999999999</v>
      </c>
      <c r="BE252" s="13">
        <v>32</v>
      </c>
      <c r="BF252" s="13">
        <v>32</v>
      </c>
      <c r="BG252" s="13">
        <v>0</v>
      </c>
      <c r="BH252" s="13">
        <v>1758.0746999999999</v>
      </c>
      <c r="BI252" s="13">
        <v>276.92669999999998</v>
      </c>
      <c r="BJ252" s="13">
        <v>1481.1479999999999</v>
      </c>
      <c r="BK252" s="13">
        <v>23</v>
      </c>
      <c r="BL252" s="13">
        <v>23</v>
      </c>
      <c r="BM252" s="13">
        <v>0</v>
      </c>
      <c r="BN252" s="13">
        <v>2345.5828999999999</v>
      </c>
      <c r="BO252" s="13">
        <v>346.03309999999999</v>
      </c>
      <c r="BP252" s="13">
        <v>1999.5498</v>
      </c>
      <c r="BQ252" s="13">
        <v>32</v>
      </c>
      <c r="BR252" s="13">
        <v>32</v>
      </c>
      <c r="BS252" s="13">
        <v>0</v>
      </c>
      <c r="BT252" s="13">
        <v>1753.6386</v>
      </c>
      <c r="BU252" s="13">
        <v>297.1764</v>
      </c>
      <c r="BV252" s="13">
        <v>1456.4621999999999</v>
      </c>
      <c r="BW252" s="13">
        <v>32</v>
      </c>
      <c r="BX252" s="13">
        <v>32</v>
      </c>
      <c r="BY252" s="13">
        <v>0</v>
      </c>
      <c r="BZ252" s="13">
        <v>1808.4097999999999</v>
      </c>
      <c r="CA252" s="13">
        <v>339.60469999999998</v>
      </c>
      <c r="CB252" s="13">
        <v>1468.8051</v>
      </c>
      <c r="CC252" s="13">
        <v>32</v>
      </c>
      <c r="CD252" s="13">
        <v>32</v>
      </c>
      <c r="CE252" s="13">
        <v>0</v>
      </c>
      <c r="CF252" s="13">
        <v>2359.5971</v>
      </c>
      <c r="CG252" s="13">
        <v>372.39019999999999</v>
      </c>
      <c r="CH252" s="13">
        <v>1987.2068999999999</v>
      </c>
      <c r="CI252" s="13">
        <v>39</v>
      </c>
      <c r="CJ252" s="13">
        <v>39</v>
      </c>
      <c r="CK252" s="13">
        <v>0</v>
      </c>
      <c r="CL252" s="13">
        <v>1817.3398999999999</v>
      </c>
      <c r="CM252" s="13">
        <v>225.10579999999999</v>
      </c>
      <c r="CN252" s="13">
        <v>1592.2340999999999</v>
      </c>
      <c r="CO252" s="13">
        <v>25</v>
      </c>
      <c r="CP252" s="13">
        <v>25</v>
      </c>
      <c r="CQ252" s="13">
        <v>0</v>
      </c>
      <c r="CR252" s="13">
        <v>2181.1477</v>
      </c>
      <c r="CS252" s="13">
        <v>267.9982</v>
      </c>
      <c r="CT252" s="13">
        <v>1913.1495</v>
      </c>
      <c r="CU252" s="13">
        <f t="shared" si="28"/>
        <v>375</v>
      </c>
      <c r="CV252" s="13">
        <f t="shared" si="28"/>
        <v>375</v>
      </c>
      <c r="CW252" s="13">
        <f t="shared" si="28"/>
        <v>0</v>
      </c>
      <c r="CX252" s="13">
        <f t="shared" si="24"/>
        <v>23313.672899999998</v>
      </c>
      <c r="CY252" s="13">
        <f t="shared" si="24"/>
        <v>2960.2307999999998</v>
      </c>
      <c r="CZ252" s="13">
        <f t="shared" si="24"/>
        <v>20353.4421</v>
      </c>
      <c r="DA252" s="13">
        <f t="shared" si="29"/>
        <v>96</v>
      </c>
      <c r="DB252" s="13">
        <f t="shared" si="29"/>
        <v>96</v>
      </c>
      <c r="DC252" s="13">
        <f t="shared" si="29"/>
        <v>0</v>
      </c>
      <c r="DD252" s="13">
        <f t="shared" si="25"/>
        <v>6358.0846999999994</v>
      </c>
      <c r="DE252" s="13">
        <f t="shared" si="25"/>
        <v>865.49419999999998</v>
      </c>
      <c r="DF252" s="13">
        <f t="shared" si="25"/>
        <v>5492.5905000000002</v>
      </c>
      <c r="DG252" s="13">
        <f t="shared" si="30"/>
        <v>87</v>
      </c>
      <c r="DH252" s="13">
        <f t="shared" si="30"/>
        <v>87</v>
      </c>
      <c r="DI252" s="13">
        <f t="shared" si="30"/>
        <v>0</v>
      </c>
      <c r="DJ252" s="13">
        <f t="shared" si="26"/>
        <v>5907.6312999999991</v>
      </c>
      <c r="DK252" s="13">
        <f t="shared" si="26"/>
        <v>982.81419999999991</v>
      </c>
      <c r="DL252" s="13">
        <f t="shared" si="26"/>
        <v>4924.8171000000002</v>
      </c>
      <c r="DM252" s="13">
        <f t="shared" si="31"/>
        <v>64</v>
      </c>
      <c r="DN252" s="13">
        <f t="shared" si="31"/>
        <v>64</v>
      </c>
      <c r="DO252" s="13">
        <f t="shared" si="31"/>
        <v>0</v>
      </c>
      <c r="DP252" s="13">
        <f t="shared" si="27"/>
        <v>3998.4875999999999</v>
      </c>
      <c r="DQ252" s="13">
        <f t="shared" si="27"/>
        <v>493.10399999999998</v>
      </c>
      <c r="DR252" s="13">
        <f t="shared" si="27"/>
        <v>3505.3836000000001</v>
      </c>
      <c r="DS252" s="14" t="s">
        <v>81</v>
      </c>
      <c r="DT252" s="14" t="s">
        <v>72</v>
      </c>
      <c r="DU252" s="14" t="s">
        <v>113</v>
      </c>
      <c r="DV252" s="14" t="s">
        <v>372</v>
      </c>
      <c r="DW252" s="14" t="s">
        <v>74</v>
      </c>
    </row>
    <row r="253" spans="2:127" x14ac:dyDescent="0.3">
      <c r="B253" s="11" t="s">
        <v>65</v>
      </c>
      <c r="C253" s="14">
        <v>5001341917</v>
      </c>
      <c r="D253" s="11" t="s">
        <v>814</v>
      </c>
      <c r="E253" s="11" t="s">
        <v>803</v>
      </c>
      <c r="F253" s="11" t="s">
        <v>815</v>
      </c>
      <c r="G253" s="11" t="s">
        <v>816</v>
      </c>
      <c r="H253" s="11" t="s">
        <v>340</v>
      </c>
      <c r="I253" s="11">
        <v>7052</v>
      </c>
      <c r="J253" s="11" t="s">
        <v>80</v>
      </c>
      <c r="K253" s="11"/>
      <c r="L253" s="11"/>
      <c r="M253" s="11"/>
      <c r="N253" s="11"/>
      <c r="O253" s="13">
        <v>212</v>
      </c>
      <c r="P253" s="13">
        <v>212</v>
      </c>
      <c r="Q253" s="13">
        <v>0</v>
      </c>
      <c r="R253" s="13">
        <v>51298.286699999997</v>
      </c>
      <c r="S253" s="13">
        <v>1383.5990999999999</v>
      </c>
      <c r="T253" s="13">
        <v>49914.687599999997</v>
      </c>
      <c r="U253" s="13">
        <v>0</v>
      </c>
      <c r="V253" s="13">
        <v>0</v>
      </c>
      <c r="W253" s="13">
        <v>0</v>
      </c>
      <c r="X253" s="13">
        <v>3419.5610000000001</v>
      </c>
      <c r="Y253" s="13">
        <v>99.320899999999995</v>
      </c>
      <c r="Z253" s="13">
        <v>3320.2401</v>
      </c>
      <c r="AA253" s="13">
        <v>0</v>
      </c>
      <c r="AB253" s="13">
        <v>0</v>
      </c>
      <c r="AC253" s="13">
        <v>0</v>
      </c>
      <c r="AD253" s="13">
        <v>4824.9161999999997</v>
      </c>
      <c r="AE253" s="13">
        <v>48.213900000000002</v>
      </c>
      <c r="AF253" s="13">
        <v>4776.7022999999999</v>
      </c>
      <c r="AG253" s="13">
        <v>0</v>
      </c>
      <c r="AH253" s="13">
        <v>0</v>
      </c>
      <c r="AI253" s="13">
        <v>0</v>
      </c>
      <c r="AJ253" s="13">
        <v>3384.6534000000001</v>
      </c>
      <c r="AK253" s="13">
        <v>113.78489999999999</v>
      </c>
      <c r="AL253" s="13">
        <v>3270.8685</v>
      </c>
      <c r="AM253" s="13">
        <v>0</v>
      </c>
      <c r="AN253" s="13">
        <v>0</v>
      </c>
      <c r="AO253" s="13">
        <v>0</v>
      </c>
      <c r="AP253" s="13">
        <v>3800.6478000000002</v>
      </c>
      <c r="AQ253" s="13">
        <v>122.4636</v>
      </c>
      <c r="AR253" s="13">
        <v>3678.1842000000001</v>
      </c>
      <c r="AS253" s="13">
        <v>13</v>
      </c>
      <c r="AT253" s="13">
        <v>13</v>
      </c>
      <c r="AU253" s="13">
        <v>0</v>
      </c>
      <c r="AV253" s="13">
        <v>4016.3420999999998</v>
      </c>
      <c r="AW253" s="13">
        <v>41.9283</v>
      </c>
      <c r="AX253" s="13">
        <v>3974.4137999999998</v>
      </c>
      <c r="AY253" s="13">
        <v>39</v>
      </c>
      <c r="AZ253" s="13">
        <v>39</v>
      </c>
      <c r="BA253" s="13">
        <v>0</v>
      </c>
      <c r="BB253" s="13">
        <v>2977.9593999999997</v>
      </c>
      <c r="BC253" s="13">
        <v>126.7495</v>
      </c>
      <c r="BD253" s="13">
        <v>2851.2098999999998</v>
      </c>
      <c r="BE253" s="13">
        <v>39</v>
      </c>
      <c r="BF253" s="13">
        <v>39</v>
      </c>
      <c r="BG253" s="13">
        <v>0</v>
      </c>
      <c r="BH253" s="13">
        <v>3227.3251</v>
      </c>
      <c r="BI253" s="13">
        <v>104.5714</v>
      </c>
      <c r="BJ253" s="13">
        <v>3122.7537000000002</v>
      </c>
      <c r="BK253" s="13">
        <v>35</v>
      </c>
      <c r="BL253" s="13">
        <v>35</v>
      </c>
      <c r="BM253" s="13">
        <v>0</v>
      </c>
      <c r="BN253" s="13">
        <v>4750.9506999999994</v>
      </c>
      <c r="BO253" s="13">
        <v>159.39190000000002</v>
      </c>
      <c r="BP253" s="13">
        <v>4591.5587999999998</v>
      </c>
      <c r="BQ253" s="13">
        <v>32</v>
      </c>
      <c r="BR253" s="13">
        <v>32</v>
      </c>
      <c r="BS253" s="13">
        <v>0</v>
      </c>
      <c r="BT253" s="13">
        <v>3902.8476000000001</v>
      </c>
      <c r="BU253" s="13">
        <v>150.60599999999999</v>
      </c>
      <c r="BV253" s="13">
        <v>3752.2415999999998</v>
      </c>
      <c r="BW253" s="13">
        <v>13</v>
      </c>
      <c r="BX253" s="13">
        <v>13</v>
      </c>
      <c r="BY253" s="13">
        <v>0</v>
      </c>
      <c r="BZ253" s="13">
        <v>3991.2695000000003</v>
      </c>
      <c r="CA253" s="13">
        <v>140.28469999999999</v>
      </c>
      <c r="CB253" s="13">
        <v>3850.9848000000002</v>
      </c>
      <c r="CC253" s="13">
        <v>0</v>
      </c>
      <c r="CD253" s="13">
        <v>0</v>
      </c>
      <c r="CE253" s="13">
        <v>0</v>
      </c>
      <c r="CF253" s="13">
        <v>5111.1161999999995</v>
      </c>
      <c r="CG253" s="13">
        <v>136.92750000000001</v>
      </c>
      <c r="CH253" s="13">
        <v>4974.1886999999997</v>
      </c>
      <c r="CI253" s="13">
        <v>10</v>
      </c>
      <c r="CJ253" s="13">
        <v>10</v>
      </c>
      <c r="CK253" s="13">
        <v>0</v>
      </c>
      <c r="CL253" s="13">
        <v>3791.9409000000001</v>
      </c>
      <c r="CM253" s="13">
        <v>89.070899999999995</v>
      </c>
      <c r="CN253" s="13">
        <v>3702.87</v>
      </c>
      <c r="CO253" s="13">
        <v>31</v>
      </c>
      <c r="CP253" s="13">
        <v>31</v>
      </c>
      <c r="CQ253" s="13">
        <v>0</v>
      </c>
      <c r="CR253" s="13">
        <v>4098.7568000000001</v>
      </c>
      <c r="CS253" s="13">
        <v>50.285600000000002</v>
      </c>
      <c r="CT253" s="13">
        <v>4048.4712</v>
      </c>
      <c r="CU253" s="13">
        <f t="shared" si="28"/>
        <v>212</v>
      </c>
      <c r="CV253" s="13">
        <f t="shared" si="28"/>
        <v>212</v>
      </c>
      <c r="CW253" s="13">
        <f t="shared" si="28"/>
        <v>0</v>
      </c>
      <c r="CX253" s="13">
        <f t="shared" si="24"/>
        <v>47878.725700000003</v>
      </c>
      <c r="CY253" s="13">
        <f t="shared" si="24"/>
        <v>1284.2781999999997</v>
      </c>
      <c r="CZ253" s="13">
        <f t="shared" si="24"/>
        <v>46594.447500000002</v>
      </c>
      <c r="DA253" s="13">
        <f t="shared" si="29"/>
        <v>41</v>
      </c>
      <c r="DB253" s="13">
        <f t="shared" si="29"/>
        <v>41</v>
      </c>
      <c r="DC253" s="13">
        <f t="shared" si="29"/>
        <v>0</v>
      </c>
      <c r="DD253" s="13">
        <f t="shared" si="25"/>
        <v>13001.813900000001</v>
      </c>
      <c r="DE253" s="13">
        <f t="shared" si="25"/>
        <v>276.28399999999999</v>
      </c>
      <c r="DF253" s="13">
        <f t="shared" si="25"/>
        <v>12725.5299</v>
      </c>
      <c r="DG253" s="13">
        <f t="shared" si="30"/>
        <v>80</v>
      </c>
      <c r="DH253" s="13">
        <f t="shared" si="30"/>
        <v>80</v>
      </c>
      <c r="DI253" s="13">
        <f t="shared" si="30"/>
        <v>0</v>
      </c>
      <c r="DJ253" s="13">
        <f t="shared" si="26"/>
        <v>12645.067799999999</v>
      </c>
      <c r="DK253" s="13">
        <f t="shared" si="26"/>
        <v>450.2826</v>
      </c>
      <c r="DL253" s="13">
        <f t="shared" si="26"/>
        <v>12194.7852</v>
      </c>
      <c r="DM253" s="13">
        <f t="shared" si="31"/>
        <v>41</v>
      </c>
      <c r="DN253" s="13">
        <f t="shared" si="31"/>
        <v>41</v>
      </c>
      <c r="DO253" s="13">
        <f t="shared" si="31"/>
        <v>0</v>
      </c>
      <c r="DP253" s="13">
        <f t="shared" si="27"/>
        <v>7890.6977000000006</v>
      </c>
      <c r="DQ253" s="13">
        <f t="shared" si="27"/>
        <v>139.35649999999998</v>
      </c>
      <c r="DR253" s="13">
        <f t="shared" si="27"/>
        <v>7751.3411999999998</v>
      </c>
      <c r="DS253" s="14" t="s">
        <v>81</v>
      </c>
      <c r="DT253" s="14" t="s">
        <v>72</v>
      </c>
      <c r="DU253" s="14" t="s">
        <v>113</v>
      </c>
      <c r="DV253" s="14" t="s">
        <v>372</v>
      </c>
      <c r="DW253" s="14" t="s">
        <v>74</v>
      </c>
    </row>
    <row r="254" spans="2:127" x14ac:dyDescent="0.3">
      <c r="B254" s="11" t="s">
        <v>83</v>
      </c>
      <c r="C254" s="14">
        <v>5001340740</v>
      </c>
      <c r="D254" s="11" t="s">
        <v>817</v>
      </c>
      <c r="E254" s="11" t="s">
        <v>803</v>
      </c>
      <c r="F254" s="11" t="s">
        <v>818</v>
      </c>
      <c r="G254" s="11" t="s">
        <v>68</v>
      </c>
      <c r="H254" s="11" t="s">
        <v>87</v>
      </c>
      <c r="I254" s="11">
        <v>65201</v>
      </c>
      <c r="J254" s="11" t="s">
        <v>109</v>
      </c>
      <c r="K254" s="11"/>
      <c r="L254" s="11"/>
      <c r="M254" s="11"/>
      <c r="N254" s="11"/>
      <c r="O254" s="13">
        <v>154</v>
      </c>
      <c r="P254" s="13">
        <v>154</v>
      </c>
      <c r="Q254" s="13">
        <v>0</v>
      </c>
      <c r="R254" s="13">
        <v>12414.735500000001</v>
      </c>
      <c r="S254" s="13">
        <v>738.35209999999995</v>
      </c>
      <c r="T254" s="13">
        <v>11676.383400000001</v>
      </c>
      <c r="U254" s="13">
        <v>0</v>
      </c>
      <c r="V254" s="13">
        <v>0</v>
      </c>
      <c r="W254" s="13">
        <v>0</v>
      </c>
      <c r="X254" s="13">
        <v>846.06640000000004</v>
      </c>
      <c r="Y254" s="13">
        <v>68.463700000000003</v>
      </c>
      <c r="Z254" s="13">
        <v>777.60270000000003</v>
      </c>
      <c r="AA254" s="13">
        <v>0</v>
      </c>
      <c r="AB254" s="13">
        <v>0</v>
      </c>
      <c r="AC254" s="13">
        <v>0</v>
      </c>
      <c r="AD254" s="13">
        <v>1385.1042</v>
      </c>
      <c r="AE254" s="13">
        <v>52.070999999999998</v>
      </c>
      <c r="AF254" s="13">
        <v>1333.0332000000001</v>
      </c>
      <c r="AG254" s="13">
        <v>0</v>
      </c>
      <c r="AH254" s="13">
        <v>0</v>
      </c>
      <c r="AI254" s="13">
        <v>0</v>
      </c>
      <c r="AJ254" s="13">
        <v>914.33810000000005</v>
      </c>
      <c r="AK254" s="13">
        <v>62.677999999999997</v>
      </c>
      <c r="AL254" s="13">
        <v>851.66010000000006</v>
      </c>
      <c r="AM254" s="13">
        <v>0</v>
      </c>
      <c r="AN254" s="13">
        <v>0</v>
      </c>
      <c r="AO254" s="13">
        <v>0</v>
      </c>
      <c r="AP254" s="13">
        <v>892.15980000000002</v>
      </c>
      <c r="AQ254" s="13">
        <v>40.499699999999997</v>
      </c>
      <c r="AR254" s="13">
        <v>851.66010000000006</v>
      </c>
      <c r="AS254" s="13">
        <v>0</v>
      </c>
      <c r="AT254" s="13">
        <v>0</v>
      </c>
      <c r="AU254" s="13">
        <v>0</v>
      </c>
      <c r="AV254" s="13">
        <v>1347.1112000000001</v>
      </c>
      <c r="AW254" s="13">
        <v>51.106699999999996</v>
      </c>
      <c r="AX254" s="13">
        <v>1296.0045</v>
      </c>
      <c r="AY254" s="13">
        <v>19</v>
      </c>
      <c r="AZ254" s="13">
        <v>19</v>
      </c>
      <c r="BA254" s="13">
        <v>0</v>
      </c>
      <c r="BB254" s="13">
        <v>737.58760000000007</v>
      </c>
      <c r="BC254" s="13">
        <v>71.070999999999998</v>
      </c>
      <c r="BD254" s="13">
        <v>666.51660000000004</v>
      </c>
      <c r="BE254" s="13">
        <v>27</v>
      </c>
      <c r="BF254" s="13">
        <v>27</v>
      </c>
      <c r="BG254" s="13">
        <v>0</v>
      </c>
      <c r="BH254" s="13">
        <v>809.23059999999998</v>
      </c>
      <c r="BI254" s="13">
        <v>80.999499999999998</v>
      </c>
      <c r="BJ254" s="13">
        <v>728.23109999999997</v>
      </c>
      <c r="BK254" s="13">
        <v>18</v>
      </c>
      <c r="BL254" s="13">
        <v>18</v>
      </c>
      <c r="BM254" s="13">
        <v>0</v>
      </c>
      <c r="BN254" s="13">
        <v>1146.6034</v>
      </c>
      <c r="BO254" s="13">
        <v>60.428199999999997</v>
      </c>
      <c r="BP254" s="13">
        <v>1086.1751999999999</v>
      </c>
      <c r="BQ254" s="13">
        <v>9</v>
      </c>
      <c r="BR254" s="13">
        <v>9</v>
      </c>
      <c r="BS254" s="13">
        <v>0</v>
      </c>
      <c r="BT254" s="13">
        <v>820.35239999999999</v>
      </c>
      <c r="BU254" s="13">
        <v>42.749699999999997</v>
      </c>
      <c r="BV254" s="13">
        <v>777.60270000000003</v>
      </c>
      <c r="BW254" s="13">
        <v>18</v>
      </c>
      <c r="BX254" s="13">
        <v>18</v>
      </c>
      <c r="BY254" s="13">
        <v>0</v>
      </c>
      <c r="BZ254" s="13">
        <v>867.34539999999993</v>
      </c>
      <c r="CA254" s="13">
        <v>52.713999999999999</v>
      </c>
      <c r="CB254" s="13">
        <v>814.63139999999999</v>
      </c>
      <c r="CC254" s="13">
        <v>27</v>
      </c>
      <c r="CD254" s="13">
        <v>27</v>
      </c>
      <c r="CE254" s="13">
        <v>0</v>
      </c>
      <c r="CF254" s="13">
        <v>952.1386</v>
      </c>
      <c r="CG254" s="13">
        <v>51.106899999999996</v>
      </c>
      <c r="CH254" s="13">
        <v>901.0317</v>
      </c>
      <c r="CI254" s="13">
        <v>18</v>
      </c>
      <c r="CJ254" s="13">
        <v>18</v>
      </c>
      <c r="CK254" s="13">
        <v>0</v>
      </c>
      <c r="CL254" s="13">
        <v>854.03819999999996</v>
      </c>
      <c r="CM254" s="13">
        <v>51.749699999999997</v>
      </c>
      <c r="CN254" s="13">
        <v>802.2885</v>
      </c>
      <c r="CO254" s="13">
        <v>18</v>
      </c>
      <c r="CP254" s="13">
        <v>18</v>
      </c>
      <c r="CQ254" s="13">
        <v>0</v>
      </c>
      <c r="CR254" s="13">
        <v>842.65959999999995</v>
      </c>
      <c r="CS254" s="13">
        <v>52.713999999999999</v>
      </c>
      <c r="CT254" s="13">
        <v>789.94560000000001</v>
      </c>
      <c r="CU254" s="13">
        <f t="shared" si="28"/>
        <v>154</v>
      </c>
      <c r="CV254" s="13">
        <f t="shared" si="28"/>
        <v>154</v>
      </c>
      <c r="CW254" s="13">
        <f t="shared" si="28"/>
        <v>0</v>
      </c>
      <c r="CX254" s="13">
        <f t="shared" si="24"/>
        <v>11568.669099999999</v>
      </c>
      <c r="CY254" s="13">
        <f t="shared" si="24"/>
        <v>669.88840000000005</v>
      </c>
      <c r="CZ254" s="13">
        <f t="shared" si="24"/>
        <v>10898.780699999999</v>
      </c>
      <c r="DA254" s="13">
        <f t="shared" si="29"/>
        <v>63</v>
      </c>
      <c r="DB254" s="13">
        <f t="shared" si="29"/>
        <v>63</v>
      </c>
      <c r="DC254" s="13">
        <f t="shared" si="29"/>
        <v>0</v>
      </c>
      <c r="DD254" s="13">
        <f t="shared" si="25"/>
        <v>2648.8364000000001</v>
      </c>
      <c r="DE254" s="13">
        <f t="shared" si="25"/>
        <v>155.57059999999998</v>
      </c>
      <c r="DF254" s="13">
        <f t="shared" si="25"/>
        <v>2493.2658000000001</v>
      </c>
      <c r="DG254" s="13">
        <f t="shared" si="30"/>
        <v>45</v>
      </c>
      <c r="DH254" s="13">
        <f t="shared" si="30"/>
        <v>45</v>
      </c>
      <c r="DI254" s="13">
        <f t="shared" si="30"/>
        <v>0</v>
      </c>
      <c r="DJ254" s="13">
        <f t="shared" si="26"/>
        <v>2834.3011999999999</v>
      </c>
      <c r="DK254" s="13">
        <f t="shared" si="26"/>
        <v>155.89189999999999</v>
      </c>
      <c r="DL254" s="13">
        <f t="shared" si="26"/>
        <v>2678.4093000000003</v>
      </c>
      <c r="DM254" s="13">
        <f t="shared" si="31"/>
        <v>36</v>
      </c>
      <c r="DN254" s="13">
        <f t="shared" si="31"/>
        <v>36</v>
      </c>
      <c r="DO254" s="13">
        <f t="shared" si="31"/>
        <v>0</v>
      </c>
      <c r="DP254" s="13">
        <f t="shared" si="27"/>
        <v>1696.6977999999999</v>
      </c>
      <c r="DQ254" s="13">
        <f t="shared" si="27"/>
        <v>104.46369999999999</v>
      </c>
      <c r="DR254" s="13">
        <f t="shared" si="27"/>
        <v>1592.2341000000001</v>
      </c>
      <c r="DS254" s="14" t="s">
        <v>81</v>
      </c>
      <c r="DT254" s="14" t="s">
        <v>72</v>
      </c>
      <c r="DU254" s="14" t="s">
        <v>113</v>
      </c>
      <c r="DV254" s="14" t="s">
        <v>372</v>
      </c>
      <c r="DW254" s="14" t="s">
        <v>74</v>
      </c>
    </row>
    <row r="255" spans="2:127" x14ac:dyDescent="0.3">
      <c r="B255" s="11" t="s">
        <v>75</v>
      </c>
      <c r="C255" s="14">
        <v>5001339816</v>
      </c>
      <c r="D255" s="11" t="s">
        <v>819</v>
      </c>
      <c r="E255" s="11" t="s">
        <v>803</v>
      </c>
      <c r="F255" s="11" t="s">
        <v>820</v>
      </c>
      <c r="G255" s="11" t="s">
        <v>821</v>
      </c>
      <c r="H255" s="11" t="s">
        <v>157</v>
      </c>
      <c r="I255" s="11">
        <v>31201</v>
      </c>
      <c r="J255" s="11" t="s">
        <v>70</v>
      </c>
      <c r="K255" s="11"/>
      <c r="L255" s="11"/>
      <c r="M255" s="11"/>
      <c r="N255" s="11"/>
      <c r="O255" s="13">
        <v>60</v>
      </c>
      <c r="P255" s="13">
        <v>60</v>
      </c>
      <c r="Q255" s="13">
        <v>0</v>
      </c>
      <c r="R255" s="13">
        <v>13778.1651</v>
      </c>
      <c r="S255" s="13">
        <v>398.4615</v>
      </c>
      <c r="T255" s="13">
        <v>13379.703600000001</v>
      </c>
      <c r="U255" s="13">
        <v>0</v>
      </c>
      <c r="V255" s="13">
        <v>0</v>
      </c>
      <c r="W255" s="13">
        <v>0</v>
      </c>
      <c r="X255" s="13">
        <v>1348.8471000000002</v>
      </c>
      <c r="Y255" s="13">
        <v>40.499699999999997</v>
      </c>
      <c r="Z255" s="13">
        <v>1308.3474000000001</v>
      </c>
      <c r="AA255" s="13">
        <v>0</v>
      </c>
      <c r="AB255" s="13">
        <v>0</v>
      </c>
      <c r="AC255" s="13">
        <v>0</v>
      </c>
      <c r="AD255" s="13">
        <v>1149.2393999999999</v>
      </c>
      <c r="AE255" s="13">
        <v>26.035499999999999</v>
      </c>
      <c r="AF255" s="13">
        <v>1123.2039</v>
      </c>
      <c r="AG255" s="13">
        <v>0</v>
      </c>
      <c r="AH255" s="13">
        <v>0</v>
      </c>
      <c r="AI255" s="13">
        <v>0</v>
      </c>
      <c r="AJ255" s="13">
        <v>924.94589999999994</v>
      </c>
      <c r="AK255" s="13">
        <v>11.571300000000001</v>
      </c>
      <c r="AL255" s="13">
        <v>913.37459999999999</v>
      </c>
      <c r="AM255" s="13">
        <v>0</v>
      </c>
      <c r="AN255" s="13">
        <v>0</v>
      </c>
      <c r="AO255" s="13">
        <v>0</v>
      </c>
      <c r="AP255" s="13">
        <v>927.06719999999996</v>
      </c>
      <c r="AQ255" s="13">
        <v>26.035499999999999</v>
      </c>
      <c r="AR255" s="13">
        <v>901.0317</v>
      </c>
      <c r="AS255" s="13">
        <v>0</v>
      </c>
      <c r="AT255" s="13">
        <v>0</v>
      </c>
      <c r="AU255" s="13">
        <v>0</v>
      </c>
      <c r="AV255" s="13">
        <v>877.69560000000001</v>
      </c>
      <c r="AW255" s="13">
        <v>26.035499999999999</v>
      </c>
      <c r="AX255" s="13">
        <v>851.66010000000006</v>
      </c>
      <c r="AY255" s="13">
        <v>0</v>
      </c>
      <c r="AZ255" s="13">
        <v>0</v>
      </c>
      <c r="BA255" s="13">
        <v>0</v>
      </c>
      <c r="BB255" s="13">
        <v>854.35950000000003</v>
      </c>
      <c r="BC255" s="13">
        <v>52.070999999999998</v>
      </c>
      <c r="BD255" s="13">
        <v>802.2885</v>
      </c>
      <c r="BE255" s="13">
        <v>0</v>
      </c>
      <c r="BF255" s="13">
        <v>0</v>
      </c>
      <c r="BG255" s="13">
        <v>0</v>
      </c>
      <c r="BH255" s="13">
        <v>925.71749999999997</v>
      </c>
      <c r="BI255" s="13">
        <v>0</v>
      </c>
      <c r="BJ255" s="13">
        <v>925.71749999999997</v>
      </c>
      <c r="BK255" s="13">
        <v>0</v>
      </c>
      <c r="BL255" s="13">
        <v>0</v>
      </c>
      <c r="BM255" s="13">
        <v>0</v>
      </c>
      <c r="BN255" s="13">
        <v>966.21719999999993</v>
      </c>
      <c r="BO255" s="13">
        <v>40.499699999999997</v>
      </c>
      <c r="BP255" s="13">
        <v>925.71749999999997</v>
      </c>
      <c r="BQ255" s="13">
        <v>0</v>
      </c>
      <c r="BR255" s="13">
        <v>0</v>
      </c>
      <c r="BS255" s="13">
        <v>0</v>
      </c>
      <c r="BT255" s="13">
        <v>1036.0320000000002</v>
      </c>
      <c r="BU255" s="13">
        <v>11.571300000000001</v>
      </c>
      <c r="BV255" s="13">
        <v>1024.4607000000001</v>
      </c>
      <c r="BW255" s="13">
        <v>0</v>
      </c>
      <c r="BX255" s="13">
        <v>0</v>
      </c>
      <c r="BY255" s="13">
        <v>0</v>
      </c>
      <c r="BZ255" s="13">
        <v>1099.8678</v>
      </c>
      <c r="CA255" s="13">
        <v>26.035499999999999</v>
      </c>
      <c r="CB255" s="13">
        <v>1073.8323</v>
      </c>
      <c r="CC255" s="13">
        <v>60</v>
      </c>
      <c r="CD255" s="13">
        <v>60</v>
      </c>
      <c r="CE255" s="13">
        <v>0</v>
      </c>
      <c r="CF255" s="13">
        <v>1556.9619</v>
      </c>
      <c r="CG255" s="13">
        <v>100.49969999999999</v>
      </c>
      <c r="CH255" s="13">
        <v>1456.4621999999999</v>
      </c>
      <c r="CI255" s="13">
        <v>0</v>
      </c>
      <c r="CJ255" s="13">
        <v>0</v>
      </c>
      <c r="CK255" s="13">
        <v>0</v>
      </c>
      <c r="CL255" s="13">
        <v>949.63169999999991</v>
      </c>
      <c r="CM255" s="13">
        <v>11.571300000000001</v>
      </c>
      <c r="CN255" s="13">
        <v>938.06039999999996</v>
      </c>
      <c r="CO255" s="13">
        <v>0</v>
      </c>
      <c r="CP255" s="13">
        <v>0</v>
      </c>
      <c r="CQ255" s="13">
        <v>0</v>
      </c>
      <c r="CR255" s="13">
        <v>1161.5823</v>
      </c>
      <c r="CS255" s="13">
        <v>26.035499999999999</v>
      </c>
      <c r="CT255" s="13">
        <v>1135.5468000000001</v>
      </c>
      <c r="CU255" s="13">
        <f t="shared" si="28"/>
        <v>60</v>
      </c>
      <c r="CV255" s="13">
        <f t="shared" si="28"/>
        <v>60</v>
      </c>
      <c r="CW255" s="13">
        <f t="shared" si="28"/>
        <v>0</v>
      </c>
      <c r="CX255" s="13">
        <f t="shared" si="24"/>
        <v>12429.318000000001</v>
      </c>
      <c r="CY255" s="13">
        <f t="shared" si="24"/>
        <v>357.96180000000004</v>
      </c>
      <c r="CZ255" s="13">
        <f t="shared" si="24"/>
        <v>12071.3562</v>
      </c>
      <c r="DA255" s="13">
        <f t="shared" si="29"/>
        <v>60</v>
      </c>
      <c r="DB255" s="13">
        <f t="shared" si="29"/>
        <v>60</v>
      </c>
      <c r="DC255" s="13">
        <f t="shared" si="29"/>
        <v>0</v>
      </c>
      <c r="DD255" s="13">
        <f t="shared" si="25"/>
        <v>3668.1759000000002</v>
      </c>
      <c r="DE255" s="13">
        <f t="shared" si="25"/>
        <v>138.10649999999998</v>
      </c>
      <c r="DF255" s="13">
        <f t="shared" si="25"/>
        <v>3530.0693999999999</v>
      </c>
      <c r="DG255" s="13">
        <f t="shared" si="30"/>
        <v>0</v>
      </c>
      <c r="DH255" s="13">
        <f t="shared" si="30"/>
        <v>0</v>
      </c>
      <c r="DI255" s="13">
        <f t="shared" si="30"/>
        <v>0</v>
      </c>
      <c r="DJ255" s="13">
        <f t="shared" si="26"/>
        <v>3102.1170000000002</v>
      </c>
      <c r="DK255" s="13">
        <f t="shared" si="26"/>
        <v>78.106499999999997</v>
      </c>
      <c r="DL255" s="13">
        <f t="shared" si="26"/>
        <v>3024.0105000000003</v>
      </c>
      <c r="DM255" s="13">
        <f t="shared" si="31"/>
        <v>0</v>
      </c>
      <c r="DN255" s="13">
        <f t="shared" si="31"/>
        <v>0</v>
      </c>
      <c r="DO255" s="13">
        <f t="shared" si="31"/>
        <v>0</v>
      </c>
      <c r="DP255" s="13">
        <f t="shared" si="27"/>
        <v>2111.2139999999999</v>
      </c>
      <c r="DQ255" s="13">
        <f t="shared" si="27"/>
        <v>37.6068</v>
      </c>
      <c r="DR255" s="13">
        <f t="shared" si="27"/>
        <v>2073.6071999999999</v>
      </c>
      <c r="DS255" s="14" t="s">
        <v>81</v>
      </c>
      <c r="DT255" s="14" t="s">
        <v>72</v>
      </c>
      <c r="DU255" s="14" t="s">
        <v>113</v>
      </c>
      <c r="DV255" s="14" t="s">
        <v>372</v>
      </c>
      <c r="DW255" s="14" t="s">
        <v>74</v>
      </c>
    </row>
    <row r="256" spans="2:127" x14ac:dyDescent="0.3">
      <c r="B256" s="11" t="s">
        <v>53</v>
      </c>
      <c r="C256" s="14">
        <v>5001341921</v>
      </c>
      <c r="D256" s="11" t="s">
        <v>822</v>
      </c>
      <c r="E256" s="11" t="s">
        <v>803</v>
      </c>
      <c r="F256" s="11" t="s">
        <v>823</v>
      </c>
      <c r="G256" s="11" t="s">
        <v>824</v>
      </c>
      <c r="H256" s="11" t="s">
        <v>177</v>
      </c>
      <c r="I256" s="11">
        <v>85258</v>
      </c>
      <c r="J256" s="11" t="s">
        <v>80</v>
      </c>
      <c r="K256" s="11"/>
      <c r="L256" s="11"/>
      <c r="M256" s="11"/>
      <c r="N256" s="11"/>
      <c r="O256" s="13">
        <v>393</v>
      </c>
      <c r="P256" s="13">
        <v>393</v>
      </c>
      <c r="Q256" s="13">
        <v>0</v>
      </c>
      <c r="R256" s="13">
        <v>39937.125999999997</v>
      </c>
      <c r="S256" s="13">
        <v>2204.8806999999997</v>
      </c>
      <c r="T256" s="13">
        <v>37732.245300000002</v>
      </c>
      <c r="U256" s="13">
        <v>22</v>
      </c>
      <c r="V256" s="13">
        <v>22</v>
      </c>
      <c r="W256" s="13">
        <v>0</v>
      </c>
      <c r="X256" s="13">
        <v>2366.9566</v>
      </c>
      <c r="Y256" s="13">
        <v>194.6062</v>
      </c>
      <c r="Z256" s="13">
        <v>2172.3503999999998</v>
      </c>
      <c r="AA256" s="13">
        <v>29</v>
      </c>
      <c r="AB256" s="13">
        <v>29</v>
      </c>
      <c r="AC256" s="13">
        <v>0</v>
      </c>
      <c r="AD256" s="13">
        <v>2902.9659999999999</v>
      </c>
      <c r="AE256" s="13">
        <v>150.49930000000001</v>
      </c>
      <c r="AF256" s="13">
        <v>2752.4666999999999</v>
      </c>
      <c r="AG256" s="13">
        <v>20</v>
      </c>
      <c r="AH256" s="13">
        <v>20</v>
      </c>
      <c r="AI256" s="13">
        <v>0</v>
      </c>
      <c r="AJ256" s="13">
        <v>2531.2003999999997</v>
      </c>
      <c r="AK256" s="13">
        <v>136.67779999999999</v>
      </c>
      <c r="AL256" s="13">
        <v>2394.5225999999998</v>
      </c>
      <c r="AM256" s="13">
        <v>24</v>
      </c>
      <c r="AN256" s="13">
        <v>24</v>
      </c>
      <c r="AO256" s="13">
        <v>0</v>
      </c>
      <c r="AP256" s="13">
        <v>2411.3858999999998</v>
      </c>
      <c r="AQ256" s="13">
        <v>115.6065</v>
      </c>
      <c r="AR256" s="13">
        <v>2295.7793999999999</v>
      </c>
      <c r="AS256" s="13">
        <v>39</v>
      </c>
      <c r="AT256" s="13">
        <v>39</v>
      </c>
      <c r="AU256" s="13">
        <v>0</v>
      </c>
      <c r="AV256" s="13">
        <v>3934.5338000000002</v>
      </c>
      <c r="AW256" s="13">
        <v>157.60640000000001</v>
      </c>
      <c r="AX256" s="13">
        <v>3776.9274</v>
      </c>
      <c r="AY256" s="13">
        <v>21</v>
      </c>
      <c r="AZ256" s="13">
        <v>21</v>
      </c>
      <c r="BA256" s="13">
        <v>0</v>
      </c>
      <c r="BB256" s="13">
        <v>3191.7731000000003</v>
      </c>
      <c r="BC256" s="13">
        <v>241.82</v>
      </c>
      <c r="BD256" s="13">
        <v>2949.9531000000002</v>
      </c>
      <c r="BE256" s="13">
        <v>19</v>
      </c>
      <c r="BF256" s="13">
        <v>19</v>
      </c>
      <c r="BG256" s="13">
        <v>0</v>
      </c>
      <c r="BH256" s="13">
        <v>3277.5237999999999</v>
      </c>
      <c r="BI256" s="13">
        <v>204.14169999999999</v>
      </c>
      <c r="BJ256" s="13">
        <v>3073.3820999999998</v>
      </c>
      <c r="BK256" s="13">
        <v>31</v>
      </c>
      <c r="BL256" s="13">
        <v>31</v>
      </c>
      <c r="BM256" s="13">
        <v>0</v>
      </c>
      <c r="BN256" s="13">
        <v>3952.9546</v>
      </c>
      <c r="BO256" s="13">
        <v>200.71299999999999</v>
      </c>
      <c r="BP256" s="13">
        <v>3752.2415999999998</v>
      </c>
      <c r="BQ256" s="13">
        <v>19</v>
      </c>
      <c r="BR256" s="13">
        <v>19</v>
      </c>
      <c r="BS256" s="13">
        <v>0</v>
      </c>
      <c r="BT256" s="13">
        <v>2926.5228999999999</v>
      </c>
      <c r="BU256" s="13">
        <v>161.7133</v>
      </c>
      <c r="BV256" s="13">
        <v>2764.8096</v>
      </c>
      <c r="BW256" s="13">
        <v>22</v>
      </c>
      <c r="BX256" s="13">
        <v>22</v>
      </c>
      <c r="BY256" s="13">
        <v>0</v>
      </c>
      <c r="BZ256" s="13">
        <v>2647.7581</v>
      </c>
      <c r="CA256" s="13">
        <v>117.4636</v>
      </c>
      <c r="CB256" s="13">
        <v>2530.2945</v>
      </c>
      <c r="CC256" s="13">
        <v>25</v>
      </c>
      <c r="CD256" s="13">
        <v>25</v>
      </c>
      <c r="CE256" s="13">
        <v>0</v>
      </c>
      <c r="CF256" s="13">
        <v>3289.1165999999998</v>
      </c>
      <c r="CG256" s="13">
        <v>203.39160000000001</v>
      </c>
      <c r="CH256" s="13">
        <v>3085.7249999999999</v>
      </c>
      <c r="CI256" s="13">
        <v>33</v>
      </c>
      <c r="CJ256" s="13">
        <v>33</v>
      </c>
      <c r="CK256" s="13">
        <v>0</v>
      </c>
      <c r="CL256" s="13">
        <v>3214.7674000000002</v>
      </c>
      <c r="CM256" s="13">
        <v>104.3566</v>
      </c>
      <c r="CN256" s="13">
        <v>3110.4108000000001</v>
      </c>
      <c r="CO256" s="13">
        <v>89</v>
      </c>
      <c r="CP256" s="13">
        <v>89</v>
      </c>
      <c r="CQ256" s="13">
        <v>0</v>
      </c>
      <c r="CR256" s="13">
        <v>3289.6668</v>
      </c>
      <c r="CS256" s="13">
        <v>216.28469999999999</v>
      </c>
      <c r="CT256" s="13">
        <v>3073.3820999999998</v>
      </c>
      <c r="CU256" s="13">
        <f t="shared" si="28"/>
        <v>371</v>
      </c>
      <c r="CV256" s="13">
        <f t="shared" si="28"/>
        <v>371</v>
      </c>
      <c r="CW256" s="13">
        <f t="shared" si="28"/>
        <v>0</v>
      </c>
      <c r="CX256" s="13">
        <f t="shared" si="24"/>
        <v>37570.169399999999</v>
      </c>
      <c r="CY256" s="13">
        <f t="shared" si="24"/>
        <v>2010.2745000000002</v>
      </c>
      <c r="CZ256" s="13">
        <f t="shared" si="24"/>
        <v>35559.894899999999</v>
      </c>
      <c r="DA256" s="13">
        <f t="shared" si="29"/>
        <v>147</v>
      </c>
      <c r="DB256" s="13">
        <f t="shared" si="29"/>
        <v>147</v>
      </c>
      <c r="DC256" s="13">
        <f t="shared" si="29"/>
        <v>0</v>
      </c>
      <c r="DD256" s="13">
        <f t="shared" si="25"/>
        <v>9793.5508000000009</v>
      </c>
      <c r="DE256" s="13">
        <f t="shared" si="25"/>
        <v>524.03289999999993</v>
      </c>
      <c r="DF256" s="13">
        <f t="shared" si="25"/>
        <v>9269.5178999999989</v>
      </c>
      <c r="DG256" s="13">
        <f t="shared" si="30"/>
        <v>72</v>
      </c>
      <c r="DH256" s="13">
        <f t="shared" si="30"/>
        <v>72</v>
      </c>
      <c r="DI256" s="13">
        <f t="shared" si="30"/>
        <v>0</v>
      </c>
      <c r="DJ256" s="13">
        <f t="shared" si="26"/>
        <v>9527.2356</v>
      </c>
      <c r="DK256" s="13">
        <f t="shared" si="26"/>
        <v>479.88989999999995</v>
      </c>
      <c r="DL256" s="13">
        <f t="shared" si="26"/>
        <v>9047.3456999999999</v>
      </c>
      <c r="DM256" s="13">
        <f t="shared" si="31"/>
        <v>122</v>
      </c>
      <c r="DN256" s="13">
        <f t="shared" si="31"/>
        <v>122</v>
      </c>
      <c r="DO256" s="13">
        <f t="shared" si="31"/>
        <v>0</v>
      </c>
      <c r="DP256" s="13">
        <f t="shared" si="27"/>
        <v>6504.4341999999997</v>
      </c>
      <c r="DQ256" s="13">
        <f t="shared" si="27"/>
        <v>320.6413</v>
      </c>
      <c r="DR256" s="13">
        <f t="shared" si="27"/>
        <v>6183.7929000000004</v>
      </c>
      <c r="DS256" s="14" t="s">
        <v>81</v>
      </c>
      <c r="DT256" s="14" t="s">
        <v>72</v>
      </c>
      <c r="DU256" s="14" t="s">
        <v>113</v>
      </c>
      <c r="DV256" s="14" t="s">
        <v>372</v>
      </c>
      <c r="DW256" s="14" t="s">
        <v>74</v>
      </c>
    </row>
    <row r="257" spans="2:127" x14ac:dyDescent="0.3">
      <c r="B257" s="11" t="s">
        <v>83</v>
      </c>
      <c r="C257" s="14">
        <v>5001342010</v>
      </c>
      <c r="D257" s="11" t="s">
        <v>825</v>
      </c>
      <c r="E257" s="11" t="s">
        <v>803</v>
      </c>
      <c r="F257" s="11" t="s">
        <v>826</v>
      </c>
      <c r="G257" s="11" t="s">
        <v>362</v>
      </c>
      <c r="H257" s="11" t="s">
        <v>150</v>
      </c>
      <c r="I257" s="11">
        <v>46256</v>
      </c>
      <c r="J257" s="11" t="s">
        <v>80</v>
      </c>
      <c r="K257" s="11"/>
      <c r="L257" s="11"/>
      <c r="M257" s="11"/>
      <c r="N257" s="11"/>
      <c r="O257" s="13">
        <v>0</v>
      </c>
      <c r="P257" s="13">
        <v>0</v>
      </c>
      <c r="Q257" s="13">
        <v>0</v>
      </c>
      <c r="R257" s="13">
        <v>703.5453</v>
      </c>
      <c r="S257" s="13">
        <v>0</v>
      </c>
      <c r="T257" s="13">
        <v>703.5453</v>
      </c>
      <c r="U257" s="13">
        <v>0</v>
      </c>
      <c r="V257" s="13">
        <v>0</v>
      </c>
      <c r="W257" s="13">
        <v>0</v>
      </c>
      <c r="X257" s="13">
        <v>74.057400000000001</v>
      </c>
      <c r="Y257" s="13">
        <v>0</v>
      </c>
      <c r="Z257" s="13">
        <v>74.057400000000001</v>
      </c>
      <c r="AA257" s="13">
        <v>0</v>
      </c>
      <c r="AB257" s="13">
        <v>0</v>
      </c>
      <c r="AC257" s="13">
        <v>0</v>
      </c>
      <c r="AD257" s="13">
        <v>98.743200000000002</v>
      </c>
      <c r="AE257" s="13">
        <v>0</v>
      </c>
      <c r="AF257" s="13">
        <v>98.743200000000002</v>
      </c>
      <c r="AG257" s="13">
        <v>0</v>
      </c>
      <c r="AH257" s="13">
        <v>0</v>
      </c>
      <c r="AI257" s="13">
        <v>0</v>
      </c>
      <c r="AJ257" s="13">
        <v>37.028700000000001</v>
      </c>
      <c r="AK257" s="13">
        <v>0</v>
      </c>
      <c r="AL257" s="13">
        <v>37.028700000000001</v>
      </c>
      <c r="AM257" s="13">
        <v>0</v>
      </c>
      <c r="AN257" s="13">
        <v>0</v>
      </c>
      <c r="AO257" s="13">
        <v>0</v>
      </c>
      <c r="AP257" s="13">
        <v>86.400300000000001</v>
      </c>
      <c r="AQ257" s="13">
        <v>0</v>
      </c>
      <c r="AR257" s="13">
        <v>86.400300000000001</v>
      </c>
      <c r="AS257" s="13">
        <v>0</v>
      </c>
      <c r="AT257" s="13">
        <v>0</v>
      </c>
      <c r="AU257" s="13">
        <v>0</v>
      </c>
      <c r="AV257" s="13">
        <v>61.714500000000001</v>
      </c>
      <c r="AW257" s="13">
        <v>0</v>
      </c>
      <c r="AX257" s="13">
        <v>61.714500000000001</v>
      </c>
      <c r="AY257" s="13">
        <v>0</v>
      </c>
      <c r="AZ257" s="13">
        <v>0</v>
      </c>
      <c r="BA257" s="13">
        <v>0</v>
      </c>
      <c r="BB257" s="13">
        <v>24.6858</v>
      </c>
      <c r="BC257" s="13">
        <v>0</v>
      </c>
      <c r="BD257" s="13">
        <v>24.6858</v>
      </c>
      <c r="BE257" s="13">
        <v>0</v>
      </c>
      <c r="BF257" s="13">
        <v>0</v>
      </c>
      <c r="BG257" s="13">
        <v>0</v>
      </c>
      <c r="BH257" s="13">
        <v>49.371600000000001</v>
      </c>
      <c r="BI257" s="13">
        <v>0</v>
      </c>
      <c r="BJ257" s="13">
        <v>49.371600000000001</v>
      </c>
      <c r="BK257" s="13">
        <v>0</v>
      </c>
      <c r="BL257" s="13">
        <v>0</v>
      </c>
      <c r="BM257" s="13">
        <v>0</v>
      </c>
      <c r="BN257" s="13">
        <v>111.0861</v>
      </c>
      <c r="BO257" s="13">
        <v>0</v>
      </c>
      <c r="BP257" s="13">
        <v>111.0861</v>
      </c>
      <c r="BQ257" s="13">
        <v>0</v>
      </c>
      <c r="BR257" s="13">
        <v>0</v>
      </c>
      <c r="BS257" s="13">
        <v>0</v>
      </c>
      <c r="BT257" s="13">
        <v>98.743200000000002</v>
      </c>
      <c r="BU257" s="13">
        <v>0</v>
      </c>
      <c r="BV257" s="13">
        <v>98.743200000000002</v>
      </c>
      <c r="BW257" s="13">
        <v>0</v>
      </c>
      <c r="BX257" s="13">
        <v>0</v>
      </c>
      <c r="BY257" s="13">
        <v>0</v>
      </c>
      <c r="BZ257" s="13">
        <v>61.714500000000001</v>
      </c>
      <c r="CA257" s="13">
        <v>0</v>
      </c>
      <c r="CB257" s="13">
        <v>61.714500000000001</v>
      </c>
      <c r="CC257" s="13">
        <v>0</v>
      </c>
      <c r="CD257" s="13">
        <v>0</v>
      </c>
      <c r="CE257" s="13">
        <v>0</v>
      </c>
      <c r="CF257" s="13">
        <v>0</v>
      </c>
      <c r="CG257" s="13">
        <v>0</v>
      </c>
      <c r="CH257" s="13">
        <v>0</v>
      </c>
      <c r="CI257" s="13">
        <v>0</v>
      </c>
      <c r="CJ257" s="13">
        <v>0</v>
      </c>
      <c r="CK257" s="13">
        <v>0</v>
      </c>
      <c r="CL257" s="13">
        <v>0</v>
      </c>
      <c r="CM257" s="13">
        <v>0</v>
      </c>
      <c r="CN257" s="13">
        <v>0</v>
      </c>
      <c r="CO257" s="13">
        <v>0</v>
      </c>
      <c r="CP257" s="13">
        <v>0</v>
      </c>
      <c r="CQ257" s="13">
        <v>0</v>
      </c>
      <c r="CR257" s="13">
        <v>0</v>
      </c>
      <c r="CS257" s="13">
        <v>0</v>
      </c>
      <c r="CT257" s="13">
        <v>0</v>
      </c>
      <c r="CU257" s="13">
        <f t="shared" si="28"/>
        <v>0</v>
      </c>
      <c r="CV257" s="13">
        <f t="shared" si="28"/>
        <v>0</v>
      </c>
      <c r="CW257" s="13">
        <f t="shared" si="28"/>
        <v>0</v>
      </c>
      <c r="CX257" s="13">
        <f t="shared" si="24"/>
        <v>629.48790000000008</v>
      </c>
      <c r="CY257" s="13">
        <f t="shared" si="24"/>
        <v>0</v>
      </c>
      <c r="CZ257" s="13">
        <f t="shared" si="24"/>
        <v>629.48790000000008</v>
      </c>
      <c r="DA257" s="13">
        <f t="shared" si="29"/>
        <v>0</v>
      </c>
      <c r="DB257" s="13">
        <f t="shared" si="29"/>
        <v>0</v>
      </c>
      <c r="DC257" s="13">
        <f t="shared" si="29"/>
        <v>0</v>
      </c>
      <c r="DD257" s="13">
        <f t="shared" si="25"/>
        <v>0</v>
      </c>
      <c r="DE257" s="13">
        <f t="shared" si="25"/>
        <v>0</v>
      </c>
      <c r="DF257" s="13">
        <f t="shared" si="25"/>
        <v>0</v>
      </c>
      <c r="DG257" s="13">
        <f t="shared" si="30"/>
        <v>0</v>
      </c>
      <c r="DH257" s="13">
        <f t="shared" si="30"/>
        <v>0</v>
      </c>
      <c r="DI257" s="13">
        <f t="shared" si="30"/>
        <v>0</v>
      </c>
      <c r="DJ257" s="13">
        <f t="shared" si="26"/>
        <v>271.54379999999998</v>
      </c>
      <c r="DK257" s="13">
        <f t="shared" si="26"/>
        <v>0</v>
      </c>
      <c r="DL257" s="13">
        <f t="shared" si="26"/>
        <v>271.54379999999998</v>
      </c>
      <c r="DM257" s="13">
        <f t="shared" si="31"/>
        <v>0</v>
      </c>
      <c r="DN257" s="13">
        <f t="shared" si="31"/>
        <v>0</v>
      </c>
      <c r="DO257" s="13">
        <f t="shared" si="31"/>
        <v>0</v>
      </c>
      <c r="DP257" s="13">
        <f t="shared" si="27"/>
        <v>0</v>
      </c>
      <c r="DQ257" s="13">
        <f t="shared" si="27"/>
        <v>0</v>
      </c>
      <c r="DR257" s="13">
        <f t="shared" si="27"/>
        <v>0</v>
      </c>
      <c r="DS257" s="14" t="s">
        <v>81</v>
      </c>
      <c r="DT257" s="14" t="s">
        <v>72</v>
      </c>
      <c r="DU257" s="14" t="s">
        <v>113</v>
      </c>
      <c r="DV257" s="14" t="s">
        <v>372</v>
      </c>
      <c r="DW257" s="14" t="s">
        <v>74</v>
      </c>
    </row>
    <row r="258" spans="2:127" x14ac:dyDescent="0.3">
      <c r="B258" s="11" t="s">
        <v>53</v>
      </c>
      <c r="C258" s="14">
        <v>5001341467</v>
      </c>
      <c r="D258" s="11" t="s">
        <v>827</v>
      </c>
      <c r="E258" s="11" t="s">
        <v>803</v>
      </c>
      <c r="F258" s="11" t="s">
        <v>828</v>
      </c>
      <c r="G258" s="11" t="s">
        <v>829</v>
      </c>
      <c r="H258" s="11" t="s">
        <v>58</v>
      </c>
      <c r="I258" s="11">
        <v>94597</v>
      </c>
      <c r="J258" s="11" t="s">
        <v>80</v>
      </c>
      <c r="K258" s="11"/>
      <c r="L258" s="11"/>
      <c r="M258" s="11"/>
      <c r="N258" s="11"/>
      <c r="O258" s="13">
        <v>0</v>
      </c>
      <c r="P258" s="13">
        <v>0</v>
      </c>
      <c r="Q258" s="13">
        <v>0</v>
      </c>
      <c r="R258" s="13">
        <v>15016.2937</v>
      </c>
      <c r="S258" s="13">
        <v>106.0705</v>
      </c>
      <c r="T258" s="13">
        <v>14910.2232</v>
      </c>
      <c r="U258" s="13">
        <v>0</v>
      </c>
      <c r="V258" s="13">
        <v>0</v>
      </c>
      <c r="W258" s="13">
        <v>0</v>
      </c>
      <c r="X258" s="13">
        <v>1086.1751999999999</v>
      </c>
      <c r="Y258" s="13">
        <v>0</v>
      </c>
      <c r="Z258" s="13">
        <v>1086.1751999999999</v>
      </c>
      <c r="AA258" s="13">
        <v>0</v>
      </c>
      <c r="AB258" s="13">
        <v>0</v>
      </c>
      <c r="AC258" s="13">
        <v>0</v>
      </c>
      <c r="AD258" s="13">
        <v>1120.1176</v>
      </c>
      <c r="AE258" s="13">
        <v>46.285299999999999</v>
      </c>
      <c r="AF258" s="13">
        <v>1073.8323</v>
      </c>
      <c r="AG258" s="13">
        <v>0</v>
      </c>
      <c r="AH258" s="13">
        <v>0</v>
      </c>
      <c r="AI258" s="13">
        <v>0</v>
      </c>
      <c r="AJ258" s="13">
        <v>1110.8610000000001</v>
      </c>
      <c r="AK258" s="13">
        <v>0</v>
      </c>
      <c r="AL258" s="13">
        <v>1110.8610000000001</v>
      </c>
      <c r="AM258" s="13">
        <v>0</v>
      </c>
      <c r="AN258" s="13">
        <v>0</v>
      </c>
      <c r="AO258" s="13">
        <v>0</v>
      </c>
      <c r="AP258" s="13">
        <v>1057.825</v>
      </c>
      <c r="AQ258" s="13">
        <v>8.6784999999999997</v>
      </c>
      <c r="AR258" s="13">
        <v>1049.1465000000001</v>
      </c>
      <c r="AS258" s="13">
        <v>0</v>
      </c>
      <c r="AT258" s="13">
        <v>0</v>
      </c>
      <c r="AU258" s="13">
        <v>0</v>
      </c>
      <c r="AV258" s="13">
        <v>1232.7467999999999</v>
      </c>
      <c r="AW258" s="13">
        <v>23.142600000000002</v>
      </c>
      <c r="AX258" s="13">
        <v>1209.6042</v>
      </c>
      <c r="AY258" s="13">
        <v>0</v>
      </c>
      <c r="AZ258" s="13">
        <v>0</v>
      </c>
      <c r="BA258" s="13">
        <v>0</v>
      </c>
      <c r="BB258" s="13">
        <v>901.0317</v>
      </c>
      <c r="BC258" s="13">
        <v>0</v>
      </c>
      <c r="BD258" s="13">
        <v>901.0317</v>
      </c>
      <c r="BE258" s="13">
        <v>0</v>
      </c>
      <c r="BF258" s="13">
        <v>0</v>
      </c>
      <c r="BG258" s="13">
        <v>0</v>
      </c>
      <c r="BH258" s="13">
        <v>1246.6329000000001</v>
      </c>
      <c r="BI258" s="13">
        <v>0</v>
      </c>
      <c r="BJ258" s="13">
        <v>1246.6329000000001</v>
      </c>
      <c r="BK258" s="13">
        <v>0</v>
      </c>
      <c r="BL258" s="13">
        <v>0</v>
      </c>
      <c r="BM258" s="13">
        <v>0</v>
      </c>
      <c r="BN258" s="13">
        <v>1814.4063000000001</v>
      </c>
      <c r="BO258" s="13">
        <v>0</v>
      </c>
      <c r="BP258" s="13">
        <v>1814.4063000000001</v>
      </c>
      <c r="BQ258" s="13">
        <v>0</v>
      </c>
      <c r="BR258" s="13">
        <v>0</v>
      </c>
      <c r="BS258" s="13">
        <v>0</v>
      </c>
      <c r="BT258" s="13">
        <v>901.0317</v>
      </c>
      <c r="BU258" s="13">
        <v>0</v>
      </c>
      <c r="BV258" s="13">
        <v>901.0317</v>
      </c>
      <c r="BW258" s="13">
        <v>0</v>
      </c>
      <c r="BX258" s="13">
        <v>0</v>
      </c>
      <c r="BY258" s="13">
        <v>0</v>
      </c>
      <c r="BZ258" s="13">
        <v>1073.8323</v>
      </c>
      <c r="CA258" s="13">
        <v>0</v>
      </c>
      <c r="CB258" s="13">
        <v>1073.8323</v>
      </c>
      <c r="CC258" s="13">
        <v>0</v>
      </c>
      <c r="CD258" s="13">
        <v>0</v>
      </c>
      <c r="CE258" s="13">
        <v>0</v>
      </c>
      <c r="CF258" s="13">
        <v>1184.9184</v>
      </c>
      <c r="CG258" s="13">
        <v>0</v>
      </c>
      <c r="CH258" s="13">
        <v>1184.9184</v>
      </c>
      <c r="CI258" s="13">
        <v>0</v>
      </c>
      <c r="CJ258" s="13">
        <v>0</v>
      </c>
      <c r="CK258" s="13">
        <v>0</v>
      </c>
      <c r="CL258" s="13">
        <v>1138.8251</v>
      </c>
      <c r="CM258" s="13">
        <v>27.964099999999998</v>
      </c>
      <c r="CN258" s="13">
        <v>1110.8610000000001</v>
      </c>
      <c r="CO258" s="13">
        <v>0</v>
      </c>
      <c r="CP258" s="13">
        <v>0</v>
      </c>
      <c r="CQ258" s="13">
        <v>0</v>
      </c>
      <c r="CR258" s="13">
        <v>1147.8896999999999</v>
      </c>
      <c r="CS258" s="13">
        <v>0</v>
      </c>
      <c r="CT258" s="13">
        <v>1147.8896999999999</v>
      </c>
      <c r="CU258" s="13">
        <f t="shared" si="28"/>
        <v>0</v>
      </c>
      <c r="CV258" s="13">
        <f t="shared" si="28"/>
        <v>0</v>
      </c>
      <c r="CW258" s="13">
        <f t="shared" si="28"/>
        <v>0</v>
      </c>
      <c r="CX258" s="13">
        <f t="shared" si="24"/>
        <v>13930.1185</v>
      </c>
      <c r="CY258" s="13">
        <f t="shared" si="24"/>
        <v>106.07050000000001</v>
      </c>
      <c r="CZ258" s="13">
        <f t="shared" si="24"/>
        <v>13824.048000000001</v>
      </c>
      <c r="DA258" s="13">
        <f t="shared" si="29"/>
        <v>0</v>
      </c>
      <c r="DB258" s="13">
        <f t="shared" si="29"/>
        <v>0</v>
      </c>
      <c r="DC258" s="13">
        <f t="shared" si="29"/>
        <v>0</v>
      </c>
      <c r="DD258" s="13">
        <f t="shared" si="25"/>
        <v>3471.6332000000002</v>
      </c>
      <c r="DE258" s="13">
        <f t="shared" si="25"/>
        <v>27.964099999999998</v>
      </c>
      <c r="DF258" s="13">
        <f t="shared" si="25"/>
        <v>3443.6691000000001</v>
      </c>
      <c r="DG258" s="13">
        <f t="shared" si="30"/>
        <v>0</v>
      </c>
      <c r="DH258" s="13">
        <f t="shared" si="30"/>
        <v>0</v>
      </c>
      <c r="DI258" s="13">
        <f t="shared" si="30"/>
        <v>0</v>
      </c>
      <c r="DJ258" s="13">
        <f t="shared" si="26"/>
        <v>3789.2703000000001</v>
      </c>
      <c r="DK258" s="13">
        <f t="shared" si="26"/>
        <v>0</v>
      </c>
      <c r="DL258" s="13">
        <f t="shared" si="26"/>
        <v>3789.2703000000001</v>
      </c>
      <c r="DM258" s="13">
        <f t="shared" si="31"/>
        <v>0</v>
      </c>
      <c r="DN258" s="13">
        <f t="shared" si="31"/>
        <v>0</v>
      </c>
      <c r="DO258" s="13">
        <f t="shared" si="31"/>
        <v>0</v>
      </c>
      <c r="DP258" s="13">
        <f t="shared" si="27"/>
        <v>2286.7147999999997</v>
      </c>
      <c r="DQ258" s="13">
        <f t="shared" si="27"/>
        <v>27.964099999999998</v>
      </c>
      <c r="DR258" s="13">
        <f t="shared" si="27"/>
        <v>2258.7507000000001</v>
      </c>
      <c r="DS258" s="14" t="s">
        <v>81</v>
      </c>
      <c r="DT258" s="14" t="s">
        <v>72</v>
      </c>
      <c r="DU258" s="14" t="s">
        <v>113</v>
      </c>
      <c r="DV258" s="14" t="s">
        <v>372</v>
      </c>
      <c r="DW258" s="14" t="s">
        <v>74</v>
      </c>
    </row>
    <row r="259" spans="2:127" x14ac:dyDescent="0.3">
      <c r="B259" s="11" t="s">
        <v>75</v>
      </c>
      <c r="C259" s="14">
        <v>5001341944</v>
      </c>
      <c r="D259" s="11" t="s">
        <v>830</v>
      </c>
      <c r="E259" s="11" t="s">
        <v>803</v>
      </c>
      <c r="F259" s="11" t="s">
        <v>831</v>
      </c>
      <c r="G259" s="11" t="s">
        <v>832</v>
      </c>
      <c r="H259" s="11" t="s">
        <v>157</v>
      </c>
      <c r="I259" s="11">
        <v>31405</v>
      </c>
      <c r="J259" s="11" t="s">
        <v>80</v>
      </c>
      <c r="K259" s="11"/>
      <c r="L259" s="11"/>
      <c r="M259" s="11"/>
      <c r="N259" s="11"/>
      <c r="O259" s="13">
        <v>316</v>
      </c>
      <c r="P259" s="13">
        <v>316</v>
      </c>
      <c r="Q259" s="13">
        <v>0</v>
      </c>
      <c r="R259" s="13">
        <v>21448.7798</v>
      </c>
      <c r="S259" s="13">
        <v>367.10660000000001</v>
      </c>
      <c r="T259" s="13">
        <v>21081.673200000001</v>
      </c>
      <c r="U259" s="13">
        <v>22</v>
      </c>
      <c r="V259" s="13">
        <v>22</v>
      </c>
      <c r="W259" s="13">
        <v>0</v>
      </c>
      <c r="X259" s="13">
        <v>873.66010000000006</v>
      </c>
      <c r="Y259" s="13">
        <v>22</v>
      </c>
      <c r="Z259" s="13">
        <v>851.66010000000006</v>
      </c>
      <c r="AA259" s="13">
        <v>18</v>
      </c>
      <c r="AB259" s="13">
        <v>18</v>
      </c>
      <c r="AC259" s="13">
        <v>0</v>
      </c>
      <c r="AD259" s="13">
        <v>1783.999</v>
      </c>
      <c r="AE259" s="13">
        <v>18.964300000000001</v>
      </c>
      <c r="AF259" s="13">
        <v>1765.0346999999999</v>
      </c>
      <c r="AG259" s="13">
        <v>21</v>
      </c>
      <c r="AH259" s="13">
        <v>21</v>
      </c>
      <c r="AI259" s="13">
        <v>0</v>
      </c>
      <c r="AJ259" s="13">
        <v>1563.8625</v>
      </c>
      <c r="AK259" s="13">
        <v>21</v>
      </c>
      <c r="AL259" s="13">
        <v>1542.8625</v>
      </c>
      <c r="AM259" s="13">
        <v>23</v>
      </c>
      <c r="AN259" s="13">
        <v>23</v>
      </c>
      <c r="AO259" s="13">
        <v>0</v>
      </c>
      <c r="AP259" s="13">
        <v>1849.7492</v>
      </c>
      <c r="AQ259" s="13">
        <v>23</v>
      </c>
      <c r="AR259" s="13">
        <v>1826.7492</v>
      </c>
      <c r="AS259" s="13">
        <v>21</v>
      </c>
      <c r="AT259" s="13">
        <v>21</v>
      </c>
      <c r="AU259" s="13">
        <v>0</v>
      </c>
      <c r="AV259" s="13">
        <v>1986.6066000000001</v>
      </c>
      <c r="AW259" s="13">
        <v>36.428399999999996</v>
      </c>
      <c r="AX259" s="13">
        <v>1950.1782000000001</v>
      </c>
      <c r="AY259" s="13">
        <v>10</v>
      </c>
      <c r="AZ259" s="13">
        <v>10</v>
      </c>
      <c r="BA259" s="13">
        <v>0</v>
      </c>
      <c r="BB259" s="13">
        <v>1575.2335</v>
      </c>
      <c r="BC259" s="13">
        <v>44.713900000000002</v>
      </c>
      <c r="BD259" s="13">
        <v>1530.5196000000001</v>
      </c>
      <c r="BE259" s="13">
        <v>0</v>
      </c>
      <c r="BF259" s="13">
        <v>0</v>
      </c>
      <c r="BG259" s="13">
        <v>0</v>
      </c>
      <c r="BH259" s="13">
        <v>1456.4621999999999</v>
      </c>
      <c r="BI259" s="13">
        <v>0</v>
      </c>
      <c r="BJ259" s="13">
        <v>1456.4621999999999</v>
      </c>
      <c r="BK259" s="13">
        <v>54</v>
      </c>
      <c r="BL259" s="13">
        <v>54</v>
      </c>
      <c r="BM259" s="13">
        <v>0</v>
      </c>
      <c r="BN259" s="13">
        <v>2288.0648999999999</v>
      </c>
      <c r="BO259" s="13">
        <v>54</v>
      </c>
      <c r="BP259" s="13">
        <v>2234.0648999999999</v>
      </c>
      <c r="BQ259" s="13">
        <v>38</v>
      </c>
      <c r="BR259" s="13">
        <v>38</v>
      </c>
      <c r="BS259" s="13">
        <v>0</v>
      </c>
      <c r="BT259" s="13">
        <v>1494.4621999999999</v>
      </c>
      <c r="BU259" s="13">
        <v>38</v>
      </c>
      <c r="BV259" s="13">
        <v>1456.4621999999999</v>
      </c>
      <c r="BW259" s="13">
        <v>33</v>
      </c>
      <c r="BX259" s="13">
        <v>33</v>
      </c>
      <c r="BY259" s="13">
        <v>0</v>
      </c>
      <c r="BZ259" s="13">
        <v>1514.1479999999999</v>
      </c>
      <c r="CA259" s="13">
        <v>33</v>
      </c>
      <c r="CB259" s="13">
        <v>1481.1479999999999</v>
      </c>
      <c r="CC259" s="13">
        <v>22</v>
      </c>
      <c r="CD259" s="13">
        <v>22</v>
      </c>
      <c r="CE259" s="13">
        <v>0</v>
      </c>
      <c r="CF259" s="13">
        <v>1947.4924000000001</v>
      </c>
      <c r="CG259" s="13">
        <v>22</v>
      </c>
      <c r="CH259" s="13">
        <v>1925.4924000000001</v>
      </c>
      <c r="CI259" s="13">
        <v>27</v>
      </c>
      <c r="CJ259" s="13">
        <v>27</v>
      </c>
      <c r="CK259" s="13">
        <v>0</v>
      </c>
      <c r="CL259" s="13">
        <v>1508.1479999999999</v>
      </c>
      <c r="CM259" s="13">
        <v>27</v>
      </c>
      <c r="CN259" s="13">
        <v>1481.1479999999999</v>
      </c>
      <c r="CO259" s="13">
        <v>27</v>
      </c>
      <c r="CP259" s="13">
        <v>27</v>
      </c>
      <c r="CQ259" s="13">
        <v>0</v>
      </c>
      <c r="CR259" s="13">
        <v>1606.8912</v>
      </c>
      <c r="CS259" s="13">
        <v>27</v>
      </c>
      <c r="CT259" s="13">
        <v>1579.8912</v>
      </c>
      <c r="CU259" s="13">
        <f t="shared" si="28"/>
        <v>294</v>
      </c>
      <c r="CV259" s="13">
        <f t="shared" si="28"/>
        <v>294</v>
      </c>
      <c r="CW259" s="13">
        <f t="shared" si="28"/>
        <v>0</v>
      </c>
      <c r="CX259" s="13">
        <f t="shared" si="24"/>
        <v>20575.119700000003</v>
      </c>
      <c r="CY259" s="13">
        <f t="shared" si="24"/>
        <v>345.10659999999996</v>
      </c>
      <c r="CZ259" s="13">
        <f t="shared" si="24"/>
        <v>20230.013099999996</v>
      </c>
      <c r="DA259" s="13">
        <f t="shared" si="29"/>
        <v>76</v>
      </c>
      <c r="DB259" s="13">
        <f t="shared" si="29"/>
        <v>76</v>
      </c>
      <c r="DC259" s="13">
        <f t="shared" si="29"/>
        <v>0</v>
      </c>
      <c r="DD259" s="13">
        <f t="shared" si="25"/>
        <v>5062.5316000000003</v>
      </c>
      <c r="DE259" s="13">
        <f t="shared" si="25"/>
        <v>76</v>
      </c>
      <c r="DF259" s="13">
        <f t="shared" si="25"/>
        <v>4986.5316000000003</v>
      </c>
      <c r="DG259" s="13">
        <f t="shared" si="30"/>
        <v>125</v>
      </c>
      <c r="DH259" s="13">
        <f t="shared" si="30"/>
        <v>125</v>
      </c>
      <c r="DI259" s="13">
        <f t="shared" si="30"/>
        <v>0</v>
      </c>
      <c r="DJ259" s="13">
        <f t="shared" si="26"/>
        <v>5296.6750999999995</v>
      </c>
      <c r="DK259" s="13">
        <f t="shared" si="26"/>
        <v>125</v>
      </c>
      <c r="DL259" s="13">
        <f t="shared" si="26"/>
        <v>5171.6750999999995</v>
      </c>
      <c r="DM259" s="13">
        <f t="shared" si="31"/>
        <v>54</v>
      </c>
      <c r="DN259" s="13">
        <f t="shared" si="31"/>
        <v>54</v>
      </c>
      <c r="DO259" s="13">
        <f t="shared" si="31"/>
        <v>0</v>
      </c>
      <c r="DP259" s="13">
        <f t="shared" si="27"/>
        <v>3115.0392000000002</v>
      </c>
      <c r="DQ259" s="13">
        <f t="shared" si="27"/>
        <v>54</v>
      </c>
      <c r="DR259" s="13">
        <f t="shared" si="27"/>
        <v>3061.0392000000002</v>
      </c>
      <c r="DS259" s="14" t="s">
        <v>81</v>
      </c>
      <c r="DT259" s="14" t="s">
        <v>72</v>
      </c>
      <c r="DU259" s="14" t="s">
        <v>113</v>
      </c>
      <c r="DV259" s="14" t="s">
        <v>372</v>
      </c>
      <c r="DW259" s="14" t="s">
        <v>74</v>
      </c>
    </row>
    <row r="260" spans="2:127" x14ac:dyDescent="0.3">
      <c r="B260" s="11" t="s">
        <v>83</v>
      </c>
      <c r="C260" s="14">
        <v>5001338982</v>
      </c>
      <c r="D260" s="11" t="s">
        <v>833</v>
      </c>
      <c r="E260" s="11" t="s">
        <v>803</v>
      </c>
      <c r="F260" s="11" t="s">
        <v>834</v>
      </c>
      <c r="G260" s="11" t="s">
        <v>835</v>
      </c>
      <c r="H260" s="11" t="s">
        <v>296</v>
      </c>
      <c r="I260" s="11">
        <v>60008</v>
      </c>
      <c r="J260" s="11" t="s">
        <v>70</v>
      </c>
      <c r="K260" s="11"/>
      <c r="L260" s="11"/>
      <c r="M260" s="11"/>
      <c r="N260" s="11"/>
      <c r="O260" s="13">
        <v>0</v>
      </c>
      <c r="P260" s="13">
        <v>0</v>
      </c>
      <c r="Q260" s="13">
        <v>0</v>
      </c>
      <c r="R260" s="13">
        <v>15287.4444</v>
      </c>
      <c r="S260" s="13">
        <v>821.56560000000002</v>
      </c>
      <c r="T260" s="13">
        <v>14465.8788</v>
      </c>
      <c r="U260" s="13">
        <v>0</v>
      </c>
      <c r="V260" s="13">
        <v>0</v>
      </c>
      <c r="W260" s="13">
        <v>0</v>
      </c>
      <c r="X260" s="13">
        <v>1095.0459000000001</v>
      </c>
      <c r="Y260" s="13">
        <v>82.928100000000001</v>
      </c>
      <c r="Z260" s="13">
        <v>1012.1178</v>
      </c>
      <c r="AA260" s="13">
        <v>0</v>
      </c>
      <c r="AB260" s="13">
        <v>0</v>
      </c>
      <c r="AC260" s="13">
        <v>0</v>
      </c>
      <c r="AD260" s="13">
        <v>1221.3677</v>
      </c>
      <c r="AE260" s="13">
        <v>85.820899999999995</v>
      </c>
      <c r="AF260" s="13">
        <v>1135.5468000000001</v>
      </c>
      <c r="AG260" s="13">
        <v>0</v>
      </c>
      <c r="AH260" s="13">
        <v>0</v>
      </c>
      <c r="AI260" s="13">
        <v>0</v>
      </c>
      <c r="AJ260" s="13">
        <v>1213.4606999999999</v>
      </c>
      <c r="AK260" s="13">
        <v>65.570999999999998</v>
      </c>
      <c r="AL260" s="13">
        <v>1147.8896999999999</v>
      </c>
      <c r="AM260" s="13">
        <v>0</v>
      </c>
      <c r="AN260" s="13">
        <v>0</v>
      </c>
      <c r="AO260" s="13">
        <v>0</v>
      </c>
      <c r="AP260" s="13">
        <v>1013.6602</v>
      </c>
      <c r="AQ260" s="13">
        <v>38.571100000000001</v>
      </c>
      <c r="AR260" s="13">
        <v>975.08910000000003</v>
      </c>
      <c r="AS260" s="13">
        <v>0</v>
      </c>
      <c r="AT260" s="13">
        <v>0</v>
      </c>
      <c r="AU260" s="13">
        <v>0</v>
      </c>
      <c r="AV260" s="13">
        <v>1252.2251999999999</v>
      </c>
      <c r="AW260" s="13">
        <v>54.963900000000002</v>
      </c>
      <c r="AX260" s="13">
        <v>1197.2612999999999</v>
      </c>
      <c r="AY260" s="13">
        <v>0</v>
      </c>
      <c r="AZ260" s="13">
        <v>0</v>
      </c>
      <c r="BA260" s="13">
        <v>0</v>
      </c>
      <c r="BB260" s="13">
        <v>968.33849999999995</v>
      </c>
      <c r="BC260" s="13">
        <v>54.963900000000002</v>
      </c>
      <c r="BD260" s="13">
        <v>913.37459999999999</v>
      </c>
      <c r="BE260" s="13">
        <v>0</v>
      </c>
      <c r="BF260" s="13">
        <v>0</v>
      </c>
      <c r="BG260" s="13">
        <v>0</v>
      </c>
      <c r="BH260" s="13">
        <v>942.88110000000006</v>
      </c>
      <c r="BI260" s="13">
        <v>66.535200000000003</v>
      </c>
      <c r="BJ260" s="13">
        <v>876.34590000000003</v>
      </c>
      <c r="BK260" s="13">
        <v>0</v>
      </c>
      <c r="BL260" s="13">
        <v>0</v>
      </c>
      <c r="BM260" s="13">
        <v>0</v>
      </c>
      <c r="BN260" s="13">
        <v>1321.2679000000001</v>
      </c>
      <c r="BO260" s="13">
        <v>99.320800000000006</v>
      </c>
      <c r="BP260" s="13">
        <v>1221.9471000000001</v>
      </c>
      <c r="BQ260" s="13">
        <v>0</v>
      </c>
      <c r="BR260" s="13">
        <v>0</v>
      </c>
      <c r="BS260" s="13">
        <v>0</v>
      </c>
      <c r="BT260" s="13">
        <v>1176.432</v>
      </c>
      <c r="BU260" s="13">
        <v>65.570999999999998</v>
      </c>
      <c r="BV260" s="13">
        <v>1110.8610000000001</v>
      </c>
      <c r="BW260" s="13">
        <v>0</v>
      </c>
      <c r="BX260" s="13">
        <v>0</v>
      </c>
      <c r="BY260" s="13">
        <v>0</v>
      </c>
      <c r="BZ260" s="13">
        <v>1215.1965</v>
      </c>
      <c r="CA260" s="13">
        <v>54.963900000000002</v>
      </c>
      <c r="CB260" s="13">
        <v>1160.2326</v>
      </c>
      <c r="CC260" s="13">
        <v>0</v>
      </c>
      <c r="CD260" s="13">
        <v>0</v>
      </c>
      <c r="CE260" s="13">
        <v>0</v>
      </c>
      <c r="CF260" s="13">
        <v>1285.2040000000002</v>
      </c>
      <c r="CG260" s="13">
        <v>38.571100000000001</v>
      </c>
      <c r="CH260" s="13">
        <v>1246.6329000000001</v>
      </c>
      <c r="CI260" s="13">
        <v>0</v>
      </c>
      <c r="CJ260" s="13">
        <v>0</v>
      </c>
      <c r="CK260" s="13">
        <v>0</v>
      </c>
      <c r="CL260" s="13">
        <v>1269.1967000000002</v>
      </c>
      <c r="CM260" s="13">
        <v>47.249600000000001</v>
      </c>
      <c r="CN260" s="13">
        <v>1221.9471000000001</v>
      </c>
      <c r="CO260" s="13">
        <v>0</v>
      </c>
      <c r="CP260" s="13">
        <v>0</v>
      </c>
      <c r="CQ260" s="13">
        <v>0</v>
      </c>
      <c r="CR260" s="13">
        <v>1313.1680000000001</v>
      </c>
      <c r="CS260" s="13">
        <v>66.5351</v>
      </c>
      <c r="CT260" s="13">
        <v>1246.6329000000001</v>
      </c>
      <c r="CU260" s="13">
        <f t="shared" si="28"/>
        <v>0</v>
      </c>
      <c r="CV260" s="13">
        <f t="shared" si="28"/>
        <v>0</v>
      </c>
      <c r="CW260" s="13">
        <f t="shared" si="28"/>
        <v>0</v>
      </c>
      <c r="CX260" s="13">
        <f t="shared" si="24"/>
        <v>14192.398499999999</v>
      </c>
      <c r="CY260" s="13">
        <f t="shared" si="24"/>
        <v>738.63750000000005</v>
      </c>
      <c r="CZ260" s="13">
        <f t="shared" si="24"/>
        <v>13453.761</v>
      </c>
      <c r="DA260" s="13">
        <f t="shared" si="29"/>
        <v>0</v>
      </c>
      <c r="DB260" s="13">
        <f t="shared" si="29"/>
        <v>0</v>
      </c>
      <c r="DC260" s="13">
        <f t="shared" si="29"/>
        <v>0</v>
      </c>
      <c r="DD260" s="13">
        <f t="shared" si="25"/>
        <v>3867.5687000000003</v>
      </c>
      <c r="DE260" s="13">
        <f t="shared" si="25"/>
        <v>152.35579999999999</v>
      </c>
      <c r="DF260" s="13">
        <f t="shared" si="25"/>
        <v>3715.2129</v>
      </c>
      <c r="DG260" s="13">
        <f t="shared" si="30"/>
        <v>0</v>
      </c>
      <c r="DH260" s="13">
        <f t="shared" si="30"/>
        <v>0</v>
      </c>
      <c r="DI260" s="13">
        <f t="shared" si="30"/>
        <v>0</v>
      </c>
      <c r="DJ260" s="13">
        <f t="shared" si="26"/>
        <v>3712.8964000000001</v>
      </c>
      <c r="DK260" s="13">
        <f t="shared" si="26"/>
        <v>219.85569999999998</v>
      </c>
      <c r="DL260" s="13">
        <f t="shared" si="26"/>
        <v>3493.0407000000005</v>
      </c>
      <c r="DM260" s="13">
        <f t="shared" si="31"/>
        <v>0</v>
      </c>
      <c r="DN260" s="13">
        <f t="shared" si="31"/>
        <v>0</v>
      </c>
      <c r="DO260" s="13">
        <f t="shared" si="31"/>
        <v>0</v>
      </c>
      <c r="DP260" s="13">
        <f t="shared" si="27"/>
        <v>2582.3647000000001</v>
      </c>
      <c r="DQ260" s="13">
        <f t="shared" si="27"/>
        <v>113.7847</v>
      </c>
      <c r="DR260" s="13">
        <f t="shared" si="27"/>
        <v>2468.58</v>
      </c>
      <c r="DS260" s="14" t="s">
        <v>81</v>
      </c>
      <c r="DT260" s="14" t="s">
        <v>72</v>
      </c>
      <c r="DU260" s="14" t="s">
        <v>113</v>
      </c>
      <c r="DV260" s="14" t="s">
        <v>372</v>
      </c>
      <c r="DW260" s="14" t="s">
        <v>74</v>
      </c>
    </row>
    <row r="261" spans="2:127" x14ac:dyDescent="0.3">
      <c r="B261" s="11" t="s">
        <v>75</v>
      </c>
      <c r="C261" s="14">
        <v>5001341806</v>
      </c>
      <c r="D261" s="11" t="s">
        <v>836</v>
      </c>
      <c r="E261" s="11" t="s">
        <v>803</v>
      </c>
      <c r="F261" s="11" t="s">
        <v>837</v>
      </c>
      <c r="G261" s="11" t="s">
        <v>838</v>
      </c>
      <c r="H261" s="11" t="s">
        <v>157</v>
      </c>
      <c r="I261" s="11">
        <v>30062</v>
      </c>
      <c r="J261" s="11" t="s">
        <v>80</v>
      </c>
      <c r="K261" s="11"/>
      <c r="L261" s="11"/>
      <c r="M261" s="11"/>
      <c r="N261" s="11"/>
      <c r="O261" s="13">
        <v>414</v>
      </c>
      <c r="P261" s="13">
        <v>414</v>
      </c>
      <c r="Q261" s="13">
        <v>0</v>
      </c>
      <c r="R261" s="13">
        <v>33252.466899999999</v>
      </c>
      <c r="S261" s="13">
        <v>1321.3845999999999</v>
      </c>
      <c r="T261" s="13">
        <v>31931.082299999998</v>
      </c>
      <c r="U261" s="13">
        <v>26</v>
      </c>
      <c r="V261" s="13">
        <v>26</v>
      </c>
      <c r="W261" s="13">
        <v>0</v>
      </c>
      <c r="X261" s="13">
        <v>1649.8625</v>
      </c>
      <c r="Y261" s="13">
        <v>45.285499999999999</v>
      </c>
      <c r="Z261" s="13">
        <v>1604.577</v>
      </c>
      <c r="AA261" s="13">
        <v>26</v>
      </c>
      <c r="AB261" s="13">
        <v>26</v>
      </c>
      <c r="AC261" s="13">
        <v>0</v>
      </c>
      <c r="AD261" s="13">
        <v>2502.2925999999998</v>
      </c>
      <c r="AE261" s="13">
        <v>157.14160000000001</v>
      </c>
      <c r="AF261" s="13">
        <v>2345.1509999999998</v>
      </c>
      <c r="AG261" s="13">
        <v>26</v>
      </c>
      <c r="AH261" s="13">
        <v>26</v>
      </c>
      <c r="AI261" s="13">
        <v>0</v>
      </c>
      <c r="AJ261" s="13">
        <v>2178.6770000000001</v>
      </c>
      <c r="AK261" s="13">
        <v>166.7843</v>
      </c>
      <c r="AL261" s="13">
        <v>2011.8927000000001</v>
      </c>
      <c r="AM261" s="13">
        <v>27</v>
      </c>
      <c r="AN261" s="13">
        <v>27</v>
      </c>
      <c r="AO261" s="13">
        <v>0</v>
      </c>
      <c r="AP261" s="13">
        <v>2300.2132999999999</v>
      </c>
      <c r="AQ261" s="13">
        <v>164.89160000000001</v>
      </c>
      <c r="AR261" s="13">
        <v>2135.3217</v>
      </c>
      <c r="AS261" s="13">
        <v>33</v>
      </c>
      <c r="AT261" s="13">
        <v>33</v>
      </c>
      <c r="AU261" s="13">
        <v>0</v>
      </c>
      <c r="AV261" s="13">
        <v>3039.0729999999999</v>
      </c>
      <c r="AW261" s="13">
        <v>163.1773</v>
      </c>
      <c r="AX261" s="13">
        <v>2875.8957</v>
      </c>
      <c r="AY261" s="13">
        <v>59</v>
      </c>
      <c r="AZ261" s="13">
        <v>59</v>
      </c>
      <c r="BA261" s="13">
        <v>0</v>
      </c>
      <c r="BB261" s="13">
        <v>2559.4011999999998</v>
      </c>
      <c r="BC261" s="13">
        <v>90.821200000000005</v>
      </c>
      <c r="BD261" s="13">
        <v>2468.58</v>
      </c>
      <c r="BE261" s="13">
        <v>20</v>
      </c>
      <c r="BF261" s="13">
        <v>20</v>
      </c>
      <c r="BG261" s="13">
        <v>0</v>
      </c>
      <c r="BH261" s="13">
        <v>2080.8780999999999</v>
      </c>
      <c r="BI261" s="13">
        <v>56.642499999999998</v>
      </c>
      <c r="BJ261" s="13">
        <v>2024.2356</v>
      </c>
      <c r="BK261" s="13">
        <v>46</v>
      </c>
      <c r="BL261" s="13">
        <v>46</v>
      </c>
      <c r="BM261" s="13">
        <v>0</v>
      </c>
      <c r="BN261" s="13">
        <v>3244.7388999999998</v>
      </c>
      <c r="BO261" s="13">
        <v>109.64230000000001</v>
      </c>
      <c r="BP261" s="13">
        <v>3135.0965999999999</v>
      </c>
      <c r="BQ261" s="13">
        <v>33</v>
      </c>
      <c r="BR261" s="13">
        <v>33</v>
      </c>
      <c r="BS261" s="13">
        <v>0</v>
      </c>
      <c r="BT261" s="13">
        <v>2332.4432000000002</v>
      </c>
      <c r="BU261" s="13">
        <v>86.03540000000001</v>
      </c>
      <c r="BV261" s="13">
        <v>2246.4078</v>
      </c>
      <c r="BW261" s="13">
        <v>19</v>
      </c>
      <c r="BX261" s="13">
        <v>19</v>
      </c>
      <c r="BY261" s="13">
        <v>0</v>
      </c>
      <c r="BZ261" s="13">
        <v>2600.98</v>
      </c>
      <c r="CA261" s="13">
        <v>45.999700000000004</v>
      </c>
      <c r="CB261" s="13">
        <v>2554.9803000000002</v>
      </c>
      <c r="CC261" s="13">
        <v>46</v>
      </c>
      <c r="CD261" s="13">
        <v>46</v>
      </c>
      <c r="CE261" s="13">
        <v>0</v>
      </c>
      <c r="CF261" s="13">
        <v>3366.2393999999999</v>
      </c>
      <c r="CG261" s="13">
        <v>107.71379999999999</v>
      </c>
      <c r="CH261" s="13">
        <v>3258.5255999999999</v>
      </c>
      <c r="CI261" s="13">
        <v>19</v>
      </c>
      <c r="CJ261" s="13">
        <v>19</v>
      </c>
      <c r="CK261" s="13">
        <v>0</v>
      </c>
      <c r="CL261" s="13">
        <v>2822.3807000000002</v>
      </c>
      <c r="CM261" s="13">
        <v>57.571100000000001</v>
      </c>
      <c r="CN261" s="13">
        <v>2764.8096</v>
      </c>
      <c r="CO261" s="13">
        <v>34</v>
      </c>
      <c r="CP261" s="13">
        <v>34</v>
      </c>
      <c r="CQ261" s="13">
        <v>0</v>
      </c>
      <c r="CR261" s="13">
        <v>2575.2870000000003</v>
      </c>
      <c r="CS261" s="13">
        <v>69.678300000000007</v>
      </c>
      <c r="CT261" s="13">
        <v>2505.6087000000002</v>
      </c>
      <c r="CU261" s="13">
        <f t="shared" si="28"/>
        <v>388</v>
      </c>
      <c r="CV261" s="13">
        <f t="shared" si="28"/>
        <v>388</v>
      </c>
      <c r="CW261" s="13">
        <f t="shared" si="28"/>
        <v>0</v>
      </c>
      <c r="CX261" s="13">
        <f t="shared" si="24"/>
        <v>31602.6044</v>
      </c>
      <c r="CY261" s="13">
        <f t="shared" si="24"/>
        <v>1276.0990999999999</v>
      </c>
      <c r="CZ261" s="13">
        <f t="shared" si="24"/>
        <v>30326.505300000001</v>
      </c>
      <c r="DA261" s="13">
        <f t="shared" si="29"/>
        <v>99</v>
      </c>
      <c r="DB261" s="13">
        <f t="shared" si="29"/>
        <v>99</v>
      </c>
      <c r="DC261" s="13">
        <f t="shared" si="29"/>
        <v>0</v>
      </c>
      <c r="DD261" s="13">
        <f t="shared" si="25"/>
        <v>8763.9071000000004</v>
      </c>
      <c r="DE261" s="13">
        <f t="shared" si="25"/>
        <v>234.9632</v>
      </c>
      <c r="DF261" s="13">
        <f t="shared" si="25"/>
        <v>8528.9439000000002</v>
      </c>
      <c r="DG261" s="13">
        <f t="shared" si="30"/>
        <v>98</v>
      </c>
      <c r="DH261" s="13">
        <f t="shared" si="30"/>
        <v>98</v>
      </c>
      <c r="DI261" s="13">
        <f t="shared" si="30"/>
        <v>0</v>
      </c>
      <c r="DJ261" s="13">
        <f t="shared" si="26"/>
        <v>8178.1620999999996</v>
      </c>
      <c r="DK261" s="13">
        <f t="shared" si="26"/>
        <v>241.67740000000003</v>
      </c>
      <c r="DL261" s="13">
        <f t="shared" si="26"/>
        <v>7936.4847</v>
      </c>
      <c r="DM261" s="13">
        <f t="shared" si="31"/>
        <v>53</v>
      </c>
      <c r="DN261" s="13">
        <f t="shared" si="31"/>
        <v>53</v>
      </c>
      <c r="DO261" s="13">
        <f t="shared" si="31"/>
        <v>0</v>
      </c>
      <c r="DP261" s="13">
        <f t="shared" si="27"/>
        <v>5397.6677</v>
      </c>
      <c r="DQ261" s="13">
        <f t="shared" si="27"/>
        <v>127.24940000000001</v>
      </c>
      <c r="DR261" s="13">
        <f t="shared" si="27"/>
        <v>5270.4183000000003</v>
      </c>
      <c r="DS261" s="14" t="s">
        <v>81</v>
      </c>
      <c r="DT261" s="14" t="s">
        <v>72</v>
      </c>
      <c r="DU261" s="14" t="s">
        <v>113</v>
      </c>
      <c r="DV261" s="14" t="s">
        <v>372</v>
      </c>
      <c r="DW261" s="14" t="s">
        <v>74</v>
      </c>
    </row>
    <row r="262" spans="2:127" x14ac:dyDescent="0.3">
      <c r="B262" s="11" t="s">
        <v>53</v>
      </c>
      <c r="C262" s="14">
        <v>5001341813</v>
      </c>
      <c r="D262" s="11" t="s">
        <v>839</v>
      </c>
      <c r="E262" s="11" t="s">
        <v>803</v>
      </c>
      <c r="F262" s="11" t="s">
        <v>840</v>
      </c>
      <c r="G262" s="11" t="s">
        <v>202</v>
      </c>
      <c r="H262" s="11" t="s">
        <v>173</v>
      </c>
      <c r="I262" s="11">
        <v>98405</v>
      </c>
      <c r="J262" s="11" t="s">
        <v>80</v>
      </c>
      <c r="K262" s="11"/>
      <c r="L262" s="11"/>
      <c r="M262" s="11"/>
      <c r="N262" s="11"/>
      <c r="O262" s="13">
        <v>656</v>
      </c>
      <c r="P262" s="13">
        <v>656</v>
      </c>
      <c r="Q262" s="13">
        <v>0</v>
      </c>
      <c r="R262" s="13">
        <v>27956.757799999999</v>
      </c>
      <c r="S262" s="13">
        <v>790.03489999999999</v>
      </c>
      <c r="T262" s="13">
        <v>27166.722900000001</v>
      </c>
      <c r="U262" s="13">
        <v>59</v>
      </c>
      <c r="V262" s="13">
        <v>59</v>
      </c>
      <c r="W262" s="13">
        <v>0</v>
      </c>
      <c r="X262" s="13">
        <v>1577.1767</v>
      </c>
      <c r="Y262" s="13">
        <v>59</v>
      </c>
      <c r="Z262" s="13">
        <v>1518.1767</v>
      </c>
      <c r="AA262" s="13">
        <v>97</v>
      </c>
      <c r="AB262" s="13">
        <v>97</v>
      </c>
      <c r="AC262" s="13">
        <v>0</v>
      </c>
      <c r="AD262" s="13">
        <v>2114.8710999999998</v>
      </c>
      <c r="AE262" s="13">
        <v>115.32130000000001</v>
      </c>
      <c r="AF262" s="13">
        <v>1999.5498</v>
      </c>
      <c r="AG262" s="13">
        <v>52</v>
      </c>
      <c r="AH262" s="13">
        <v>52</v>
      </c>
      <c r="AI262" s="13">
        <v>0</v>
      </c>
      <c r="AJ262" s="13">
        <v>1839.0204000000001</v>
      </c>
      <c r="AK262" s="13">
        <v>61.642800000000001</v>
      </c>
      <c r="AL262" s="13">
        <v>1777.3776</v>
      </c>
      <c r="AM262" s="13">
        <v>55</v>
      </c>
      <c r="AN262" s="13">
        <v>55</v>
      </c>
      <c r="AO262" s="13">
        <v>0</v>
      </c>
      <c r="AP262" s="13">
        <v>1940.7636</v>
      </c>
      <c r="AQ262" s="13">
        <v>64.642799999999994</v>
      </c>
      <c r="AR262" s="13">
        <v>1876.1207999999999</v>
      </c>
      <c r="AS262" s="13">
        <v>34</v>
      </c>
      <c r="AT262" s="13">
        <v>34</v>
      </c>
      <c r="AU262" s="13">
        <v>0</v>
      </c>
      <c r="AV262" s="13">
        <v>2833.1381999999999</v>
      </c>
      <c r="AW262" s="13">
        <v>43.642800000000001</v>
      </c>
      <c r="AX262" s="13">
        <v>2789.4953999999998</v>
      </c>
      <c r="AY262" s="13">
        <v>50</v>
      </c>
      <c r="AZ262" s="13">
        <v>50</v>
      </c>
      <c r="BA262" s="13">
        <v>0</v>
      </c>
      <c r="BB262" s="13">
        <v>2022.1639</v>
      </c>
      <c r="BC262" s="13">
        <v>59.642800000000001</v>
      </c>
      <c r="BD262" s="13">
        <v>1962.5210999999999</v>
      </c>
      <c r="BE262" s="13">
        <v>34</v>
      </c>
      <c r="BF262" s="13">
        <v>34</v>
      </c>
      <c r="BG262" s="13">
        <v>0</v>
      </c>
      <c r="BH262" s="13">
        <v>2549.2515000000003</v>
      </c>
      <c r="BI262" s="13">
        <v>43.642800000000001</v>
      </c>
      <c r="BJ262" s="13">
        <v>2505.6087000000002</v>
      </c>
      <c r="BK262" s="13">
        <v>50</v>
      </c>
      <c r="BL262" s="13">
        <v>50</v>
      </c>
      <c r="BM262" s="13">
        <v>0</v>
      </c>
      <c r="BN262" s="13">
        <v>2735.3520000000003</v>
      </c>
      <c r="BO262" s="13">
        <v>69.285600000000002</v>
      </c>
      <c r="BP262" s="13">
        <v>2666.0664000000002</v>
      </c>
      <c r="BQ262" s="13">
        <v>29</v>
      </c>
      <c r="BR262" s="13">
        <v>29</v>
      </c>
      <c r="BS262" s="13">
        <v>0</v>
      </c>
      <c r="BT262" s="13">
        <v>1964.1352000000002</v>
      </c>
      <c r="BU262" s="13">
        <v>38.642800000000001</v>
      </c>
      <c r="BV262" s="13">
        <v>1925.4924000000001</v>
      </c>
      <c r="BW262" s="13">
        <v>58</v>
      </c>
      <c r="BX262" s="13">
        <v>58</v>
      </c>
      <c r="BY262" s="13">
        <v>0</v>
      </c>
      <c r="BZ262" s="13">
        <v>2289.3648000000003</v>
      </c>
      <c r="CA262" s="13">
        <v>67.642799999999994</v>
      </c>
      <c r="CB262" s="13">
        <v>2221.7220000000002</v>
      </c>
      <c r="CC262" s="13">
        <v>57</v>
      </c>
      <c r="CD262" s="13">
        <v>57</v>
      </c>
      <c r="CE262" s="13">
        <v>0</v>
      </c>
      <c r="CF262" s="13">
        <v>2411.7937999999999</v>
      </c>
      <c r="CG262" s="13">
        <v>66.642799999999994</v>
      </c>
      <c r="CH262" s="13">
        <v>2345.1509999999998</v>
      </c>
      <c r="CI262" s="13">
        <v>45</v>
      </c>
      <c r="CJ262" s="13">
        <v>45</v>
      </c>
      <c r="CK262" s="13">
        <v>0</v>
      </c>
      <c r="CL262" s="13">
        <v>1844.3633</v>
      </c>
      <c r="CM262" s="13">
        <v>54.642800000000001</v>
      </c>
      <c r="CN262" s="13">
        <v>1789.7204999999999</v>
      </c>
      <c r="CO262" s="13">
        <v>36</v>
      </c>
      <c r="CP262" s="13">
        <v>36</v>
      </c>
      <c r="CQ262" s="13">
        <v>0</v>
      </c>
      <c r="CR262" s="13">
        <v>1835.3633</v>
      </c>
      <c r="CS262" s="13">
        <v>45.642800000000001</v>
      </c>
      <c r="CT262" s="13">
        <v>1789.7204999999999</v>
      </c>
      <c r="CU262" s="13">
        <f t="shared" si="28"/>
        <v>597</v>
      </c>
      <c r="CV262" s="13">
        <f t="shared" si="28"/>
        <v>597</v>
      </c>
      <c r="CW262" s="13">
        <f t="shared" si="28"/>
        <v>0</v>
      </c>
      <c r="CX262" s="13">
        <f t="shared" si="24"/>
        <v>26379.581099999999</v>
      </c>
      <c r="CY262" s="13">
        <f t="shared" si="24"/>
        <v>731.03489999999999</v>
      </c>
      <c r="CZ262" s="13">
        <f t="shared" si="24"/>
        <v>25648.546200000004</v>
      </c>
      <c r="DA262" s="13">
        <f t="shared" si="29"/>
        <v>138</v>
      </c>
      <c r="DB262" s="13">
        <f t="shared" si="29"/>
        <v>138</v>
      </c>
      <c r="DC262" s="13">
        <f t="shared" si="29"/>
        <v>0</v>
      </c>
      <c r="DD262" s="13">
        <f t="shared" si="25"/>
        <v>6091.5204000000003</v>
      </c>
      <c r="DE262" s="13">
        <f t="shared" si="25"/>
        <v>166.92839999999998</v>
      </c>
      <c r="DF262" s="13">
        <f t="shared" si="25"/>
        <v>5924.5919999999987</v>
      </c>
      <c r="DG262" s="13">
        <f t="shared" si="30"/>
        <v>137</v>
      </c>
      <c r="DH262" s="13">
        <f t="shared" si="30"/>
        <v>137</v>
      </c>
      <c r="DI262" s="13">
        <f t="shared" si="30"/>
        <v>0</v>
      </c>
      <c r="DJ262" s="13">
        <f t="shared" si="26"/>
        <v>6988.8520000000008</v>
      </c>
      <c r="DK262" s="13">
        <f t="shared" si="26"/>
        <v>175.5712</v>
      </c>
      <c r="DL262" s="13">
        <f t="shared" si="26"/>
        <v>6813.2808000000005</v>
      </c>
      <c r="DM262" s="13">
        <f t="shared" si="31"/>
        <v>81</v>
      </c>
      <c r="DN262" s="13">
        <f t="shared" si="31"/>
        <v>81</v>
      </c>
      <c r="DO262" s="13">
        <f t="shared" si="31"/>
        <v>0</v>
      </c>
      <c r="DP262" s="13">
        <f t="shared" si="27"/>
        <v>3679.7266</v>
      </c>
      <c r="DQ262" s="13">
        <f t="shared" si="27"/>
        <v>100.2856</v>
      </c>
      <c r="DR262" s="13">
        <f t="shared" si="27"/>
        <v>3579.4409999999998</v>
      </c>
      <c r="DS262" s="14" t="s">
        <v>81</v>
      </c>
      <c r="DT262" s="14" t="s">
        <v>72</v>
      </c>
      <c r="DU262" s="14" t="s">
        <v>113</v>
      </c>
      <c r="DV262" s="14" t="s">
        <v>372</v>
      </c>
      <c r="DW262" s="14" t="s">
        <v>74</v>
      </c>
    </row>
    <row r="263" spans="2:127" x14ac:dyDescent="0.3">
      <c r="B263" s="11" t="s">
        <v>75</v>
      </c>
      <c r="C263" s="14">
        <v>5001341923</v>
      </c>
      <c r="D263" s="11" t="s">
        <v>841</v>
      </c>
      <c r="E263" s="11" t="s">
        <v>803</v>
      </c>
      <c r="F263" s="11" t="s">
        <v>842</v>
      </c>
      <c r="G263" s="11" t="s">
        <v>168</v>
      </c>
      <c r="H263" s="11" t="s">
        <v>169</v>
      </c>
      <c r="I263" s="11">
        <v>23502</v>
      </c>
      <c r="J263" s="11" t="s">
        <v>80</v>
      </c>
      <c r="K263" s="11"/>
      <c r="L263" s="11"/>
      <c r="M263" s="11"/>
      <c r="N263" s="11"/>
      <c r="O263" s="13">
        <v>156</v>
      </c>
      <c r="P263" s="13">
        <v>156</v>
      </c>
      <c r="Q263" s="13">
        <v>0</v>
      </c>
      <c r="R263" s="13">
        <v>16379.775900000001</v>
      </c>
      <c r="S263" s="13">
        <v>309.32010000000002</v>
      </c>
      <c r="T263" s="13">
        <v>16070.4558</v>
      </c>
      <c r="U263" s="13">
        <v>0</v>
      </c>
      <c r="V263" s="13">
        <v>0</v>
      </c>
      <c r="W263" s="13">
        <v>0</v>
      </c>
      <c r="X263" s="13">
        <v>1103.5321999999999</v>
      </c>
      <c r="Y263" s="13">
        <v>17.356999999999999</v>
      </c>
      <c r="Z263" s="13">
        <v>1086.1751999999999</v>
      </c>
      <c r="AA263" s="13">
        <v>0</v>
      </c>
      <c r="AB263" s="13">
        <v>0</v>
      </c>
      <c r="AC263" s="13">
        <v>0</v>
      </c>
      <c r="AD263" s="13">
        <v>1148.2751000000001</v>
      </c>
      <c r="AE263" s="13">
        <v>25.071200000000001</v>
      </c>
      <c r="AF263" s="13">
        <v>1123.2039</v>
      </c>
      <c r="AG263" s="13">
        <v>0</v>
      </c>
      <c r="AH263" s="13">
        <v>0</v>
      </c>
      <c r="AI263" s="13">
        <v>0</v>
      </c>
      <c r="AJ263" s="13">
        <v>1233.7112</v>
      </c>
      <c r="AK263" s="13">
        <v>24.106999999999999</v>
      </c>
      <c r="AL263" s="13">
        <v>1209.6042</v>
      </c>
      <c r="AM263" s="13">
        <v>0</v>
      </c>
      <c r="AN263" s="13">
        <v>0</v>
      </c>
      <c r="AO263" s="13">
        <v>0</v>
      </c>
      <c r="AP263" s="13">
        <v>1214.6182999999999</v>
      </c>
      <c r="AQ263" s="13">
        <v>17.356999999999999</v>
      </c>
      <c r="AR263" s="13">
        <v>1197.2612999999999</v>
      </c>
      <c r="AS263" s="13">
        <v>0</v>
      </c>
      <c r="AT263" s="13">
        <v>0</v>
      </c>
      <c r="AU263" s="13">
        <v>0</v>
      </c>
      <c r="AV263" s="13">
        <v>1436.7905000000001</v>
      </c>
      <c r="AW263" s="13">
        <v>17.356999999999999</v>
      </c>
      <c r="AX263" s="13">
        <v>1419.4335000000001</v>
      </c>
      <c r="AY263" s="13">
        <v>0</v>
      </c>
      <c r="AZ263" s="13">
        <v>0</v>
      </c>
      <c r="BA263" s="13">
        <v>0</v>
      </c>
      <c r="BB263" s="13">
        <v>1152.9038</v>
      </c>
      <c r="BC263" s="13">
        <v>17.356999999999999</v>
      </c>
      <c r="BD263" s="13">
        <v>1135.5468000000001</v>
      </c>
      <c r="BE263" s="13">
        <v>0</v>
      </c>
      <c r="BF263" s="13">
        <v>0</v>
      </c>
      <c r="BG263" s="13">
        <v>0</v>
      </c>
      <c r="BH263" s="13">
        <v>1098.5181</v>
      </c>
      <c r="BI263" s="13">
        <v>0</v>
      </c>
      <c r="BJ263" s="13">
        <v>1098.5181</v>
      </c>
      <c r="BK263" s="13">
        <v>55</v>
      </c>
      <c r="BL263" s="13">
        <v>55</v>
      </c>
      <c r="BM263" s="13">
        <v>0</v>
      </c>
      <c r="BN263" s="13">
        <v>1526.8905999999999</v>
      </c>
      <c r="BO263" s="13">
        <v>70.428399999999996</v>
      </c>
      <c r="BP263" s="13">
        <v>1456.4621999999999</v>
      </c>
      <c r="BQ263" s="13">
        <v>24</v>
      </c>
      <c r="BR263" s="13">
        <v>24</v>
      </c>
      <c r="BS263" s="13">
        <v>0</v>
      </c>
      <c r="BT263" s="13">
        <v>1320.0045</v>
      </c>
      <c r="BU263" s="13">
        <v>24</v>
      </c>
      <c r="BV263" s="13">
        <v>1296.0045</v>
      </c>
      <c r="BW263" s="13">
        <v>24</v>
      </c>
      <c r="BX263" s="13">
        <v>24</v>
      </c>
      <c r="BY263" s="13">
        <v>0</v>
      </c>
      <c r="BZ263" s="13">
        <v>1138.7181</v>
      </c>
      <c r="CA263" s="13">
        <v>27.857099999999999</v>
      </c>
      <c r="CB263" s="13">
        <v>1110.8610000000001</v>
      </c>
      <c r="CC263" s="13">
        <v>31</v>
      </c>
      <c r="CD263" s="13">
        <v>31</v>
      </c>
      <c r="CE263" s="13">
        <v>0</v>
      </c>
      <c r="CF263" s="13">
        <v>1527.5763999999999</v>
      </c>
      <c r="CG263" s="13">
        <v>46.428399999999996</v>
      </c>
      <c r="CH263" s="13">
        <v>1481.1479999999999</v>
      </c>
      <c r="CI263" s="13">
        <v>22</v>
      </c>
      <c r="CJ263" s="13">
        <v>22</v>
      </c>
      <c r="CK263" s="13">
        <v>0</v>
      </c>
      <c r="CL263" s="13">
        <v>1268.6329000000001</v>
      </c>
      <c r="CM263" s="13">
        <v>22</v>
      </c>
      <c r="CN263" s="13">
        <v>1246.6329000000001</v>
      </c>
      <c r="CO263" s="13">
        <v>0</v>
      </c>
      <c r="CP263" s="13">
        <v>0</v>
      </c>
      <c r="CQ263" s="13">
        <v>0</v>
      </c>
      <c r="CR263" s="13">
        <v>1209.6042</v>
      </c>
      <c r="CS263" s="13">
        <v>0</v>
      </c>
      <c r="CT263" s="13">
        <v>1209.6042</v>
      </c>
      <c r="CU263" s="13">
        <f t="shared" si="28"/>
        <v>156</v>
      </c>
      <c r="CV263" s="13">
        <f t="shared" si="28"/>
        <v>156</v>
      </c>
      <c r="CW263" s="13">
        <f t="shared" si="28"/>
        <v>0</v>
      </c>
      <c r="CX263" s="13">
        <f t="shared" si="24"/>
        <v>15276.243700000001</v>
      </c>
      <c r="CY263" s="13">
        <f t="shared" si="24"/>
        <v>291.9631</v>
      </c>
      <c r="CZ263" s="13">
        <f t="shared" si="24"/>
        <v>14984.280600000002</v>
      </c>
      <c r="DA263" s="13">
        <f t="shared" si="29"/>
        <v>53</v>
      </c>
      <c r="DB263" s="13">
        <f t="shared" si="29"/>
        <v>53</v>
      </c>
      <c r="DC263" s="13">
        <f t="shared" si="29"/>
        <v>0</v>
      </c>
      <c r="DD263" s="13">
        <f t="shared" si="25"/>
        <v>4005.8135000000002</v>
      </c>
      <c r="DE263" s="13">
        <f t="shared" si="25"/>
        <v>68.428399999999996</v>
      </c>
      <c r="DF263" s="13">
        <f t="shared" si="25"/>
        <v>3937.3850999999995</v>
      </c>
      <c r="DG263" s="13">
        <f t="shared" si="30"/>
        <v>103</v>
      </c>
      <c r="DH263" s="13">
        <f t="shared" si="30"/>
        <v>103</v>
      </c>
      <c r="DI263" s="13">
        <f t="shared" si="30"/>
        <v>0</v>
      </c>
      <c r="DJ263" s="13">
        <f t="shared" si="26"/>
        <v>3985.6131999999998</v>
      </c>
      <c r="DK263" s="13">
        <f t="shared" si="26"/>
        <v>122.2855</v>
      </c>
      <c r="DL263" s="13">
        <f t="shared" si="26"/>
        <v>3863.3276999999998</v>
      </c>
      <c r="DM263" s="13">
        <f t="shared" si="31"/>
        <v>22</v>
      </c>
      <c r="DN263" s="13">
        <f t="shared" si="31"/>
        <v>22</v>
      </c>
      <c r="DO263" s="13">
        <f t="shared" si="31"/>
        <v>0</v>
      </c>
      <c r="DP263" s="13">
        <f t="shared" si="27"/>
        <v>2478.2371000000003</v>
      </c>
      <c r="DQ263" s="13">
        <f t="shared" si="27"/>
        <v>22</v>
      </c>
      <c r="DR263" s="13">
        <f t="shared" si="27"/>
        <v>2456.2371000000003</v>
      </c>
      <c r="DS263" s="14" t="s">
        <v>81</v>
      </c>
      <c r="DT263" s="14" t="s">
        <v>72</v>
      </c>
      <c r="DU263" s="14" t="s">
        <v>113</v>
      </c>
      <c r="DV263" s="14" t="s">
        <v>372</v>
      </c>
      <c r="DW263" s="14" t="s">
        <v>74</v>
      </c>
    </row>
    <row r="264" spans="2:127" x14ac:dyDescent="0.3">
      <c r="B264" s="11" t="s">
        <v>65</v>
      </c>
      <c r="C264" s="14">
        <v>5001342008</v>
      </c>
      <c r="D264" s="11" t="s">
        <v>843</v>
      </c>
      <c r="E264" s="11" t="s">
        <v>803</v>
      </c>
      <c r="F264" s="11" t="s">
        <v>844</v>
      </c>
      <c r="G264" s="11" t="s">
        <v>232</v>
      </c>
      <c r="H264" s="11" t="s">
        <v>206</v>
      </c>
      <c r="I264" s="11">
        <v>10004</v>
      </c>
      <c r="J264" s="11" t="s">
        <v>80</v>
      </c>
      <c r="K264" s="11"/>
      <c r="L264" s="11"/>
      <c r="M264" s="11"/>
      <c r="N264" s="11"/>
      <c r="O264" s="13">
        <v>0</v>
      </c>
      <c r="P264" s="13">
        <v>0</v>
      </c>
      <c r="Q264" s="13">
        <v>0</v>
      </c>
      <c r="R264" s="13">
        <v>26873.576099999998</v>
      </c>
      <c r="S264" s="13">
        <v>200.5692</v>
      </c>
      <c r="T264" s="13">
        <v>26673.0069</v>
      </c>
      <c r="U264" s="13">
        <v>0</v>
      </c>
      <c r="V264" s="13">
        <v>0</v>
      </c>
      <c r="W264" s="13">
        <v>0</v>
      </c>
      <c r="X264" s="13">
        <v>1879.2063000000001</v>
      </c>
      <c r="Y264" s="13">
        <v>15.4284</v>
      </c>
      <c r="Z264" s="13">
        <v>1863.7779</v>
      </c>
      <c r="AA264" s="13">
        <v>0</v>
      </c>
      <c r="AB264" s="13">
        <v>0</v>
      </c>
      <c r="AC264" s="13">
        <v>0</v>
      </c>
      <c r="AD264" s="13">
        <v>2866.6382999999996</v>
      </c>
      <c r="AE264" s="13">
        <v>15.4284</v>
      </c>
      <c r="AF264" s="13">
        <v>2851.2098999999998</v>
      </c>
      <c r="AG264" s="13">
        <v>0</v>
      </c>
      <c r="AH264" s="13">
        <v>0</v>
      </c>
      <c r="AI264" s="13">
        <v>0</v>
      </c>
      <c r="AJ264" s="13">
        <v>1422.519</v>
      </c>
      <c r="AK264" s="13">
        <v>15.4284</v>
      </c>
      <c r="AL264" s="13">
        <v>1407.0906</v>
      </c>
      <c r="AM264" s="13">
        <v>0</v>
      </c>
      <c r="AN264" s="13">
        <v>0</v>
      </c>
      <c r="AO264" s="13">
        <v>0</v>
      </c>
      <c r="AP264" s="13">
        <v>2326.6361999999999</v>
      </c>
      <c r="AQ264" s="13">
        <v>30.8568</v>
      </c>
      <c r="AR264" s="13">
        <v>2295.7793999999999</v>
      </c>
      <c r="AS264" s="13">
        <v>0</v>
      </c>
      <c r="AT264" s="13">
        <v>0</v>
      </c>
      <c r="AU264" s="13">
        <v>0</v>
      </c>
      <c r="AV264" s="13">
        <v>1937.8353</v>
      </c>
      <c r="AW264" s="13">
        <v>0</v>
      </c>
      <c r="AX264" s="13">
        <v>1937.8353</v>
      </c>
      <c r="AY264" s="13">
        <v>0</v>
      </c>
      <c r="AZ264" s="13">
        <v>0</v>
      </c>
      <c r="BA264" s="13">
        <v>0</v>
      </c>
      <c r="BB264" s="13">
        <v>1981.0350000000001</v>
      </c>
      <c r="BC264" s="13">
        <v>30.8568</v>
      </c>
      <c r="BD264" s="13">
        <v>1950.1782000000001</v>
      </c>
      <c r="BE264" s="13">
        <v>0</v>
      </c>
      <c r="BF264" s="13">
        <v>0</v>
      </c>
      <c r="BG264" s="13">
        <v>0</v>
      </c>
      <c r="BH264" s="13">
        <v>1258.9757999999999</v>
      </c>
      <c r="BI264" s="13">
        <v>0</v>
      </c>
      <c r="BJ264" s="13">
        <v>1258.9757999999999</v>
      </c>
      <c r="BK264" s="13">
        <v>0</v>
      </c>
      <c r="BL264" s="13">
        <v>0</v>
      </c>
      <c r="BM264" s="13">
        <v>0</v>
      </c>
      <c r="BN264" s="13">
        <v>2397.6080999999999</v>
      </c>
      <c r="BO264" s="13">
        <v>15.4284</v>
      </c>
      <c r="BP264" s="13">
        <v>2382.1797000000001</v>
      </c>
      <c r="BQ264" s="13">
        <v>0</v>
      </c>
      <c r="BR264" s="13">
        <v>0</v>
      </c>
      <c r="BS264" s="13">
        <v>0</v>
      </c>
      <c r="BT264" s="13">
        <v>1422.519</v>
      </c>
      <c r="BU264" s="13">
        <v>15.4284</v>
      </c>
      <c r="BV264" s="13">
        <v>1407.0906</v>
      </c>
      <c r="BW264" s="13">
        <v>0</v>
      </c>
      <c r="BX264" s="13">
        <v>0</v>
      </c>
      <c r="BY264" s="13">
        <v>0</v>
      </c>
      <c r="BZ264" s="13">
        <v>2348.2365</v>
      </c>
      <c r="CA264" s="13">
        <v>15.4284</v>
      </c>
      <c r="CB264" s="13">
        <v>2332.8081000000002</v>
      </c>
      <c r="CC264" s="13">
        <v>0</v>
      </c>
      <c r="CD264" s="13">
        <v>0</v>
      </c>
      <c r="CE264" s="13">
        <v>0</v>
      </c>
      <c r="CF264" s="13">
        <v>2965.3815</v>
      </c>
      <c r="CG264" s="13">
        <v>15.4284</v>
      </c>
      <c r="CH264" s="13">
        <v>2949.9531000000002</v>
      </c>
      <c r="CI264" s="13">
        <v>0</v>
      </c>
      <c r="CJ264" s="13">
        <v>0</v>
      </c>
      <c r="CK264" s="13">
        <v>0</v>
      </c>
      <c r="CL264" s="13">
        <v>1755.7773</v>
      </c>
      <c r="CM264" s="13">
        <v>15.4284</v>
      </c>
      <c r="CN264" s="13">
        <v>1740.3489</v>
      </c>
      <c r="CO264" s="13">
        <v>0</v>
      </c>
      <c r="CP264" s="13">
        <v>0</v>
      </c>
      <c r="CQ264" s="13">
        <v>0</v>
      </c>
      <c r="CR264" s="13">
        <v>2311.2077999999997</v>
      </c>
      <c r="CS264" s="13">
        <v>15.4284</v>
      </c>
      <c r="CT264" s="13">
        <v>2295.7793999999999</v>
      </c>
      <c r="CU264" s="13">
        <f t="shared" si="28"/>
        <v>0</v>
      </c>
      <c r="CV264" s="13">
        <f t="shared" si="28"/>
        <v>0</v>
      </c>
      <c r="CW264" s="13">
        <f t="shared" si="28"/>
        <v>0</v>
      </c>
      <c r="CX264" s="13">
        <f t="shared" si="24"/>
        <v>24994.3698</v>
      </c>
      <c r="CY264" s="13">
        <f t="shared" si="24"/>
        <v>185.14080000000004</v>
      </c>
      <c r="CZ264" s="13">
        <f t="shared" si="24"/>
        <v>24809.228999999999</v>
      </c>
      <c r="DA264" s="13">
        <f t="shared" si="29"/>
        <v>0</v>
      </c>
      <c r="DB264" s="13">
        <f t="shared" si="29"/>
        <v>0</v>
      </c>
      <c r="DC264" s="13">
        <f t="shared" si="29"/>
        <v>0</v>
      </c>
      <c r="DD264" s="13">
        <f t="shared" si="25"/>
        <v>7032.3665999999994</v>
      </c>
      <c r="DE264" s="13">
        <f t="shared" si="25"/>
        <v>46.285200000000003</v>
      </c>
      <c r="DF264" s="13">
        <f t="shared" si="25"/>
        <v>6986.0813999999991</v>
      </c>
      <c r="DG264" s="13">
        <f t="shared" si="30"/>
        <v>0</v>
      </c>
      <c r="DH264" s="13">
        <f t="shared" si="30"/>
        <v>0</v>
      </c>
      <c r="DI264" s="13">
        <f t="shared" si="30"/>
        <v>0</v>
      </c>
      <c r="DJ264" s="13">
        <f t="shared" si="26"/>
        <v>6168.3635999999997</v>
      </c>
      <c r="DK264" s="13">
        <f t="shared" si="26"/>
        <v>46.285200000000003</v>
      </c>
      <c r="DL264" s="13">
        <f t="shared" si="26"/>
        <v>6122.0784000000003</v>
      </c>
      <c r="DM264" s="13">
        <f t="shared" si="31"/>
        <v>0</v>
      </c>
      <c r="DN264" s="13">
        <f t="shared" si="31"/>
        <v>0</v>
      </c>
      <c r="DO264" s="13">
        <f t="shared" si="31"/>
        <v>0</v>
      </c>
      <c r="DP264" s="13">
        <f t="shared" si="27"/>
        <v>4066.9850999999999</v>
      </c>
      <c r="DQ264" s="13">
        <f t="shared" si="27"/>
        <v>30.8568</v>
      </c>
      <c r="DR264" s="13">
        <f t="shared" si="27"/>
        <v>4036.1282999999999</v>
      </c>
      <c r="DS264" s="14" t="s">
        <v>81</v>
      </c>
      <c r="DT264" s="14" t="s">
        <v>72</v>
      </c>
      <c r="DU264" s="14" t="s">
        <v>113</v>
      </c>
      <c r="DV264" s="14" t="s">
        <v>372</v>
      </c>
      <c r="DW264" s="14" t="s">
        <v>74</v>
      </c>
    </row>
    <row r="265" spans="2:127" x14ac:dyDescent="0.3">
      <c r="B265" s="11" t="s">
        <v>53</v>
      </c>
      <c r="C265" s="14">
        <v>5001338540</v>
      </c>
      <c r="D265" s="11" t="s">
        <v>845</v>
      </c>
      <c r="E265" s="11" t="s">
        <v>803</v>
      </c>
      <c r="F265" s="11" t="s">
        <v>846</v>
      </c>
      <c r="G265" s="11" t="s">
        <v>847</v>
      </c>
      <c r="H265" s="11" t="s">
        <v>58</v>
      </c>
      <c r="I265" s="11">
        <v>92708</v>
      </c>
      <c r="J265" s="11" t="s">
        <v>70</v>
      </c>
      <c r="K265" s="11"/>
      <c r="L265" s="11"/>
      <c r="M265" s="11"/>
      <c r="N265" s="11"/>
      <c r="O265" s="13">
        <v>0</v>
      </c>
      <c r="P265" s="13">
        <v>0</v>
      </c>
      <c r="Q265" s="13">
        <v>0</v>
      </c>
      <c r="R265" s="13">
        <v>5430.8760000000002</v>
      </c>
      <c r="S265" s="13">
        <v>0</v>
      </c>
      <c r="T265" s="13">
        <v>5430.8760000000002</v>
      </c>
      <c r="U265" s="13">
        <v>0</v>
      </c>
      <c r="V265" s="13">
        <v>0</v>
      </c>
      <c r="W265" s="13">
        <v>0</v>
      </c>
      <c r="X265" s="13">
        <v>308.57249999999999</v>
      </c>
      <c r="Y265" s="13">
        <v>0</v>
      </c>
      <c r="Z265" s="13">
        <v>308.57249999999999</v>
      </c>
      <c r="AA265" s="13">
        <v>0</v>
      </c>
      <c r="AB265" s="13">
        <v>0</v>
      </c>
      <c r="AC265" s="13">
        <v>0</v>
      </c>
      <c r="AD265" s="13">
        <v>456.68729999999999</v>
      </c>
      <c r="AE265" s="13">
        <v>0</v>
      </c>
      <c r="AF265" s="13">
        <v>456.68729999999999</v>
      </c>
      <c r="AG265" s="13">
        <v>0</v>
      </c>
      <c r="AH265" s="13">
        <v>0</v>
      </c>
      <c r="AI265" s="13">
        <v>0</v>
      </c>
      <c r="AJ265" s="13">
        <v>382.62990000000002</v>
      </c>
      <c r="AK265" s="13">
        <v>0</v>
      </c>
      <c r="AL265" s="13">
        <v>382.62990000000002</v>
      </c>
      <c r="AM265" s="13">
        <v>0</v>
      </c>
      <c r="AN265" s="13">
        <v>0</v>
      </c>
      <c r="AO265" s="13">
        <v>0</v>
      </c>
      <c r="AP265" s="13">
        <v>432.00150000000002</v>
      </c>
      <c r="AQ265" s="13">
        <v>0</v>
      </c>
      <c r="AR265" s="13">
        <v>432.00150000000002</v>
      </c>
      <c r="AS265" s="13">
        <v>0</v>
      </c>
      <c r="AT265" s="13">
        <v>0</v>
      </c>
      <c r="AU265" s="13">
        <v>0</v>
      </c>
      <c r="AV265" s="13">
        <v>530.74469999999997</v>
      </c>
      <c r="AW265" s="13">
        <v>0</v>
      </c>
      <c r="AX265" s="13">
        <v>530.74469999999997</v>
      </c>
      <c r="AY265" s="13">
        <v>0</v>
      </c>
      <c r="AZ265" s="13">
        <v>0</v>
      </c>
      <c r="BA265" s="13">
        <v>0</v>
      </c>
      <c r="BB265" s="13">
        <v>432.00150000000002</v>
      </c>
      <c r="BC265" s="13">
        <v>0</v>
      </c>
      <c r="BD265" s="13">
        <v>432.00150000000002</v>
      </c>
      <c r="BE265" s="13">
        <v>0</v>
      </c>
      <c r="BF265" s="13">
        <v>0</v>
      </c>
      <c r="BG265" s="13">
        <v>0</v>
      </c>
      <c r="BH265" s="13">
        <v>394.97280000000001</v>
      </c>
      <c r="BI265" s="13">
        <v>0</v>
      </c>
      <c r="BJ265" s="13">
        <v>394.97280000000001</v>
      </c>
      <c r="BK265" s="13">
        <v>0</v>
      </c>
      <c r="BL265" s="13">
        <v>0</v>
      </c>
      <c r="BM265" s="13">
        <v>0</v>
      </c>
      <c r="BN265" s="13">
        <v>407.31569999999999</v>
      </c>
      <c r="BO265" s="13">
        <v>0</v>
      </c>
      <c r="BP265" s="13">
        <v>407.31569999999999</v>
      </c>
      <c r="BQ265" s="13">
        <v>0</v>
      </c>
      <c r="BR265" s="13">
        <v>0</v>
      </c>
      <c r="BS265" s="13">
        <v>0</v>
      </c>
      <c r="BT265" s="13">
        <v>481.37310000000002</v>
      </c>
      <c r="BU265" s="13">
        <v>0</v>
      </c>
      <c r="BV265" s="13">
        <v>481.37310000000002</v>
      </c>
      <c r="BW265" s="13">
        <v>0</v>
      </c>
      <c r="BX265" s="13">
        <v>0</v>
      </c>
      <c r="BY265" s="13">
        <v>0</v>
      </c>
      <c r="BZ265" s="13">
        <v>320.91539999999998</v>
      </c>
      <c r="CA265" s="13">
        <v>0</v>
      </c>
      <c r="CB265" s="13">
        <v>320.91539999999998</v>
      </c>
      <c r="CC265" s="13">
        <v>0</v>
      </c>
      <c r="CD265" s="13">
        <v>0</v>
      </c>
      <c r="CE265" s="13">
        <v>0</v>
      </c>
      <c r="CF265" s="13">
        <v>493.71600000000001</v>
      </c>
      <c r="CG265" s="13">
        <v>0</v>
      </c>
      <c r="CH265" s="13">
        <v>493.71600000000001</v>
      </c>
      <c r="CI265" s="13">
        <v>0</v>
      </c>
      <c r="CJ265" s="13">
        <v>0</v>
      </c>
      <c r="CK265" s="13">
        <v>0</v>
      </c>
      <c r="CL265" s="13">
        <v>382.62990000000002</v>
      </c>
      <c r="CM265" s="13">
        <v>0</v>
      </c>
      <c r="CN265" s="13">
        <v>382.62990000000002</v>
      </c>
      <c r="CO265" s="13">
        <v>0</v>
      </c>
      <c r="CP265" s="13">
        <v>0</v>
      </c>
      <c r="CQ265" s="13">
        <v>0</v>
      </c>
      <c r="CR265" s="13">
        <v>407.31569999999999</v>
      </c>
      <c r="CS265" s="13">
        <v>0</v>
      </c>
      <c r="CT265" s="13">
        <v>407.31569999999999</v>
      </c>
      <c r="CU265" s="13">
        <f t="shared" si="28"/>
        <v>0</v>
      </c>
      <c r="CV265" s="13">
        <f t="shared" si="28"/>
        <v>0</v>
      </c>
      <c r="CW265" s="13">
        <f t="shared" si="28"/>
        <v>0</v>
      </c>
      <c r="CX265" s="13">
        <f t="shared" si="24"/>
        <v>5122.3035</v>
      </c>
      <c r="CY265" s="13">
        <f t="shared" si="24"/>
        <v>0</v>
      </c>
      <c r="CZ265" s="13">
        <f t="shared" si="24"/>
        <v>5122.3035</v>
      </c>
      <c r="DA265" s="13">
        <f t="shared" si="29"/>
        <v>0</v>
      </c>
      <c r="DB265" s="13">
        <f t="shared" si="29"/>
        <v>0</v>
      </c>
      <c r="DC265" s="13">
        <f t="shared" si="29"/>
        <v>0</v>
      </c>
      <c r="DD265" s="13">
        <f t="shared" si="25"/>
        <v>1283.6615999999999</v>
      </c>
      <c r="DE265" s="13">
        <f t="shared" si="25"/>
        <v>0</v>
      </c>
      <c r="DF265" s="13">
        <f t="shared" si="25"/>
        <v>1283.6615999999999</v>
      </c>
      <c r="DG265" s="13">
        <f t="shared" si="30"/>
        <v>0</v>
      </c>
      <c r="DH265" s="13">
        <f t="shared" si="30"/>
        <v>0</v>
      </c>
      <c r="DI265" s="13">
        <f t="shared" si="30"/>
        <v>0</v>
      </c>
      <c r="DJ265" s="13">
        <f t="shared" si="26"/>
        <v>1209.6042</v>
      </c>
      <c r="DK265" s="13">
        <f t="shared" si="26"/>
        <v>0</v>
      </c>
      <c r="DL265" s="13">
        <f t="shared" si="26"/>
        <v>1209.6042</v>
      </c>
      <c r="DM265" s="13">
        <f t="shared" si="31"/>
        <v>0</v>
      </c>
      <c r="DN265" s="13">
        <f t="shared" si="31"/>
        <v>0</v>
      </c>
      <c r="DO265" s="13">
        <f t="shared" si="31"/>
        <v>0</v>
      </c>
      <c r="DP265" s="13">
        <f t="shared" si="27"/>
        <v>789.94560000000001</v>
      </c>
      <c r="DQ265" s="13">
        <f t="shared" si="27"/>
        <v>0</v>
      </c>
      <c r="DR265" s="13">
        <f t="shared" si="27"/>
        <v>789.94560000000001</v>
      </c>
      <c r="DS265" s="14" t="s">
        <v>81</v>
      </c>
      <c r="DT265" s="14" t="s">
        <v>72</v>
      </c>
      <c r="DU265" s="14" t="s">
        <v>113</v>
      </c>
      <c r="DV265" s="14" t="s">
        <v>372</v>
      </c>
      <c r="DW265" s="14" t="s">
        <v>74</v>
      </c>
    </row>
    <row r="266" spans="2:127" x14ac:dyDescent="0.3">
      <c r="B266" s="11" t="s">
        <v>65</v>
      </c>
      <c r="C266" s="14">
        <v>5001341847</v>
      </c>
      <c r="D266" s="11" t="s">
        <v>848</v>
      </c>
      <c r="E266" s="11" t="s">
        <v>803</v>
      </c>
      <c r="F266" s="11" t="s">
        <v>849</v>
      </c>
      <c r="G266" s="11" t="s">
        <v>850</v>
      </c>
      <c r="H266" s="11" t="s">
        <v>239</v>
      </c>
      <c r="I266" s="11">
        <v>19611</v>
      </c>
      <c r="J266" s="11" t="s">
        <v>80</v>
      </c>
      <c r="K266" s="11"/>
      <c r="L266" s="11"/>
      <c r="M266" s="11"/>
      <c r="N266" s="11"/>
      <c r="O266" s="13">
        <v>0</v>
      </c>
      <c r="P266" s="13">
        <v>0</v>
      </c>
      <c r="Q266" s="13">
        <v>0</v>
      </c>
      <c r="R266" s="13">
        <v>15592.9398</v>
      </c>
      <c r="S266" s="13">
        <v>3.8571</v>
      </c>
      <c r="T266" s="13">
        <v>15589.082700000001</v>
      </c>
      <c r="U266" s="13">
        <v>0</v>
      </c>
      <c r="V266" s="13">
        <v>0</v>
      </c>
      <c r="W266" s="13">
        <v>0</v>
      </c>
      <c r="X266" s="13">
        <v>1160.2326</v>
      </c>
      <c r="Y266" s="13">
        <v>0</v>
      </c>
      <c r="Z266" s="13">
        <v>1160.2326</v>
      </c>
      <c r="AA266" s="13">
        <v>0</v>
      </c>
      <c r="AB266" s="13">
        <v>0</v>
      </c>
      <c r="AC266" s="13">
        <v>0</v>
      </c>
      <c r="AD266" s="13">
        <v>1160.2326</v>
      </c>
      <c r="AE266" s="13">
        <v>0</v>
      </c>
      <c r="AF266" s="13">
        <v>1160.2326</v>
      </c>
      <c r="AG266" s="13">
        <v>0</v>
      </c>
      <c r="AH266" s="13">
        <v>0</v>
      </c>
      <c r="AI266" s="13">
        <v>0</v>
      </c>
      <c r="AJ266" s="13">
        <v>1135.5468000000001</v>
      </c>
      <c r="AK266" s="13">
        <v>0</v>
      </c>
      <c r="AL266" s="13">
        <v>1135.5468000000001</v>
      </c>
      <c r="AM266" s="13">
        <v>0</v>
      </c>
      <c r="AN266" s="13">
        <v>0</v>
      </c>
      <c r="AO266" s="13">
        <v>0</v>
      </c>
      <c r="AP266" s="13">
        <v>1246.6329000000001</v>
      </c>
      <c r="AQ266" s="13">
        <v>0</v>
      </c>
      <c r="AR266" s="13">
        <v>1246.6329000000001</v>
      </c>
      <c r="AS266" s="13">
        <v>0</v>
      </c>
      <c r="AT266" s="13">
        <v>0</v>
      </c>
      <c r="AU266" s="13">
        <v>0</v>
      </c>
      <c r="AV266" s="13">
        <v>1493.4909</v>
      </c>
      <c r="AW266" s="13">
        <v>0</v>
      </c>
      <c r="AX266" s="13">
        <v>1493.4909</v>
      </c>
      <c r="AY266" s="13">
        <v>0</v>
      </c>
      <c r="AZ266" s="13">
        <v>0</v>
      </c>
      <c r="BA266" s="13">
        <v>0</v>
      </c>
      <c r="BB266" s="13">
        <v>1012.1178</v>
      </c>
      <c r="BC266" s="13">
        <v>0</v>
      </c>
      <c r="BD266" s="13">
        <v>1012.1178</v>
      </c>
      <c r="BE266" s="13">
        <v>0</v>
      </c>
      <c r="BF266" s="13">
        <v>0</v>
      </c>
      <c r="BG266" s="13">
        <v>0</v>
      </c>
      <c r="BH266" s="13">
        <v>901.0317</v>
      </c>
      <c r="BI266" s="13">
        <v>0</v>
      </c>
      <c r="BJ266" s="13">
        <v>901.0317</v>
      </c>
      <c r="BK266" s="13">
        <v>0</v>
      </c>
      <c r="BL266" s="13">
        <v>0</v>
      </c>
      <c r="BM266" s="13">
        <v>0</v>
      </c>
      <c r="BN266" s="13">
        <v>1370.0618999999999</v>
      </c>
      <c r="BO266" s="13">
        <v>0</v>
      </c>
      <c r="BP266" s="13">
        <v>1370.0618999999999</v>
      </c>
      <c r="BQ266" s="13">
        <v>0</v>
      </c>
      <c r="BR266" s="13">
        <v>0</v>
      </c>
      <c r="BS266" s="13">
        <v>0</v>
      </c>
      <c r="BT266" s="13">
        <v>1086.1751999999999</v>
      </c>
      <c r="BU266" s="13">
        <v>0</v>
      </c>
      <c r="BV266" s="13">
        <v>1086.1751999999999</v>
      </c>
      <c r="BW266" s="13">
        <v>0</v>
      </c>
      <c r="BX266" s="13">
        <v>0</v>
      </c>
      <c r="BY266" s="13">
        <v>0</v>
      </c>
      <c r="BZ266" s="13">
        <v>1188.7755</v>
      </c>
      <c r="CA266" s="13">
        <v>3.8571</v>
      </c>
      <c r="CB266" s="13">
        <v>1184.9184</v>
      </c>
      <c r="CC266" s="13">
        <v>0</v>
      </c>
      <c r="CD266" s="13">
        <v>0</v>
      </c>
      <c r="CE266" s="13">
        <v>0</v>
      </c>
      <c r="CF266" s="13">
        <v>1283.6615999999999</v>
      </c>
      <c r="CG266" s="13">
        <v>0</v>
      </c>
      <c r="CH266" s="13">
        <v>1283.6615999999999</v>
      </c>
      <c r="CI266" s="13">
        <v>0</v>
      </c>
      <c r="CJ266" s="13">
        <v>0</v>
      </c>
      <c r="CK266" s="13">
        <v>0</v>
      </c>
      <c r="CL266" s="13">
        <v>1123.2039</v>
      </c>
      <c r="CM266" s="13">
        <v>0</v>
      </c>
      <c r="CN266" s="13">
        <v>1123.2039</v>
      </c>
      <c r="CO266" s="13">
        <v>0</v>
      </c>
      <c r="CP266" s="13">
        <v>0</v>
      </c>
      <c r="CQ266" s="13">
        <v>0</v>
      </c>
      <c r="CR266" s="13">
        <v>1431.7764</v>
      </c>
      <c r="CS266" s="13">
        <v>0</v>
      </c>
      <c r="CT266" s="13">
        <v>1431.7764</v>
      </c>
      <c r="CU266" s="13">
        <f t="shared" si="28"/>
        <v>0</v>
      </c>
      <c r="CV266" s="13">
        <f t="shared" si="28"/>
        <v>0</v>
      </c>
      <c r="CW266" s="13">
        <f t="shared" si="28"/>
        <v>0</v>
      </c>
      <c r="CX266" s="13">
        <f t="shared" si="24"/>
        <v>14432.707200000001</v>
      </c>
      <c r="CY266" s="13">
        <f t="shared" si="24"/>
        <v>3.8571</v>
      </c>
      <c r="CZ266" s="13">
        <f t="shared" si="24"/>
        <v>14428.850100000001</v>
      </c>
      <c r="DA266" s="13">
        <f t="shared" si="29"/>
        <v>0</v>
      </c>
      <c r="DB266" s="13">
        <f t="shared" si="29"/>
        <v>0</v>
      </c>
      <c r="DC266" s="13">
        <f t="shared" si="29"/>
        <v>0</v>
      </c>
      <c r="DD266" s="13">
        <f t="shared" si="25"/>
        <v>3838.6418999999996</v>
      </c>
      <c r="DE266" s="13">
        <f t="shared" si="25"/>
        <v>0</v>
      </c>
      <c r="DF266" s="13">
        <f t="shared" si="25"/>
        <v>3838.6418999999996</v>
      </c>
      <c r="DG266" s="13">
        <f t="shared" si="30"/>
        <v>0</v>
      </c>
      <c r="DH266" s="13">
        <f t="shared" si="30"/>
        <v>0</v>
      </c>
      <c r="DI266" s="13">
        <f t="shared" si="30"/>
        <v>0</v>
      </c>
      <c r="DJ266" s="13">
        <f t="shared" si="26"/>
        <v>3645.0126</v>
      </c>
      <c r="DK266" s="13">
        <f t="shared" si="26"/>
        <v>3.8571</v>
      </c>
      <c r="DL266" s="13">
        <f t="shared" si="26"/>
        <v>3641.1554999999998</v>
      </c>
      <c r="DM266" s="13">
        <f t="shared" si="31"/>
        <v>0</v>
      </c>
      <c r="DN266" s="13">
        <f t="shared" si="31"/>
        <v>0</v>
      </c>
      <c r="DO266" s="13">
        <f t="shared" si="31"/>
        <v>0</v>
      </c>
      <c r="DP266" s="13">
        <f t="shared" si="27"/>
        <v>2554.9803000000002</v>
      </c>
      <c r="DQ266" s="13">
        <f t="shared" si="27"/>
        <v>0</v>
      </c>
      <c r="DR266" s="13">
        <f t="shared" si="27"/>
        <v>2554.9803000000002</v>
      </c>
      <c r="DS266" s="14" t="s">
        <v>81</v>
      </c>
      <c r="DT266" s="14" t="s">
        <v>72</v>
      </c>
      <c r="DU266" s="14" t="s">
        <v>113</v>
      </c>
      <c r="DV266" s="14" t="s">
        <v>372</v>
      </c>
      <c r="DW266" s="14" t="s">
        <v>74</v>
      </c>
    </row>
    <row r="267" spans="2:127" x14ac:dyDescent="0.3">
      <c r="B267" s="11" t="s">
        <v>75</v>
      </c>
      <c r="C267" s="14">
        <v>5001342090</v>
      </c>
      <c r="D267" s="11" t="s">
        <v>851</v>
      </c>
      <c r="E267" s="11" t="s">
        <v>803</v>
      </c>
      <c r="F267" s="11" t="s">
        <v>852</v>
      </c>
      <c r="G267" s="11" t="s">
        <v>853</v>
      </c>
      <c r="H267" s="11" t="s">
        <v>145</v>
      </c>
      <c r="I267" s="11">
        <v>36117</v>
      </c>
      <c r="J267" s="11" t="s">
        <v>80</v>
      </c>
      <c r="K267" s="11"/>
      <c r="L267" s="11"/>
      <c r="M267" s="11"/>
      <c r="N267" s="11"/>
      <c r="O267" s="13">
        <v>0</v>
      </c>
      <c r="P267" s="13">
        <v>0</v>
      </c>
      <c r="Q267" s="13">
        <v>0</v>
      </c>
      <c r="R267" s="13">
        <v>24283.111799999999</v>
      </c>
      <c r="S267" s="13">
        <v>115.7136</v>
      </c>
      <c r="T267" s="13">
        <v>24167.3982</v>
      </c>
      <c r="U267" s="13">
        <v>0</v>
      </c>
      <c r="V267" s="13">
        <v>0</v>
      </c>
      <c r="W267" s="13">
        <v>0</v>
      </c>
      <c r="X267" s="13">
        <v>1821.3489999999999</v>
      </c>
      <c r="Y267" s="13">
        <v>19.285599999999999</v>
      </c>
      <c r="Z267" s="13">
        <v>1802.0634</v>
      </c>
      <c r="AA267" s="13">
        <v>0</v>
      </c>
      <c r="AB267" s="13">
        <v>0</v>
      </c>
      <c r="AC267" s="13">
        <v>0</v>
      </c>
      <c r="AD267" s="13">
        <v>2144.9645</v>
      </c>
      <c r="AE267" s="13">
        <v>9.6427999999999994</v>
      </c>
      <c r="AF267" s="13">
        <v>2135.3217</v>
      </c>
      <c r="AG267" s="13">
        <v>0</v>
      </c>
      <c r="AH267" s="13">
        <v>0</v>
      </c>
      <c r="AI267" s="13">
        <v>0</v>
      </c>
      <c r="AJ267" s="13">
        <v>1675.9343000000001</v>
      </c>
      <c r="AK267" s="13">
        <v>9.6427999999999994</v>
      </c>
      <c r="AL267" s="13">
        <v>1666.2915</v>
      </c>
      <c r="AM267" s="13">
        <v>0</v>
      </c>
      <c r="AN267" s="13">
        <v>0</v>
      </c>
      <c r="AO267" s="13">
        <v>0</v>
      </c>
      <c r="AP267" s="13">
        <v>1777.3776</v>
      </c>
      <c r="AQ267" s="13">
        <v>0</v>
      </c>
      <c r="AR267" s="13">
        <v>1777.3776</v>
      </c>
      <c r="AS267" s="13">
        <v>0</v>
      </c>
      <c r="AT267" s="13">
        <v>0</v>
      </c>
      <c r="AU267" s="13">
        <v>0</v>
      </c>
      <c r="AV267" s="13">
        <v>2256.0506</v>
      </c>
      <c r="AW267" s="13">
        <v>9.6427999999999994</v>
      </c>
      <c r="AX267" s="13">
        <v>2246.4078</v>
      </c>
      <c r="AY267" s="13">
        <v>0</v>
      </c>
      <c r="AZ267" s="13">
        <v>0</v>
      </c>
      <c r="BA267" s="13">
        <v>0</v>
      </c>
      <c r="BB267" s="13">
        <v>1752.6918000000001</v>
      </c>
      <c r="BC267" s="13">
        <v>0</v>
      </c>
      <c r="BD267" s="13">
        <v>1752.6918000000001</v>
      </c>
      <c r="BE267" s="13">
        <v>0</v>
      </c>
      <c r="BF267" s="13">
        <v>0</v>
      </c>
      <c r="BG267" s="13">
        <v>0</v>
      </c>
      <c r="BH267" s="13">
        <v>1821.3489999999999</v>
      </c>
      <c r="BI267" s="13">
        <v>19.285599999999999</v>
      </c>
      <c r="BJ267" s="13">
        <v>1802.0634</v>
      </c>
      <c r="BK267" s="13">
        <v>0</v>
      </c>
      <c r="BL267" s="13">
        <v>0</v>
      </c>
      <c r="BM267" s="13">
        <v>0</v>
      </c>
      <c r="BN267" s="13">
        <v>1935.1352000000002</v>
      </c>
      <c r="BO267" s="13">
        <v>9.6427999999999994</v>
      </c>
      <c r="BP267" s="13">
        <v>1925.4924000000001</v>
      </c>
      <c r="BQ267" s="13">
        <v>0</v>
      </c>
      <c r="BR267" s="13">
        <v>0</v>
      </c>
      <c r="BS267" s="13">
        <v>0</v>
      </c>
      <c r="BT267" s="13">
        <v>1638.9056</v>
      </c>
      <c r="BU267" s="13">
        <v>9.6427999999999994</v>
      </c>
      <c r="BV267" s="13">
        <v>1629.2628</v>
      </c>
      <c r="BW267" s="13">
        <v>0</v>
      </c>
      <c r="BX267" s="13">
        <v>0</v>
      </c>
      <c r="BY267" s="13">
        <v>0</v>
      </c>
      <c r="BZ267" s="13">
        <v>1811.7062000000001</v>
      </c>
      <c r="CA267" s="13">
        <v>9.6427999999999994</v>
      </c>
      <c r="CB267" s="13">
        <v>1802.0634</v>
      </c>
      <c r="CC267" s="13">
        <v>0</v>
      </c>
      <c r="CD267" s="13">
        <v>0</v>
      </c>
      <c r="CE267" s="13">
        <v>0</v>
      </c>
      <c r="CF267" s="13">
        <v>1935.1352000000002</v>
      </c>
      <c r="CG267" s="13">
        <v>9.6427999999999994</v>
      </c>
      <c r="CH267" s="13">
        <v>1925.4924000000001</v>
      </c>
      <c r="CI267" s="13">
        <v>0</v>
      </c>
      <c r="CJ267" s="13">
        <v>0</v>
      </c>
      <c r="CK267" s="13">
        <v>0</v>
      </c>
      <c r="CL267" s="13">
        <v>1900.8065999999999</v>
      </c>
      <c r="CM267" s="13">
        <v>0</v>
      </c>
      <c r="CN267" s="13">
        <v>1900.8065999999999</v>
      </c>
      <c r="CO267" s="13">
        <v>0</v>
      </c>
      <c r="CP267" s="13">
        <v>0</v>
      </c>
      <c r="CQ267" s="13">
        <v>0</v>
      </c>
      <c r="CR267" s="13">
        <v>1811.7062000000001</v>
      </c>
      <c r="CS267" s="13">
        <v>9.6427999999999994</v>
      </c>
      <c r="CT267" s="13">
        <v>1802.0634</v>
      </c>
      <c r="CU267" s="13">
        <f t="shared" si="28"/>
        <v>0</v>
      </c>
      <c r="CV267" s="13">
        <f t="shared" si="28"/>
        <v>0</v>
      </c>
      <c r="CW267" s="13">
        <f t="shared" si="28"/>
        <v>0</v>
      </c>
      <c r="CX267" s="13">
        <f t="shared" si="24"/>
        <v>22461.7628</v>
      </c>
      <c r="CY267" s="13">
        <f t="shared" si="24"/>
        <v>96.427999999999983</v>
      </c>
      <c r="CZ267" s="13">
        <f t="shared" si="24"/>
        <v>22365.334799999997</v>
      </c>
      <c r="DA267" s="13">
        <f t="shared" si="29"/>
        <v>0</v>
      </c>
      <c r="DB267" s="13">
        <f t="shared" si="29"/>
        <v>0</v>
      </c>
      <c r="DC267" s="13">
        <f t="shared" si="29"/>
        <v>0</v>
      </c>
      <c r="DD267" s="13">
        <f t="shared" si="25"/>
        <v>5647.6480000000001</v>
      </c>
      <c r="DE267" s="13">
        <f t="shared" si="25"/>
        <v>19.285599999999999</v>
      </c>
      <c r="DF267" s="13">
        <f t="shared" si="25"/>
        <v>5628.3624</v>
      </c>
      <c r="DG267" s="13">
        <f t="shared" si="30"/>
        <v>0</v>
      </c>
      <c r="DH267" s="13">
        <f t="shared" si="30"/>
        <v>0</v>
      </c>
      <c r="DI267" s="13">
        <f t="shared" si="30"/>
        <v>0</v>
      </c>
      <c r="DJ267" s="13">
        <f t="shared" si="26"/>
        <v>5385.7470000000003</v>
      </c>
      <c r="DK267" s="13">
        <f t="shared" si="26"/>
        <v>28.928399999999996</v>
      </c>
      <c r="DL267" s="13">
        <f t="shared" si="26"/>
        <v>5356.8186000000005</v>
      </c>
      <c r="DM267" s="13">
        <f t="shared" si="31"/>
        <v>0</v>
      </c>
      <c r="DN267" s="13">
        <f t="shared" si="31"/>
        <v>0</v>
      </c>
      <c r="DO267" s="13">
        <f t="shared" si="31"/>
        <v>0</v>
      </c>
      <c r="DP267" s="13">
        <f t="shared" si="27"/>
        <v>3712.5128</v>
      </c>
      <c r="DQ267" s="13">
        <f t="shared" si="27"/>
        <v>9.6427999999999994</v>
      </c>
      <c r="DR267" s="13">
        <f t="shared" si="27"/>
        <v>3702.87</v>
      </c>
      <c r="DS267" s="14" t="s">
        <v>81</v>
      </c>
      <c r="DT267" s="14" t="s">
        <v>72</v>
      </c>
      <c r="DU267" s="14" t="s">
        <v>113</v>
      </c>
      <c r="DV267" s="14" t="s">
        <v>372</v>
      </c>
      <c r="DW267" s="14" t="s">
        <v>74</v>
      </c>
    </row>
    <row r="268" spans="2:127" x14ac:dyDescent="0.3">
      <c r="B268" s="11" t="s">
        <v>53</v>
      </c>
      <c r="C268" s="14" t="s">
        <v>854</v>
      </c>
      <c r="D268" s="11" t="s">
        <v>855</v>
      </c>
      <c r="E268" s="11" t="s">
        <v>803</v>
      </c>
      <c r="F268" s="11" t="s">
        <v>856</v>
      </c>
      <c r="G268" s="11" t="s">
        <v>857</v>
      </c>
      <c r="H268" s="11" t="s">
        <v>58</v>
      </c>
      <c r="I268" s="11">
        <v>94531</v>
      </c>
      <c r="J268" s="11" t="s">
        <v>109</v>
      </c>
      <c r="K268" s="11"/>
      <c r="L268" s="11"/>
      <c r="M268" s="11"/>
      <c r="N268" s="11"/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0</v>
      </c>
      <c r="BD268" s="13">
        <v>0</v>
      </c>
      <c r="BE268" s="13">
        <v>0</v>
      </c>
      <c r="BF268" s="13">
        <v>0</v>
      </c>
      <c r="BG268" s="13">
        <v>0</v>
      </c>
      <c r="BH268" s="13">
        <v>0</v>
      </c>
      <c r="BI268" s="13">
        <v>0</v>
      </c>
      <c r="BJ268" s="13">
        <v>0</v>
      </c>
      <c r="BK268" s="13">
        <v>0</v>
      </c>
      <c r="BL268" s="13">
        <v>0</v>
      </c>
      <c r="BM268" s="13">
        <v>0</v>
      </c>
      <c r="BN268" s="13">
        <v>0</v>
      </c>
      <c r="BO268" s="13">
        <v>0</v>
      </c>
      <c r="BP268" s="13">
        <v>0</v>
      </c>
      <c r="BQ268" s="13">
        <v>0</v>
      </c>
      <c r="BR268" s="13">
        <v>0</v>
      </c>
      <c r="BS268" s="13">
        <v>0</v>
      </c>
      <c r="BT268" s="13">
        <v>0</v>
      </c>
      <c r="BU268" s="13">
        <v>0</v>
      </c>
      <c r="BV268" s="13">
        <v>0</v>
      </c>
      <c r="BW268" s="13">
        <v>0</v>
      </c>
      <c r="BX268" s="13">
        <v>0</v>
      </c>
      <c r="BY268" s="13">
        <v>0</v>
      </c>
      <c r="BZ268" s="13">
        <v>0</v>
      </c>
      <c r="CA268" s="13">
        <v>0</v>
      </c>
      <c r="CB268" s="13">
        <v>0</v>
      </c>
      <c r="CC268" s="13">
        <v>0</v>
      </c>
      <c r="CD268" s="13">
        <v>0</v>
      </c>
      <c r="CE268" s="13">
        <v>0</v>
      </c>
      <c r="CF268" s="13">
        <v>0</v>
      </c>
      <c r="CG268" s="13">
        <v>0</v>
      </c>
      <c r="CH268" s="13">
        <v>0</v>
      </c>
      <c r="CI268" s="13">
        <v>0</v>
      </c>
      <c r="CJ268" s="13">
        <v>0</v>
      </c>
      <c r="CK268" s="13">
        <v>0</v>
      </c>
      <c r="CL268" s="13">
        <v>0</v>
      </c>
      <c r="CM268" s="13">
        <v>0</v>
      </c>
      <c r="CN268" s="13">
        <v>0</v>
      </c>
      <c r="CO268" s="13">
        <v>0</v>
      </c>
      <c r="CP268" s="13">
        <v>0</v>
      </c>
      <c r="CQ268" s="13">
        <v>0</v>
      </c>
      <c r="CR268" s="13">
        <v>0</v>
      </c>
      <c r="CS268" s="13">
        <v>0</v>
      </c>
      <c r="CT268" s="13">
        <v>0</v>
      </c>
      <c r="CU268" s="13">
        <f t="shared" si="28"/>
        <v>0</v>
      </c>
      <c r="CV268" s="13">
        <f t="shared" si="28"/>
        <v>0</v>
      </c>
      <c r="CW268" s="13">
        <f t="shared" si="28"/>
        <v>0</v>
      </c>
      <c r="CX268" s="13">
        <f t="shared" si="24"/>
        <v>0</v>
      </c>
      <c r="CY268" s="13">
        <f t="shared" si="24"/>
        <v>0</v>
      </c>
      <c r="CZ268" s="13">
        <f t="shared" si="24"/>
        <v>0</v>
      </c>
      <c r="DA268" s="13">
        <f t="shared" si="29"/>
        <v>0</v>
      </c>
      <c r="DB268" s="13">
        <f t="shared" si="29"/>
        <v>0</v>
      </c>
      <c r="DC268" s="13">
        <f t="shared" si="29"/>
        <v>0</v>
      </c>
      <c r="DD268" s="13">
        <f t="shared" si="25"/>
        <v>0</v>
      </c>
      <c r="DE268" s="13">
        <f t="shared" si="25"/>
        <v>0</v>
      </c>
      <c r="DF268" s="13">
        <f t="shared" si="25"/>
        <v>0</v>
      </c>
      <c r="DG268" s="13">
        <f t="shared" si="30"/>
        <v>0</v>
      </c>
      <c r="DH268" s="13">
        <f t="shared" si="30"/>
        <v>0</v>
      </c>
      <c r="DI268" s="13">
        <f t="shared" si="30"/>
        <v>0</v>
      </c>
      <c r="DJ268" s="13">
        <f t="shared" si="26"/>
        <v>0</v>
      </c>
      <c r="DK268" s="13">
        <f t="shared" si="26"/>
        <v>0</v>
      </c>
      <c r="DL268" s="13">
        <f t="shared" si="26"/>
        <v>0</v>
      </c>
      <c r="DM268" s="13">
        <f t="shared" si="31"/>
        <v>0</v>
      </c>
      <c r="DN268" s="13">
        <f t="shared" si="31"/>
        <v>0</v>
      </c>
      <c r="DO268" s="13">
        <f t="shared" si="31"/>
        <v>0</v>
      </c>
      <c r="DP268" s="13">
        <f t="shared" si="27"/>
        <v>0</v>
      </c>
      <c r="DQ268" s="13">
        <f t="shared" si="27"/>
        <v>0</v>
      </c>
      <c r="DR268" s="13">
        <f t="shared" si="27"/>
        <v>0</v>
      </c>
      <c r="DS268" s="14" t="s">
        <v>81</v>
      </c>
      <c r="DT268" s="14" t="s">
        <v>72</v>
      </c>
      <c r="DU268" s="14" t="s">
        <v>113</v>
      </c>
      <c r="DV268" s="14" t="s">
        <v>372</v>
      </c>
      <c r="DW268" s="14" t="s">
        <v>74</v>
      </c>
    </row>
    <row r="269" spans="2:127" x14ac:dyDescent="0.3">
      <c r="B269" s="11" t="s">
        <v>83</v>
      </c>
      <c r="C269" s="14">
        <v>5001340954</v>
      </c>
      <c r="D269" s="11" t="s">
        <v>858</v>
      </c>
      <c r="E269" s="11" t="s">
        <v>803</v>
      </c>
      <c r="F269" s="11" t="s">
        <v>859</v>
      </c>
      <c r="G269" s="11" t="s">
        <v>860</v>
      </c>
      <c r="H269" s="11" t="s">
        <v>137</v>
      </c>
      <c r="I269" s="11">
        <v>76104</v>
      </c>
      <c r="J269" s="11" t="s">
        <v>109</v>
      </c>
      <c r="K269" s="11"/>
      <c r="L269" s="11"/>
      <c r="M269" s="11"/>
      <c r="N269" s="11"/>
      <c r="O269" s="13">
        <v>263</v>
      </c>
      <c r="P269" s="13">
        <v>263</v>
      </c>
      <c r="Q269" s="13">
        <v>0</v>
      </c>
      <c r="R269" s="13">
        <v>28905.567299999999</v>
      </c>
      <c r="S269" s="13">
        <v>8441.0391</v>
      </c>
      <c r="T269" s="13">
        <v>20464.528200000001</v>
      </c>
      <c r="U269" s="13">
        <v>6</v>
      </c>
      <c r="V269" s="13">
        <v>6</v>
      </c>
      <c r="W269" s="13">
        <v>0</v>
      </c>
      <c r="X269" s="13">
        <v>1769.2907</v>
      </c>
      <c r="Y269" s="13">
        <v>695.45839999999998</v>
      </c>
      <c r="Z269" s="13">
        <v>1073.8323</v>
      </c>
      <c r="AA269" s="13">
        <v>24</v>
      </c>
      <c r="AB269" s="13">
        <v>24</v>
      </c>
      <c r="AC269" s="13">
        <v>0</v>
      </c>
      <c r="AD269" s="13">
        <v>2484.6634999999997</v>
      </c>
      <c r="AE269" s="13">
        <v>806.02909999999997</v>
      </c>
      <c r="AF269" s="13">
        <v>1678.6343999999999</v>
      </c>
      <c r="AG269" s="13">
        <v>6</v>
      </c>
      <c r="AH269" s="13">
        <v>6</v>
      </c>
      <c r="AI269" s="13">
        <v>0</v>
      </c>
      <c r="AJ269" s="13">
        <v>2124.7284</v>
      </c>
      <c r="AK269" s="13">
        <v>655.92330000000004</v>
      </c>
      <c r="AL269" s="13">
        <v>1468.8051</v>
      </c>
      <c r="AM269" s="13">
        <v>26</v>
      </c>
      <c r="AN269" s="13">
        <v>26</v>
      </c>
      <c r="AO269" s="13">
        <v>0</v>
      </c>
      <c r="AP269" s="13">
        <v>1903.6559999999999</v>
      </c>
      <c r="AQ269" s="13">
        <v>681.70889999999997</v>
      </c>
      <c r="AR269" s="13">
        <v>1221.9471000000001</v>
      </c>
      <c r="AS269" s="13">
        <v>42</v>
      </c>
      <c r="AT269" s="13">
        <v>42</v>
      </c>
      <c r="AU269" s="13">
        <v>0</v>
      </c>
      <c r="AV269" s="13">
        <v>2268.9205000000002</v>
      </c>
      <c r="AW269" s="13">
        <v>750.74379999999996</v>
      </c>
      <c r="AX269" s="13">
        <v>1518.1767</v>
      </c>
      <c r="AY269" s="13">
        <v>11</v>
      </c>
      <c r="AZ269" s="13">
        <v>11</v>
      </c>
      <c r="BA269" s="13">
        <v>0</v>
      </c>
      <c r="BB269" s="13">
        <v>2359.0356999999999</v>
      </c>
      <c r="BC269" s="13">
        <v>692.74419999999998</v>
      </c>
      <c r="BD269" s="13">
        <v>1666.2915</v>
      </c>
      <c r="BE269" s="13">
        <v>12</v>
      </c>
      <c r="BF269" s="13">
        <v>12</v>
      </c>
      <c r="BG269" s="13">
        <v>0</v>
      </c>
      <c r="BH269" s="13">
        <v>2141.723</v>
      </c>
      <c r="BI269" s="13">
        <v>512.46019999999999</v>
      </c>
      <c r="BJ269" s="13">
        <v>1629.2628</v>
      </c>
      <c r="BK269" s="13">
        <v>29</v>
      </c>
      <c r="BL269" s="13">
        <v>29</v>
      </c>
      <c r="BM269" s="13">
        <v>0</v>
      </c>
      <c r="BN269" s="13">
        <v>2629.6795999999999</v>
      </c>
      <c r="BO269" s="13">
        <v>716.53009999999995</v>
      </c>
      <c r="BP269" s="13">
        <v>1913.1495</v>
      </c>
      <c r="BQ269" s="13">
        <v>23</v>
      </c>
      <c r="BR269" s="13">
        <v>23</v>
      </c>
      <c r="BS269" s="13">
        <v>0</v>
      </c>
      <c r="BT269" s="13">
        <v>2249.9222</v>
      </c>
      <c r="BU269" s="13">
        <v>608.31650000000002</v>
      </c>
      <c r="BV269" s="13">
        <v>1641.6057000000001</v>
      </c>
      <c r="BW269" s="13">
        <v>18</v>
      </c>
      <c r="BX269" s="13">
        <v>18</v>
      </c>
      <c r="BY269" s="13">
        <v>0</v>
      </c>
      <c r="BZ269" s="13">
        <v>2076.1723000000002</v>
      </c>
      <c r="CA269" s="13">
        <v>557.99559999999997</v>
      </c>
      <c r="CB269" s="13">
        <v>1518.1767</v>
      </c>
      <c r="CC269" s="13">
        <v>22</v>
      </c>
      <c r="CD269" s="13">
        <v>22</v>
      </c>
      <c r="CE269" s="13">
        <v>0</v>
      </c>
      <c r="CF269" s="13">
        <v>2585.0734000000002</v>
      </c>
      <c r="CG269" s="13">
        <v>610.20939999999996</v>
      </c>
      <c r="CH269" s="13">
        <v>1974.864</v>
      </c>
      <c r="CI269" s="13">
        <v>17</v>
      </c>
      <c r="CJ269" s="13">
        <v>17</v>
      </c>
      <c r="CK269" s="13">
        <v>0</v>
      </c>
      <c r="CL269" s="13">
        <v>2096.9647</v>
      </c>
      <c r="CM269" s="13">
        <v>615.81669999999997</v>
      </c>
      <c r="CN269" s="13">
        <v>1481.1479999999999</v>
      </c>
      <c r="CO269" s="13">
        <v>27</v>
      </c>
      <c r="CP269" s="13">
        <v>27</v>
      </c>
      <c r="CQ269" s="13">
        <v>0</v>
      </c>
      <c r="CR269" s="13">
        <v>2215.7372999999998</v>
      </c>
      <c r="CS269" s="13">
        <v>537.10289999999998</v>
      </c>
      <c r="CT269" s="13">
        <v>1678.6343999999999</v>
      </c>
      <c r="CU269" s="13">
        <f t="shared" si="28"/>
        <v>257</v>
      </c>
      <c r="CV269" s="13">
        <f t="shared" si="28"/>
        <v>257</v>
      </c>
      <c r="CW269" s="13">
        <f t="shared" si="28"/>
        <v>0</v>
      </c>
      <c r="CX269" s="13">
        <f t="shared" si="24"/>
        <v>27136.276600000001</v>
      </c>
      <c r="CY269" s="13">
        <f t="shared" si="24"/>
        <v>7745.5807000000004</v>
      </c>
      <c r="CZ269" s="13">
        <f t="shared" si="24"/>
        <v>19390.695899999999</v>
      </c>
      <c r="DA269" s="13">
        <f t="shared" si="29"/>
        <v>66</v>
      </c>
      <c r="DB269" s="13">
        <f t="shared" si="29"/>
        <v>66</v>
      </c>
      <c r="DC269" s="13">
        <f t="shared" si="29"/>
        <v>0</v>
      </c>
      <c r="DD269" s="13">
        <f t="shared" si="25"/>
        <v>6897.7753999999995</v>
      </c>
      <c r="DE269" s="13">
        <f t="shared" si="25"/>
        <v>1763.1289999999999</v>
      </c>
      <c r="DF269" s="13">
        <f t="shared" si="25"/>
        <v>5134.6463999999996</v>
      </c>
      <c r="DG269" s="13">
        <f t="shared" si="30"/>
        <v>70</v>
      </c>
      <c r="DH269" s="13">
        <f t="shared" si="30"/>
        <v>70</v>
      </c>
      <c r="DI269" s="13">
        <f t="shared" si="30"/>
        <v>0</v>
      </c>
      <c r="DJ269" s="13">
        <f t="shared" si="26"/>
        <v>6955.7741000000005</v>
      </c>
      <c r="DK269" s="13">
        <f t="shared" si="26"/>
        <v>1882.8421999999998</v>
      </c>
      <c r="DL269" s="13">
        <f t="shared" si="26"/>
        <v>5072.9318999999996</v>
      </c>
      <c r="DM269" s="13">
        <f t="shared" si="31"/>
        <v>44</v>
      </c>
      <c r="DN269" s="13">
        <f t="shared" si="31"/>
        <v>44</v>
      </c>
      <c r="DO269" s="13">
        <f t="shared" si="31"/>
        <v>0</v>
      </c>
      <c r="DP269" s="13">
        <f t="shared" si="27"/>
        <v>4312.7019999999993</v>
      </c>
      <c r="DQ269" s="13">
        <f t="shared" si="27"/>
        <v>1152.9195999999999</v>
      </c>
      <c r="DR269" s="13">
        <f t="shared" si="27"/>
        <v>3159.7824000000001</v>
      </c>
      <c r="DS269" s="14" t="s">
        <v>81</v>
      </c>
      <c r="DT269" s="14" t="s">
        <v>72</v>
      </c>
      <c r="DU269" s="14" t="s">
        <v>113</v>
      </c>
      <c r="DV269" s="14" t="s">
        <v>372</v>
      </c>
      <c r="DW269" s="14" t="s">
        <v>74</v>
      </c>
    </row>
    <row r="270" spans="2:127" x14ac:dyDescent="0.3">
      <c r="B270" s="11" t="s">
        <v>65</v>
      </c>
      <c r="C270" s="14">
        <v>5001341824</v>
      </c>
      <c r="D270" s="11" t="s">
        <v>861</v>
      </c>
      <c r="E270" s="11" t="s">
        <v>803</v>
      </c>
      <c r="F270" s="11" t="s">
        <v>862</v>
      </c>
      <c r="G270" s="11" t="s">
        <v>863</v>
      </c>
      <c r="H270" s="11" t="s">
        <v>239</v>
      </c>
      <c r="I270" s="11">
        <v>18015</v>
      </c>
      <c r="J270" s="11" t="s">
        <v>80</v>
      </c>
      <c r="K270" s="11"/>
      <c r="L270" s="11"/>
      <c r="M270" s="11"/>
      <c r="N270" s="11"/>
      <c r="O270" s="13">
        <v>999</v>
      </c>
      <c r="P270" s="13">
        <v>999</v>
      </c>
      <c r="Q270" s="13">
        <v>0</v>
      </c>
      <c r="R270" s="13">
        <v>27507.6852</v>
      </c>
      <c r="S270" s="13">
        <v>1612.2809999999999</v>
      </c>
      <c r="T270" s="13">
        <v>25895.404200000001</v>
      </c>
      <c r="U270" s="13">
        <v>110</v>
      </c>
      <c r="V270" s="13">
        <v>110</v>
      </c>
      <c r="W270" s="13">
        <v>0</v>
      </c>
      <c r="X270" s="13">
        <v>1418.154</v>
      </c>
      <c r="Y270" s="13">
        <v>159.1782</v>
      </c>
      <c r="Z270" s="13">
        <v>1258.9757999999999</v>
      </c>
      <c r="AA270" s="13">
        <v>106</v>
      </c>
      <c r="AB270" s="13">
        <v>106</v>
      </c>
      <c r="AC270" s="13">
        <v>0</v>
      </c>
      <c r="AD270" s="13">
        <v>2216.4424999999997</v>
      </c>
      <c r="AE270" s="13">
        <v>155.1782</v>
      </c>
      <c r="AF270" s="13">
        <v>2061.2642999999998</v>
      </c>
      <c r="AG270" s="13">
        <v>77</v>
      </c>
      <c r="AH270" s="13">
        <v>77</v>
      </c>
      <c r="AI270" s="13">
        <v>0</v>
      </c>
      <c r="AJ270" s="13">
        <v>2013.4848999999999</v>
      </c>
      <c r="AK270" s="13">
        <v>112.67830000000001</v>
      </c>
      <c r="AL270" s="13">
        <v>1900.8065999999999</v>
      </c>
      <c r="AM270" s="13">
        <v>60</v>
      </c>
      <c r="AN270" s="13">
        <v>60</v>
      </c>
      <c r="AO270" s="13">
        <v>0</v>
      </c>
      <c r="AP270" s="13">
        <v>2145.9494</v>
      </c>
      <c r="AQ270" s="13">
        <v>121.71379999999999</v>
      </c>
      <c r="AR270" s="13">
        <v>2024.2356</v>
      </c>
      <c r="AS270" s="13">
        <v>88</v>
      </c>
      <c r="AT270" s="13">
        <v>88</v>
      </c>
      <c r="AU270" s="13">
        <v>0</v>
      </c>
      <c r="AV270" s="13">
        <v>2914.3307</v>
      </c>
      <c r="AW270" s="13">
        <v>137.1782</v>
      </c>
      <c r="AX270" s="13">
        <v>2777.1525000000001</v>
      </c>
      <c r="AY270" s="13">
        <v>52</v>
      </c>
      <c r="AZ270" s="13">
        <v>52</v>
      </c>
      <c r="BA270" s="13">
        <v>0</v>
      </c>
      <c r="BB270" s="13">
        <v>2039.2062000000001</v>
      </c>
      <c r="BC270" s="13">
        <v>113.71379999999999</v>
      </c>
      <c r="BD270" s="13">
        <v>1925.4924000000001</v>
      </c>
      <c r="BE270" s="13">
        <v>40</v>
      </c>
      <c r="BF270" s="13">
        <v>40</v>
      </c>
      <c r="BG270" s="13">
        <v>0</v>
      </c>
      <c r="BH270" s="13">
        <v>1902.2348000000002</v>
      </c>
      <c r="BI270" s="13">
        <v>63.142700000000005</v>
      </c>
      <c r="BJ270" s="13">
        <v>1839.0921000000001</v>
      </c>
      <c r="BK270" s="13">
        <v>96</v>
      </c>
      <c r="BL270" s="13">
        <v>96</v>
      </c>
      <c r="BM270" s="13">
        <v>0</v>
      </c>
      <c r="BN270" s="13">
        <v>2592.3507</v>
      </c>
      <c r="BO270" s="13">
        <v>173.14230000000001</v>
      </c>
      <c r="BP270" s="13">
        <v>2419.2084</v>
      </c>
      <c r="BQ270" s="13">
        <v>63</v>
      </c>
      <c r="BR270" s="13">
        <v>63</v>
      </c>
      <c r="BS270" s="13">
        <v>0</v>
      </c>
      <c r="BT270" s="13">
        <v>2061.3921</v>
      </c>
      <c r="BU270" s="13">
        <v>111.2139</v>
      </c>
      <c r="BV270" s="13">
        <v>1950.1782000000001</v>
      </c>
      <c r="BW270" s="13">
        <v>61</v>
      </c>
      <c r="BX270" s="13">
        <v>61</v>
      </c>
      <c r="BY270" s="13">
        <v>0</v>
      </c>
      <c r="BZ270" s="13">
        <v>2022.1707000000001</v>
      </c>
      <c r="CA270" s="13">
        <v>96.678300000000007</v>
      </c>
      <c r="CB270" s="13">
        <v>1925.4924000000001</v>
      </c>
      <c r="CC270" s="13">
        <v>107</v>
      </c>
      <c r="CD270" s="13">
        <v>107</v>
      </c>
      <c r="CE270" s="13">
        <v>0</v>
      </c>
      <c r="CF270" s="13">
        <v>2243.0925999999999</v>
      </c>
      <c r="CG270" s="13">
        <v>157.14249999999998</v>
      </c>
      <c r="CH270" s="13">
        <v>2085.9501</v>
      </c>
      <c r="CI270" s="13">
        <v>65</v>
      </c>
      <c r="CJ270" s="13">
        <v>65</v>
      </c>
      <c r="CK270" s="13">
        <v>0</v>
      </c>
      <c r="CL270" s="13">
        <v>1992.9991</v>
      </c>
      <c r="CM270" s="13">
        <v>104.53540000000001</v>
      </c>
      <c r="CN270" s="13">
        <v>1888.4637</v>
      </c>
      <c r="CO270" s="13">
        <v>74</v>
      </c>
      <c r="CP270" s="13">
        <v>74</v>
      </c>
      <c r="CQ270" s="13">
        <v>0</v>
      </c>
      <c r="CR270" s="13">
        <v>1945.8775000000001</v>
      </c>
      <c r="CS270" s="13">
        <v>106.78540000000001</v>
      </c>
      <c r="CT270" s="13">
        <v>1839.0921000000001</v>
      </c>
      <c r="CU270" s="13">
        <f t="shared" si="28"/>
        <v>889</v>
      </c>
      <c r="CV270" s="13">
        <f t="shared" si="28"/>
        <v>889</v>
      </c>
      <c r="CW270" s="13">
        <f t="shared" si="28"/>
        <v>0</v>
      </c>
      <c r="CX270" s="13">
        <f t="shared" si="24"/>
        <v>26089.531200000001</v>
      </c>
      <c r="CY270" s="13">
        <f t="shared" si="24"/>
        <v>1453.1027999999997</v>
      </c>
      <c r="CZ270" s="13">
        <f t="shared" si="24"/>
        <v>24636.428399999997</v>
      </c>
      <c r="DA270" s="13">
        <f t="shared" si="29"/>
        <v>246</v>
      </c>
      <c r="DB270" s="13">
        <f t="shared" si="29"/>
        <v>246</v>
      </c>
      <c r="DC270" s="13">
        <f t="shared" si="29"/>
        <v>0</v>
      </c>
      <c r="DD270" s="13">
        <f t="shared" si="25"/>
        <v>6181.9691999999995</v>
      </c>
      <c r="DE270" s="13">
        <f t="shared" si="25"/>
        <v>368.4633</v>
      </c>
      <c r="DF270" s="13">
        <f t="shared" si="25"/>
        <v>5813.5059000000001</v>
      </c>
      <c r="DG270" s="13">
        <f t="shared" si="30"/>
        <v>220</v>
      </c>
      <c r="DH270" s="13">
        <f t="shared" si="30"/>
        <v>220</v>
      </c>
      <c r="DI270" s="13">
        <f t="shared" si="30"/>
        <v>0</v>
      </c>
      <c r="DJ270" s="13">
        <f t="shared" si="26"/>
        <v>6675.9135000000006</v>
      </c>
      <c r="DK270" s="13">
        <f t="shared" si="26"/>
        <v>381.03449999999998</v>
      </c>
      <c r="DL270" s="13">
        <f t="shared" si="26"/>
        <v>6294.8789999999999</v>
      </c>
      <c r="DM270" s="13">
        <f t="shared" si="31"/>
        <v>139</v>
      </c>
      <c r="DN270" s="13">
        <f t="shared" si="31"/>
        <v>139</v>
      </c>
      <c r="DO270" s="13">
        <f t="shared" si="31"/>
        <v>0</v>
      </c>
      <c r="DP270" s="13">
        <f t="shared" si="27"/>
        <v>3938.8766000000001</v>
      </c>
      <c r="DQ270" s="13">
        <f t="shared" si="27"/>
        <v>211.32080000000002</v>
      </c>
      <c r="DR270" s="13">
        <f t="shared" si="27"/>
        <v>3727.5558000000001</v>
      </c>
      <c r="DS270" s="14" t="s">
        <v>81</v>
      </c>
      <c r="DT270" s="14" t="s">
        <v>72</v>
      </c>
      <c r="DU270" s="14" t="s">
        <v>113</v>
      </c>
      <c r="DV270" s="14" t="s">
        <v>372</v>
      </c>
      <c r="DW270" s="14" t="s">
        <v>74</v>
      </c>
    </row>
    <row r="271" spans="2:127" x14ac:dyDescent="0.3">
      <c r="B271" s="11" t="s">
        <v>53</v>
      </c>
      <c r="C271" s="14">
        <v>5001341925</v>
      </c>
      <c r="D271" s="11" t="s">
        <v>864</v>
      </c>
      <c r="E271" s="11" t="s">
        <v>803</v>
      </c>
      <c r="F271" s="11" t="s">
        <v>865</v>
      </c>
      <c r="G271" s="11" t="s">
        <v>183</v>
      </c>
      <c r="H271" s="11" t="s">
        <v>58</v>
      </c>
      <c r="I271" s="11">
        <v>92123</v>
      </c>
      <c r="J271" s="11" t="s">
        <v>80</v>
      </c>
      <c r="K271" s="11"/>
      <c r="L271" s="11"/>
      <c r="M271" s="11"/>
      <c r="N271" s="11"/>
      <c r="O271" s="13">
        <v>827</v>
      </c>
      <c r="P271" s="13">
        <v>827</v>
      </c>
      <c r="Q271" s="13">
        <v>0</v>
      </c>
      <c r="R271" s="13">
        <v>15613.978999999999</v>
      </c>
      <c r="S271" s="13">
        <v>1580.1017000000002</v>
      </c>
      <c r="T271" s="13">
        <v>14033.8773</v>
      </c>
      <c r="U271" s="13">
        <v>48</v>
      </c>
      <c r="V271" s="13">
        <v>48</v>
      </c>
      <c r="W271" s="13">
        <v>0</v>
      </c>
      <c r="X271" s="13">
        <v>1141.6960999999999</v>
      </c>
      <c r="Y271" s="13">
        <v>104.8925</v>
      </c>
      <c r="Z271" s="13">
        <v>1036.8036</v>
      </c>
      <c r="AA271" s="13">
        <v>63</v>
      </c>
      <c r="AB271" s="13">
        <v>63</v>
      </c>
      <c r="AC271" s="13">
        <v>0</v>
      </c>
      <c r="AD271" s="13">
        <v>1596.4110000000001</v>
      </c>
      <c r="AE271" s="13">
        <v>189.32040000000001</v>
      </c>
      <c r="AF271" s="13">
        <v>1407.0906</v>
      </c>
      <c r="AG271" s="13">
        <v>64</v>
      </c>
      <c r="AH271" s="13">
        <v>64</v>
      </c>
      <c r="AI271" s="13">
        <v>0</v>
      </c>
      <c r="AJ271" s="13">
        <v>703.51610000000005</v>
      </c>
      <c r="AK271" s="13">
        <v>98.713999999999999</v>
      </c>
      <c r="AL271" s="13">
        <v>604.8021</v>
      </c>
      <c r="AM271" s="13">
        <v>74</v>
      </c>
      <c r="AN271" s="13">
        <v>74</v>
      </c>
      <c r="AO271" s="13">
        <v>0</v>
      </c>
      <c r="AP271" s="13">
        <v>898.85239999999999</v>
      </c>
      <c r="AQ271" s="13">
        <v>121.24969999999999</v>
      </c>
      <c r="AR271" s="13">
        <v>777.60270000000003</v>
      </c>
      <c r="AS271" s="13">
        <v>93</v>
      </c>
      <c r="AT271" s="13">
        <v>93</v>
      </c>
      <c r="AU271" s="13">
        <v>0</v>
      </c>
      <c r="AV271" s="13">
        <v>1046.1028000000001</v>
      </c>
      <c r="AW271" s="13">
        <v>145.0711</v>
      </c>
      <c r="AX271" s="13">
        <v>901.0317</v>
      </c>
      <c r="AY271" s="13">
        <v>41</v>
      </c>
      <c r="AZ271" s="13">
        <v>41</v>
      </c>
      <c r="BA271" s="13">
        <v>0</v>
      </c>
      <c r="BB271" s="13">
        <v>1167.8677</v>
      </c>
      <c r="BC271" s="13">
        <v>94.03540000000001</v>
      </c>
      <c r="BD271" s="13">
        <v>1073.8323</v>
      </c>
      <c r="BE271" s="13">
        <v>98</v>
      </c>
      <c r="BF271" s="13">
        <v>98</v>
      </c>
      <c r="BG271" s="13">
        <v>0</v>
      </c>
      <c r="BH271" s="13">
        <v>1185.7175999999999</v>
      </c>
      <c r="BI271" s="13">
        <v>136.5711</v>
      </c>
      <c r="BJ271" s="13">
        <v>1049.1465000000001</v>
      </c>
      <c r="BK271" s="13">
        <v>56</v>
      </c>
      <c r="BL271" s="13">
        <v>56</v>
      </c>
      <c r="BM271" s="13">
        <v>0</v>
      </c>
      <c r="BN271" s="13">
        <v>1746.0124000000001</v>
      </c>
      <c r="BO271" s="13">
        <v>116.7496</v>
      </c>
      <c r="BP271" s="13">
        <v>1629.2628</v>
      </c>
      <c r="BQ271" s="13">
        <v>70</v>
      </c>
      <c r="BR271" s="13">
        <v>70</v>
      </c>
      <c r="BS271" s="13">
        <v>0</v>
      </c>
      <c r="BT271" s="13">
        <v>1207.4747</v>
      </c>
      <c r="BU271" s="13">
        <v>133.64240000000001</v>
      </c>
      <c r="BV271" s="13">
        <v>1073.8323</v>
      </c>
      <c r="BW271" s="13">
        <v>52</v>
      </c>
      <c r="BX271" s="13">
        <v>52</v>
      </c>
      <c r="BY271" s="13">
        <v>0</v>
      </c>
      <c r="BZ271" s="13">
        <v>1054.2816</v>
      </c>
      <c r="CA271" s="13">
        <v>91.53540000000001</v>
      </c>
      <c r="CB271" s="13">
        <v>962.74620000000004</v>
      </c>
      <c r="CC271" s="13">
        <v>71</v>
      </c>
      <c r="CD271" s="13">
        <v>71</v>
      </c>
      <c r="CE271" s="13">
        <v>0</v>
      </c>
      <c r="CF271" s="13">
        <v>1431.2257</v>
      </c>
      <c r="CG271" s="13">
        <v>110.53540000000001</v>
      </c>
      <c r="CH271" s="13">
        <v>1320.6903</v>
      </c>
      <c r="CI271" s="13">
        <v>45</v>
      </c>
      <c r="CJ271" s="13">
        <v>45</v>
      </c>
      <c r="CK271" s="13">
        <v>0</v>
      </c>
      <c r="CL271" s="13">
        <v>1255.3751</v>
      </c>
      <c r="CM271" s="13">
        <v>95.142499999999998</v>
      </c>
      <c r="CN271" s="13">
        <v>1160.2326</v>
      </c>
      <c r="CO271" s="13">
        <v>52</v>
      </c>
      <c r="CP271" s="13">
        <v>52</v>
      </c>
      <c r="CQ271" s="13">
        <v>0</v>
      </c>
      <c r="CR271" s="13">
        <v>1179.4458</v>
      </c>
      <c r="CS271" s="13">
        <v>142.6422</v>
      </c>
      <c r="CT271" s="13">
        <v>1036.8036</v>
      </c>
      <c r="CU271" s="13">
        <f t="shared" si="28"/>
        <v>779</v>
      </c>
      <c r="CV271" s="13">
        <f t="shared" si="28"/>
        <v>779</v>
      </c>
      <c r="CW271" s="13">
        <f t="shared" si="28"/>
        <v>0</v>
      </c>
      <c r="CX271" s="13">
        <f t="shared" si="24"/>
        <v>14472.282899999998</v>
      </c>
      <c r="CY271" s="13">
        <f t="shared" si="24"/>
        <v>1475.2091999999998</v>
      </c>
      <c r="CZ271" s="13">
        <f t="shared" si="24"/>
        <v>12997.073699999997</v>
      </c>
      <c r="DA271" s="13">
        <f t="shared" si="29"/>
        <v>168</v>
      </c>
      <c r="DB271" s="13">
        <f t="shared" si="29"/>
        <v>168</v>
      </c>
      <c r="DC271" s="13">
        <f t="shared" si="29"/>
        <v>0</v>
      </c>
      <c r="DD271" s="13">
        <f t="shared" si="25"/>
        <v>3866.0466000000001</v>
      </c>
      <c r="DE271" s="13">
        <f t="shared" si="25"/>
        <v>348.32010000000002</v>
      </c>
      <c r="DF271" s="13">
        <f t="shared" si="25"/>
        <v>3517.7264999999998</v>
      </c>
      <c r="DG271" s="13">
        <f t="shared" si="30"/>
        <v>178</v>
      </c>
      <c r="DH271" s="13">
        <f t="shared" si="30"/>
        <v>178</v>
      </c>
      <c r="DI271" s="13">
        <f t="shared" si="30"/>
        <v>0</v>
      </c>
      <c r="DJ271" s="13">
        <f t="shared" si="26"/>
        <v>4007.7687000000005</v>
      </c>
      <c r="DK271" s="13">
        <f t="shared" si="26"/>
        <v>341.92740000000003</v>
      </c>
      <c r="DL271" s="13">
        <f t="shared" si="26"/>
        <v>3665.8413</v>
      </c>
      <c r="DM271" s="13">
        <f t="shared" si="31"/>
        <v>97</v>
      </c>
      <c r="DN271" s="13">
        <f t="shared" si="31"/>
        <v>97</v>
      </c>
      <c r="DO271" s="13">
        <f t="shared" si="31"/>
        <v>0</v>
      </c>
      <c r="DP271" s="13">
        <f t="shared" si="27"/>
        <v>2434.8208999999997</v>
      </c>
      <c r="DQ271" s="13">
        <f t="shared" si="27"/>
        <v>237.78469999999999</v>
      </c>
      <c r="DR271" s="13">
        <f t="shared" si="27"/>
        <v>2197.0362</v>
      </c>
      <c r="DS271" s="14" t="s">
        <v>81</v>
      </c>
      <c r="DT271" s="14" t="s">
        <v>72</v>
      </c>
      <c r="DU271" s="14" t="s">
        <v>113</v>
      </c>
      <c r="DV271" s="14" t="s">
        <v>372</v>
      </c>
      <c r="DW271" s="14" t="s">
        <v>74</v>
      </c>
    </row>
    <row r="272" spans="2:127" x14ac:dyDescent="0.3">
      <c r="B272" s="11" t="s">
        <v>65</v>
      </c>
      <c r="C272" s="14">
        <v>5001342024</v>
      </c>
      <c r="D272" s="11" t="s">
        <v>866</v>
      </c>
      <c r="E272" s="11" t="s">
        <v>803</v>
      </c>
      <c r="F272" s="11" t="s">
        <v>867</v>
      </c>
      <c r="G272" s="11" t="s">
        <v>868</v>
      </c>
      <c r="H272" s="11" t="s">
        <v>253</v>
      </c>
      <c r="I272" s="11">
        <v>6810</v>
      </c>
      <c r="J272" s="11" t="s">
        <v>80</v>
      </c>
      <c r="K272" s="11"/>
      <c r="L272" s="11"/>
      <c r="M272" s="11"/>
      <c r="N272" s="11"/>
      <c r="O272" s="13">
        <v>254</v>
      </c>
      <c r="P272" s="13">
        <v>254</v>
      </c>
      <c r="Q272" s="13">
        <v>0</v>
      </c>
      <c r="R272" s="13">
        <v>25603.228800000001</v>
      </c>
      <c r="S272" s="13">
        <v>485.4273</v>
      </c>
      <c r="T272" s="13">
        <v>25117.801500000001</v>
      </c>
      <c r="U272" s="13">
        <v>0</v>
      </c>
      <c r="V272" s="13">
        <v>0</v>
      </c>
      <c r="W272" s="13">
        <v>0</v>
      </c>
      <c r="X272" s="13">
        <v>1807.0775999999998</v>
      </c>
      <c r="Y272" s="13">
        <v>17.357099999999999</v>
      </c>
      <c r="Z272" s="13">
        <v>1789.7204999999999</v>
      </c>
      <c r="AA272" s="13">
        <v>0</v>
      </c>
      <c r="AB272" s="13">
        <v>0</v>
      </c>
      <c r="AC272" s="13">
        <v>0</v>
      </c>
      <c r="AD272" s="13">
        <v>1964.6424</v>
      </c>
      <c r="AE272" s="13">
        <v>14.4642</v>
      </c>
      <c r="AF272" s="13">
        <v>1950.1782000000001</v>
      </c>
      <c r="AG272" s="13">
        <v>21</v>
      </c>
      <c r="AH272" s="13">
        <v>21</v>
      </c>
      <c r="AI272" s="13">
        <v>0</v>
      </c>
      <c r="AJ272" s="13">
        <v>1585.8482000000001</v>
      </c>
      <c r="AK272" s="13">
        <v>30.642800000000001</v>
      </c>
      <c r="AL272" s="13">
        <v>1555.2054000000001</v>
      </c>
      <c r="AM272" s="13">
        <v>21</v>
      </c>
      <c r="AN272" s="13">
        <v>21</v>
      </c>
      <c r="AO272" s="13">
        <v>0</v>
      </c>
      <c r="AP272" s="13">
        <v>1687.6770000000001</v>
      </c>
      <c r="AQ272" s="13">
        <v>46.071300000000001</v>
      </c>
      <c r="AR272" s="13">
        <v>1641.6057000000001</v>
      </c>
      <c r="AS272" s="13">
        <v>21</v>
      </c>
      <c r="AT272" s="13">
        <v>21</v>
      </c>
      <c r="AU272" s="13">
        <v>0</v>
      </c>
      <c r="AV272" s="13">
        <v>1801.4631999999999</v>
      </c>
      <c r="AW272" s="13">
        <v>36.4285</v>
      </c>
      <c r="AX272" s="13">
        <v>1765.0346999999999</v>
      </c>
      <c r="AY272" s="13">
        <v>14</v>
      </c>
      <c r="AZ272" s="13">
        <v>14</v>
      </c>
      <c r="BA272" s="13">
        <v>0</v>
      </c>
      <c r="BB272" s="13">
        <v>1631.3054</v>
      </c>
      <c r="BC272" s="13">
        <v>39.071300000000001</v>
      </c>
      <c r="BD272" s="13">
        <v>1592.2340999999999</v>
      </c>
      <c r="BE272" s="13">
        <v>14</v>
      </c>
      <c r="BF272" s="13">
        <v>14</v>
      </c>
      <c r="BG272" s="13">
        <v>0</v>
      </c>
      <c r="BH272" s="13">
        <v>1667.3697999999999</v>
      </c>
      <c r="BI272" s="13">
        <v>38.106999999999999</v>
      </c>
      <c r="BJ272" s="13">
        <v>1629.2628</v>
      </c>
      <c r="BK272" s="13">
        <v>14</v>
      </c>
      <c r="BL272" s="13">
        <v>14</v>
      </c>
      <c r="BM272" s="13">
        <v>0</v>
      </c>
      <c r="BN272" s="13">
        <v>2461.558</v>
      </c>
      <c r="BO272" s="13">
        <v>67.03540000000001</v>
      </c>
      <c r="BP272" s="13">
        <v>2394.5225999999998</v>
      </c>
      <c r="BQ272" s="13">
        <v>14</v>
      </c>
      <c r="BR272" s="13">
        <v>14</v>
      </c>
      <c r="BS272" s="13">
        <v>0</v>
      </c>
      <c r="BT272" s="13">
        <v>2024.1569</v>
      </c>
      <c r="BU272" s="13">
        <v>24.607100000000003</v>
      </c>
      <c r="BV272" s="13">
        <v>1999.5498</v>
      </c>
      <c r="BW272" s="13">
        <v>14</v>
      </c>
      <c r="BX272" s="13">
        <v>14</v>
      </c>
      <c r="BY272" s="13">
        <v>0</v>
      </c>
      <c r="BZ272" s="13">
        <v>2084.9070999999999</v>
      </c>
      <c r="CA272" s="13">
        <v>23.642800000000001</v>
      </c>
      <c r="CB272" s="13">
        <v>2061.2642999999998</v>
      </c>
      <c r="CC272" s="13">
        <v>41</v>
      </c>
      <c r="CD272" s="13">
        <v>41</v>
      </c>
      <c r="CE272" s="13">
        <v>0</v>
      </c>
      <c r="CF272" s="13">
        <v>2654.9947000000002</v>
      </c>
      <c r="CG272" s="13">
        <v>50.642800000000001</v>
      </c>
      <c r="CH272" s="13">
        <v>2604.3519000000001</v>
      </c>
      <c r="CI272" s="13">
        <v>46</v>
      </c>
      <c r="CJ272" s="13">
        <v>46</v>
      </c>
      <c r="CK272" s="13">
        <v>0</v>
      </c>
      <c r="CL272" s="13">
        <v>1991.5494999999999</v>
      </c>
      <c r="CM272" s="13">
        <v>53.714199999999998</v>
      </c>
      <c r="CN272" s="13">
        <v>1937.8353</v>
      </c>
      <c r="CO272" s="13">
        <v>34</v>
      </c>
      <c r="CP272" s="13">
        <v>34</v>
      </c>
      <c r="CQ272" s="13">
        <v>0</v>
      </c>
      <c r="CR272" s="13">
        <v>2240.6790000000001</v>
      </c>
      <c r="CS272" s="13">
        <v>43.642800000000001</v>
      </c>
      <c r="CT272" s="13">
        <v>2197.0362</v>
      </c>
      <c r="CU272" s="13">
        <f t="shared" si="28"/>
        <v>254</v>
      </c>
      <c r="CV272" s="13">
        <f t="shared" si="28"/>
        <v>254</v>
      </c>
      <c r="CW272" s="13">
        <f t="shared" si="28"/>
        <v>0</v>
      </c>
      <c r="CX272" s="13">
        <f t="shared" si="24"/>
        <v>23796.1512</v>
      </c>
      <c r="CY272" s="13">
        <f t="shared" si="24"/>
        <v>468.07020000000011</v>
      </c>
      <c r="CZ272" s="13">
        <f t="shared" si="24"/>
        <v>23328.081000000002</v>
      </c>
      <c r="DA272" s="13">
        <f t="shared" si="29"/>
        <v>121</v>
      </c>
      <c r="DB272" s="13">
        <f t="shared" si="29"/>
        <v>121</v>
      </c>
      <c r="DC272" s="13">
        <f t="shared" si="29"/>
        <v>0</v>
      </c>
      <c r="DD272" s="13">
        <f t="shared" si="25"/>
        <v>6887.2232000000004</v>
      </c>
      <c r="DE272" s="13">
        <f t="shared" si="25"/>
        <v>147.99979999999999</v>
      </c>
      <c r="DF272" s="13">
        <f t="shared" si="25"/>
        <v>6739.2234000000008</v>
      </c>
      <c r="DG272" s="13">
        <f t="shared" si="30"/>
        <v>42</v>
      </c>
      <c r="DH272" s="13">
        <f t="shared" si="30"/>
        <v>42</v>
      </c>
      <c r="DI272" s="13">
        <f t="shared" si="30"/>
        <v>0</v>
      </c>
      <c r="DJ272" s="13">
        <f t="shared" si="26"/>
        <v>6570.6219999999994</v>
      </c>
      <c r="DK272" s="13">
        <f t="shared" si="26"/>
        <v>115.28530000000001</v>
      </c>
      <c r="DL272" s="13">
        <f t="shared" si="26"/>
        <v>6455.3366999999998</v>
      </c>
      <c r="DM272" s="13">
        <f t="shared" si="31"/>
        <v>80</v>
      </c>
      <c r="DN272" s="13">
        <f t="shared" si="31"/>
        <v>80</v>
      </c>
      <c r="DO272" s="13">
        <f t="shared" si="31"/>
        <v>0</v>
      </c>
      <c r="DP272" s="13">
        <f t="shared" si="27"/>
        <v>4232.2285000000002</v>
      </c>
      <c r="DQ272" s="13">
        <f t="shared" si="27"/>
        <v>97.356999999999999</v>
      </c>
      <c r="DR272" s="13">
        <f t="shared" si="27"/>
        <v>4134.8715000000002</v>
      </c>
      <c r="DS272" s="14" t="s">
        <v>81</v>
      </c>
      <c r="DT272" s="14" t="s">
        <v>72</v>
      </c>
      <c r="DU272" s="14" t="s">
        <v>113</v>
      </c>
      <c r="DV272" s="14" t="s">
        <v>372</v>
      </c>
      <c r="DW272" s="14" t="s">
        <v>74</v>
      </c>
    </row>
    <row r="273" spans="2:127" x14ac:dyDescent="0.3">
      <c r="B273" s="11" t="s">
        <v>65</v>
      </c>
      <c r="C273" s="14">
        <v>5001341970</v>
      </c>
      <c r="D273" s="11" t="s">
        <v>869</v>
      </c>
      <c r="E273" s="11" t="s">
        <v>803</v>
      </c>
      <c r="F273" s="11" t="s">
        <v>870</v>
      </c>
      <c r="G273" s="11" t="s">
        <v>871</v>
      </c>
      <c r="H273" s="11" t="s">
        <v>462</v>
      </c>
      <c r="I273" s="11">
        <v>4101</v>
      </c>
      <c r="J273" s="11" t="s">
        <v>80</v>
      </c>
      <c r="K273" s="11"/>
      <c r="L273" s="11"/>
      <c r="M273" s="11"/>
      <c r="N273" s="11"/>
      <c r="O273" s="13">
        <v>839</v>
      </c>
      <c r="P273" s="13">
        <v>839</v>
      </c>
      <c r="Q273" s="13">
        <v>0</v>
      </c>
      <c r="R273" s="13">
        <v>25275.427500000002</v>
      </c>
      <c r="S273" s="13">
        <v>1416.6017999999999</v>
      </c>
      <c r="T273" s="13">
        <v>23858.825700000001</v>
      </c>
      <c r="U273" s="13">
        <v>41</v>
      </c>
      <c r="V273" s="13">
        <v>41</v>
      </c>
      <c r="W273" s="13">
        <v>0</v>
      </c>
      <c r="X273" s="13">
        <v>1519.4471000000001</v>
      </c>
      <c r="Y273" s="13">
        <v>112.3565</v>
      </c>
      <c r="Z273" s="13">
        <v>1407.0906</v>
      </c>
      <c r="AA273" s="13">
        <v>36</v>
      </c>
      <c r="AB273" s="13">
        <v>36</v>
      </c>
      <c r="AC273" s="13">
        <v>0</v>
      </c>
      <c r="AD273" s="13">
        <v>1978.8487</v>
      </c>
      <c r="AE273" s="13">
        <v>115.07080000000001</v>
      </c>
      <c r="AF273" s="13">
        <v>1863.7779</v>
      </c>
      <c r="AG273" s="13">
        <v>27</v>
      </c>
      <c r="AH273" s="13">
        <v>27</v>
      </c>
      <c r="AI273" s="13">
        <v>0</v>
      </c>
      <c r="AJ273" s="13">
        <v>1819.8053</v>
      </c>
      <c r="AK273" s="13">
        <v>104.1422</v>
      </c>
      <c r="AL273" s="13">
        <v>1715.6631</v>
      </c>
      <c r="AM273" s="13">
        <v>27</v>
      </c>
      <c r="AN273" s="13">
        <v>27</v>
      </c>
      <c r="AO273" s="13">
        <v>0</v>
      </c>
      <c r="AP273" s="13">
        <v>1694.0623000000001</v>
      </c>
      <c r="AQ273" s="13">
        <v>77.142400000000009</v>
      </c>
      <c r="AR273" s="13">
        <v>1616.9199000000001</v>
      </c>
      <c r="AS273" s="13">
        <v>44</v>
      </c>
      <c r="AT273" s="13">
        <v>44</v>
      </c>
      <c r="AU273" s="13">
        <v>0</v>
      </c>
      <c r="AV273" s="13">
        <v>1972.5771999999999</v>
      </c>
      <c r="AW273" s="13">
        <v>121.1422</v>
      </c>
      <c r="AX273" s="13">
        <v>1851.4349999999999</v>
      </c>
      <c r="AY273" s="13">
        <v>59</v>
      </c>
      <c r="AZ273" s="13">
        <v>59</v>
      </c>
      <c r="BA273" s="13">
        <v>0</v>
      </c>
      <c r="BB273" s="13">
        <v>1911.3984999999998</v>
      </c>
      <c r="BC273" s="13">
        <v>121.678</v>
      </c>
      <c r="BD273" s="13">
        <v>1789.7204999999999</v>
      </c>
      <c r="BE273" s="13">
        <v>69</v>
      </c>
      <c r="BF273" s="13">
        <v>69</v>
      </c>
      <c r="BG273" s="13">
        <v>0</v>
      </c>
      <c r="BH273" s="13">
        <v>1611.0909000000001</v>
      </c>
      <c r="BI273" s="13">
        <v>80.571300000000008</v>
      </c>
      <c r="BJ273" s="13">
        <v>1530.5196000000001</v>
      </c>
      <c r="BK273" s="13">
        <v>57</v>
      </c>
      <c r="BL273" s="13">
        <v>57</v>
      </c>
      <c r="BM273" s="13">
        <v>0</v>
      </c>
      <c r="BN273" s="13">
        <v>2397.3287</v>
      </c>
      <c r="BO273" s="13">
        <v>113.8922</v>
      </c>
      <c r="BP273" s="13">
        <v>2283.4364999999998</v>
      </c>
      <c r="BQ273" s="13">
        <v>56</v>
      </c>
      <c r="BR273" s="13">
        <v>56</v>
      </c>
      <c r="BS273" s="13">
        <v>0</v>
      </c>
      <c r="BT273" s="13">
        <v>1917.4630999999999</v>
      </c>
      <c r="BU273" s="13">
        <v>90.713899999999995</v>
      </c>
      <c r="BV273" s="13">
        <v>1826.7492</v>
      </c>
      <c r="BW273" s="13">
        <v>83</v>
      </c>
      <c r="BX273" s="13">
        <v>83</v>
      </c>
      <c r="BY273" s="13">
        <v>0</v>
      </c>
      <c r="BZ273" s="13">
        <v>1995.3779</v>
      </c>
      <c r="CA273" s="13">
        <v>94.571300000000008</v>
      </c>
      <c r="CB273" s="13">
        <v>1900.8065999999999</v>
      </c>
      <c r="CC273" s="13">
        <v>86</v>
      </c>
      <c r="CD273" s="13">
        <v>86</v>
      </c>
      <c r="CE273" s="13">
        <v>0</v>
      </c>
      <c r="CF273" s="13">
        <v>2132.4139999999998</v>
      </c>
      <c r="CG273" s="13">
        <v>108.1784</v>
      </c>
      <c r="CH273" s="13">
        <v>2024.2356</v>
      </c>
      <c r="CI273" s="13">
        <v>96</v>
      </c>
      <c r="CJ273" s="13">
        <v>96</v>
      </c>
      <c r="CK273" s="13">
        <v>0</v>
      </c>
      <c r="CL273" s="13">
        <v>2205.8643000000002</v>
      </c>
      <c r="CM273" s="13">
        <v>107.57130000000001</v>
      </c>
      <c r="CN273" s="13">
        <v>2098.2930000000001</v>
      </c>
      <c r="CO273" s="13">
        <v>158</v>
      </c>
      <c r="CP273" s="13">
        <v>158</v>
      </c>
      <c r="CQ273" s="13">
        <v>0</v>
      </c>
      <c r="CR273" s="13">
        <v>2119.7494999999999</v>
      </c>
      <c r="CS273" s="13">
        <v>169.57130000000001</v>
      </c>
      <c r="CT273" s="13">
        <v>1950.1782000000001</v>
      </c>
      <c r="CU273" s="13">
        <f t="shared" si="28"/>
        <v>798</v>
      </c>
      <c r="CV273" s="13">
        <f t="shared" si="28"/>
        <v>798</v>
      </c>
      <c r="CW273" s="13">
        <f t="shared" si="28"/>
        <v>0</v>
      </c>
      <c r="CX273" s="13">
        <f t="shared" si="24"/>
        <v>23755.9804</v>
      </c>
      <c r="CY273" s="13">
        <f t="shared" si="24"/>
        <v>1304.2453000000003</v>
      </c>
      <c r="CZ273" s="13">
        <f t="shared" si="24"/>
        <v>22451.735099999998</v>
      </c>
      <c r="DA273" s="13">
        <f t="shared" si="29"/>
        <v>340</v>
      </c>
      <c r="DB273" s="13">
        <f t="shared" si="29"/>
        <v>340</v>
      </c>
      <c r="DC273" s="13">
        <f t="shared" si="29"/>
        <v>0</v>
      </c>
      <c r="DD273" s="13">
        <f t="shared" si="25"/>
        <v>6458.0277999999998</v>
      </c>
      <c r="DE273" s="13">
        <f t="shared" si="25"/>
        <v>385.32100000000003</v>
      </c>
      <c r="DF273" s="13">
        <f t="shared" si="25"/>
        <v>6072.7067999999999</v>
      </c>
      <c r="DG273" s="13">
        <f t="shared" si="30"/>
        <v>196</v>
      </c>
      <c r="DH273" s="13">
        <f t="shared" si="30"/>
        <v>196</v>
      </c>
      <c r="DI273" s="13">
        <f t="shared" si="30"/>
        <v>0</v>
      </c>
      <c r="DJ273" s="13">
        <f t="shared" si="26"/>
        <v>6310.1697000000004</v>
      </c>
      <c r="DK273" s="13">
        <f t="shared" si="26"/>
        <v>299.17740000000003</v>
      </c>
      <c r="DL273" s="13">
        <f t="shared" si="26"/>
        <v>6010.9922999999999</v>
      </c>
      <c r="DM273" s="13">
        <f t="shared" si="31"/>
        <v>254</v>
      </c>
      <c r="DN273" s="13">
        <f t="shared" si="31"/>
        <v>254</v>
      </c>
      <c r="DO273" s="13">
        <f t="shared" si="31"/>
        <v>0</v>
      </c>
      <c r="DP273" s="13">
        <f t="shared" si="27"/>
        <v>4325.6138000000001</v>
      </c>
      <c r="DQ273" s="13">
        <f t="shared" si="27"/>
        <v>277.14260000000002</v>
      </c>
      <c r="DR273" s="13">
        <f t="shared" si="27"/>
        <v>4048.4712</v>
      </c>
      <c r="DS273" s="14" t="s">
        <v>81</v>
      </c>
      <c r="DT273" s="14" t="s">
        <v>72</v>
      </c>
      <c r="DU273" s="14" t="s">
        <v>113</v>
      </c>
      <c r="DV273" s="14" t="s">
        <v>372</v>
      </c>
      <c r="DW273" s="14" t="s">
        <v>74</v>
      </c>
    </row>
    <row r="274" spans="2:127" x14ac:dyDescent="0.3">
      <c r="B274" s="11" t="s">
        <v>65</v>
      </c>
      <c r="C274" s="14">
        <v>5001337465</v>
      </c>
      <c r="D274" s="11" t="s">
        <v>872</v>
      </c>
      <c r="E274" s="11" t="s">
        <v>803</v>
      </c>
      <c r="F274" s="11" t="s">
        <v>873</v>
      </c>
      <c r="G274" s="11" t="s">
        <v>874</v>
      </c>
      <c r="H274" s="11" t="s">
        <v>206</v>
      </c>
      <c r="I274" s="11">
        <v>10940</v>
      </c>
      <c r="J274" s="11" t="s">
        <v>80</v>
      </c>
      <c r="K274" s="11"/>
      <c r="L274" s="11"/>
      <c r="M274" s="11"/>
      <c r="N274" s="11"/>
      <c r="O274" s="13">
        <v>160</v>
      </c>
      <c r="P274" s="13">
        <v>160</v>
      </c>
      <c r="Q274" s="13">
        <v>0</v>
      </c>
      <c r="R274" s="13">
        <v>1126.4088999999999</v>
      </c>
      <c r="S274" s="13">
        <v>274.74880000000002</v>
      </c>
      <c r="T274" s="13">
        <v>851.66010000000006</v>
      </c>
      <c r="U274" s="13">
        <v>0</v>
      </c>
      <c r="V274" s="13">
        <v>0</v>
      </c>
      <c r="W274" s="13">
        <v>0</v>
      </c>
      <c r="X274" s="13">
        <v>61.135599999999997</v>
      </c>
      <c r="Y274" s="13">
        <v>24.1069</v>
      </c>
      <c r="Z274" s="13">
        <v>37.028700000000001</v>
      </c>
      <c r="AA274" s="13">
        <v>8</v>
      </c>
      <c r="AB274" s="13">
        <v>8</v>
      </c>
      <c r="AC274" s="13">
        <v>0</v>
      </c>
      <c r="AD274" s="13">
        <v>78.393000000000001</v>
      </c>
      <c r="AE274" s="13">
        <v>16.6785</v>
      </c>
      <c r="AF274" s="13">
        <v>61.714500000000001</v>
      </c>
      <c r="AG274" s="13">
        <v>16</v>
      </c>
      <c r="AH274" s="13">
        <v>16</v>
      </c>
      <c r="AI274" s="13">
        <v>0</v>
      </c>
      <c r="AJ274" s="13">
        <v>120.91419999999999</v>
      </c>
      <c r="AK274" s="13">
        <v>46.8568</v>
      </c>
      <c r="AL274" s="13">
        <v>74.057400000000001</v>
      </c>
      <c r="AM274" s="13">
        <v>16</v>
      </c>
      <c r="AN274" s="13">
        <v>16</v>
      </c>
      <c r="AO274" s="13">
        <v>0</v>
      </c>
      <c r="AP274" s="13">
        <v>77.714500000000001</v>
      </c>
      <c r="AQ274" s="13">
        <v>16</v>
      </c>
      <c r="AR274" s="13">
        <v>61.714500000000001</v>
      </c>
      <c r="AS274" s="13">
        <v>8</v>
      </c>
      <c r="AT274" s="13">
        <v>8</v>
      </c>
      <c r="AU274" s="13">
        <v>0</v>
      </c>
      <c r="AV274" s="13">
        <v>130.6574</v>
      </c>
      <c r="AW274" s="13">
        <v>19.571300000000001</v>
      </c>
      <c r="AX274" s="13">
        <v>111.0861</v>
      </c>
      <c r="AY274" s="13">
        <v>0</v>
      </c>
      <c r="AZ274" s="13">
        <v>0</v>
      </c>
      <c r="BA274" s="13">
        <v>0</v>
      </c>
      <c r="BB274" s="13">
        <v>60.171300000000002</v>
      </c>
      <c r="BC274" s="13">
        <v>23.142600000000002</v>
      </c>
      <c r="BD274" s="13">
        <v>37.028700000000001</v>
      </c>
      <c r="BE274" s="13">
        <v>16</v>
      </c>
      <c r="BF274" s="13">
        <v>16</v>
      </c>
      <c r="BG274" s="13">
        <v>0</v>
      </c>
      <c r="BH274" s="13">
        <v>70.192999999999998</v>
      </c>
      <c r="BI274" s="13">
        <v>20.821400000000001</v>
      </c>
      <c r="BJ274" s="13">
        <v>49.371600000000001</v>
      </c>
      <c r="BK274" s="13">
        <v>24</v>
      </c>
      <c r="BL274" s="13">
        <v>24</v>
      </c>
      <c r="BM274" s="13">
        <v>0</v>
      </c>
      <c r="BN274" s="13">
        <v>109.62870000000001</v>
      </c>
      <c r="BO274" s="13">
        <v>35.571300000000001</v>
      </c>
      <c r="BP274" s="13">
        <v>74.057400000000001</v>
      </c>
      <c r="BQ274" s="13">
        <v>16</v>
      </c>
      <c r="BR274" s="13">
        <v>16</v>
      </c>
      <c r="BS274" s="13">
        <v>0</v>
      </c>
      <c r="BT274" s="13">
        <v>77.714500000000001</v>
      </c>
      <c r="BU274" s="13">
        <v>16</v>
      </c>
      <c r="BV274" s="13">
        <v>61.714500000000001</v>
      </c>
      <c r="BW274" s="13">
        <v>16</v>
      </c>
      <c r="BX274" s="13">
        <v>16</v>
      </c>
      <c r="BY274" s="13">
        <v>0</v>
      </c>
      <c r="BZ274" s="13">
        <v>90.057400000000001</v>
      </c>
      <c r="CA274" s="13">
        <v>16</v>
      </c>
      <c r="CB274" s="13">
        <v>74.057400000000001</v>
      </c>
      <c r="CC274" s="13">
        <v>16</v>
      </c>
      <c r="CD274" s="13">
        <v>16</v>
      </c>
      <c r="CE274" s="13">
        <v>0</v>
      </c>
      <c r="CF274" s="13">
        <v>90.057400000000001</v>
      </c>
      <c r="CG274" s="13">
        <v>16</v>
      </c>
      <c r="CH274" s="13">
        <v>74.057400000000001</v>
      </c>
      <c r="CI274" s="13">
        <v>16</v>
      </c>
      <c r="CJ274" s="13">
        <v>16</v>
      </c>
      <c r="CK274" s="13">
        <v>0</v>
      </c>
      <c r="CL274" s="13">
        <v>77.714500000000001</v>
      </c>
      <c r="CM274" s="13">
        <v>16</v>
      </c>
      <c r="CN274" s="13">
        <v>61.714500000000001</v>
      </c>
      <c r="CO274" s="13">
        <v>8</v>
      </c>
      <c r="CP274" s="13">
        <v>8</v>
      </c>
      <c r="CQ274" s="13">
        <v>0</v>
      </c>
      <c r="CR274" s="13">
        <v>82.057400000000001</v>
      </c>
      <c r="CS274" s="13">
        <v>8</v>
      </c>
      <c r="CT274" s="13">
        <v>74.057400000000001</v>
      </c>
      <c r="CU274" s="13">
        <f t="shared" si="28"/>
        <v>160</v>
      </c>
      <c r="CV274" s="13">
        <f t="shared" si="28"/>
        <v>160</v>
      </c>
      <c r="CW274" s="13">
        <f t="shared" si="28"/>
        <v>0</v>
      </c>
      <c r="CX274" s="13">
        <f t="shared" si="24"/>
        <v>1065.2733000000001</v>
      </c>
      <c r="CY274" s="13">
        <f t="shared" si="24"/>
        <v>250.64190000000002</v>
      </c>
      <c r="CZ274" s="13">
        <f t="shared" si="24"/>
        <v>814.63140000000021</v>
      </c>
      <c r="DA274" s="13">
        <f t="shared" si="29"/>
        <v>40</v>
      </c>
      <c r="DB274" s="13">
        <f t="shared" si="29"/>
        <v>40</v>
      </c>
      <c r="DC274" s="13">
        <f t="shared" si="29"/>
        <v>0</v>
      </c>
      <c r="DD274" s="13">
        <f t="shared" si="25"/>
        <v>249.82930000000002</v>
      </c>
      <c r="DE274" s="13">
        <f t="shared" si="25"/>
        <v>40</v>
      </c>
      <c r="DF274" s="13">
        <f t="shared" si="25"/>
        <v>209.82930000000002</v>
      </c>
      <c r="DG274" s="13">
        <f t="shared" si="30"/>
        <v>56</v>
      </c>
      <c r="DH274" s="13">
        <f t="shared" si="30"/>
        <v>56</v>
      </c>
      <c r="DI274" s="13">
        <f t="shared" si="30"/>
        <v>0</v>
      </c>
      <c r="DJ274" s="13">
        <f t="shared" si="26"/>
        <v>277.40060000000005</v>
      </c>
      <c r="DK274" s="13">
        <f t="shared" si="26"/>
        <v>67.571300000000008</v>
      </c>
      <c r="DL274" s="13">
        <f t="shared" si="26"/>
        <v>209.82930000000002</v>
      </c>
      <c r="DM274" s="13">
        <f t="shared" si="31"/>
        <v>24</v>
      </c>
      <c r="DN274" s="13">
        <f t="shared" si="31"/>
        <v>24</v>
      </c>
      <c r="DO274" s="13">
        <f t="shared" si="31"/>
        <v>0</v>
      </c>
      <c r="DP274" s="13">
        <f t="shared" si="27"/>
        <v>159.77190000000002</v>
      </c>
      <c r="DQ274" s="13">
        <f t="shared" si="27"/>
        <v>24</v>
      </c>
      <c r="DR274" s="13">
        <f t="shared" si="27"/>
        <v>135.77190000000002</v>
      </c>
      <c r="DS274" s="14" t="s">
        <v>81</v>
      </c>
      <c r="DT274" s="14" t="s">
        <v>72</v>
      </c>
      <c r="DU274" s="14" t="s">
        <v>113</v>
      </c>
      <c r="DV274" s="14" t="s">
        <v>372</v>
      </c>
      <c r="DW274" s="14" t="s">
        <v>74</v>
      </c>
    </row>
    <row r="275" spans="2:127" x14ac:dyDescent="0.3">
      <c r="B275" s="11" t="s">
        <v>75</v>
      </c>
      <c r="C275" s="14" t="s">
        <v>875</v>
      </c>
      <c r="D275" s="11" t="s">
        <v>876</v>
      </c>
      <c r="E275" s="11" t="s">
        <v>803</v>
      </c>
      <c r="F275" s="11" t="s">
        <v>877</v>
      </c>
      <c r="G275" s="11" t="s">
        <v>878</v>
      </c>
      <c r="H275" s="11" t="s">
        <v>220</v>
      </c>
      <c r="I275" s="11">
        <v>28803</v>
      </c>
      <c r="J275" s="11" t="s">
        <v>70</v>
      </c>
      <c r="K275" s="11"/>
      <c r="L275" s="11"/>
      <c r="M275" s="11"/>
      <c r="N275" s="11"/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0</v>
      </c>
      <c r="BD275" s="13">
        <v>0</v>
      </c>
      <c r="BE275" s="13">
        <v>0</v>
      </c>
      <c r="BF275" s="13">
        <v>0</v>
      </c>
      <c r="BG275" s="13">
        <v>0</v>
      </c>
      <c r="BH275" s="13">
        <v>0</v>
      </c>
      <c r="BI275" s="13">
        <v>0</v>
      </c>
      <c r="BJ275" s="13">
        <v>0</v>
      </c>
      <c r="BK275" s="13">
        <v>0</v>
      </c>
      <c r="BL275" s="13">
        <v>0</v>
      </c>
      <c r="BM275" s="13">
        <v>0</v>
      </c>
      <c r="BN275" s="13">
        <v>0</v>
      </c>
      <c r="BO275" s="13">
        <v>0</v>
      </c>
      <c r="BP275" s="13">
        <v>0</v>
      </c>
      <c r="BQ275" s="13">
        <v>0</v>
      </c>
      <c r="BR275" s="13">
        <v>0</v>
      </c>
      <c r="BS275" s="13">
        <v>0</v>
      </c>
      <c r="BT275" s="13">
        <v>0</v>
      </c>
      <c r="BU275" s="13">
        <v>0</v>
      </c>
      <c r="BV275" s="13">
        <v>0</v>
      </c>
      <c r="BW275" s="13">
        <v>0</v>
      </c>
      <c r="BX275" s="13">
        <v>0</v>
      </c>
      <c r="BY275" s="13">
        <v>0</v>
      </c>
      <c r="BZ275" s="13">
        <v>0</v>
      </c>
      <c r="CA275" s="13">
        <v>0</v>
      </c>
      <c r="CB275" s="13">
        <v>0</v>
      </c>
      <c r="CC275" s="13">
        <v>0</v>
      </c>
      <c r="CD275" s="13">
        <v>0</v>
      </c>
      <c r="CE275" s="13">
        <v>0</v>
      </c>
      <c r="CF275" s="13">
        <v>0</v>
      </c>
      <c r="CG275" s="13">
        <v>0</v>
      </c>
      <c r="CH275" s="13">
        <v>0</v>
      </c>
      <c r="CI275" s="13">
        <v>0</v>
      </c>
      <c r="CJ275" s="13">
        <v>0</v>
      </c>
      <c r="CK275" s="13">
        <v>0</v>
      </c>
      <c r="CL275" s="13">
        <v>0</v>
      </c>
      <c r="CM275" s="13">
        <v>0</v>
      </c>
      <c r="CN275" s="13">
        <v>0</v>
      </c>
      <c r="CO275" s="13">
        <v>0</v>
      </c>
      <c r="CP275" s="13">
        <v>0</v>
      </c>
      <c r="CQ275" s="13">
        <v>0</v>
      </c>
      <c r="CR275" s="13">
        <v>0</v>
      </c>
      <c r="CS275" s="13">
        <v>0</v>
      </c>
      <c r="CT275" s="13">
        <v>0</v>
      </c>
      <c r="CU275" s="13">
        <f t="shared" si="28"/>
        <v>0</v>
      </c>
      <c r="CV275" s="13">
        <f t="shared" si="28"/>
        <v>0</v>
      </c>
      <c r="CW275" s="13">
        <f t="shared" si="28"/>
        <v>0</v>
      </c>
      <c r="CX275" s="13">
        <f t="shared" si="28"/>
        <v>0</v>
      </c>
      <c r="CY275" s="13">
        <f t="shared" si="28"/>
        <v>0</v>
      </c>
      <c r="CZ275" s="13">
        <f t="shared" si="28"/>
        <v>0</v>
      </c>
      <c r="DA275" s="13">
        <f t="shared" si="29"/>
        <v>0</v>
      </c>
      <c r="DB275" s="13">
        <f t="shared" si="29"/>
        <v>0</v>
      </c>
      <c r="DC275" s="13">
        <f t="shared" si="29"/>
        <v>0</v>
      </c>
      <c r="DD275" s="13">
        <f t="shared" si="29"/>
        <v>0</v>
      </c>
      <c r="DE275" s="13">
        <f t="shared" si="29"/>
        <v>0</v>
      </c>
      <c r="DF275" s="13">
        <f t="shared" si="29"/>
        <v>0</v>
      </c>
      <c r="DG275" s="13">
        <f t="shared" si="30"/>
        <v>0</v>
      </c>
      <c r="DH275" s="13">
        <f t="shared" si="30"/>
        <v>0</v>
      </c>
      <c r="DI275" s="13">
        <f t="shared" si="30"/>
        <v>0</v>
      </c>
      <c r="DJ275" s="13">
        <f t="shared" si="30"/>
        <v>0</v>
      </c>
      <c r="DK275" s="13">
        <f t="shared" si="30"/>
        <v>0</v>
      </c>
      <c r="DL275" s="13">
        <f t="shared" si="30"/>
        <v>0</v>
      </c>
      <c r="DM275" s="13">
        <f t="shared" si="31"/>
        <v>0</v>
      </c>
      <c r="DN275" s="13">
        <f t="shared" si="31"/>
        <v>0</v>
      </c>
      <c r="DO275" s="13">
        <f t="shared" si="31"/>
        <v>0</v>
      </c>
      <c r="DP275" s="13">
        <f t="shared" si="31"/>
        <v>0</v>
      </c>
      <c r="DQ275" s="13">
        <f t="shared" si="31"/>
        <v>0</v>
      </c>
      <c r="DR275" s="13">
        <f t="shared" si="31"/>
        <v>0</v>
      </c>
      <c r="DS275" s="14" t="s">
        <v>81</v>
      </c>
      <c r="DT275" s="14" t="s">
        <v>72</v>
      </c>
      <c r="DU275" s="14" t="s">
        <v>113</v>
      </c>
      <c r="DV275" s="14" t="s">
        <v>372</v>
      </c>
      <c r="DW275" s="14" t="s">
        <v>74</v>
      </c>
    </row>
    <row r="276" spans="2:127" x14ac:dyDescent="0.3">
      <c r="B276" s="11" t="s">
        <v>65</v>
      </c>
      <c r="C276" s="14">
        <v>5001337002</v>
      </c>
      <c r="D276" s="11" t="s">
        <v>879</v>
      </c>
      <c r="E276" s="11" t="s">
        <v>803</v>
      </c>
      <c r="F276" s="11" t="s">
        <v>880</v>
      </c>
      <c r="G276" s="11" t="s">
        <v>881</v>
      </c>
      <c r="H276" s="11" t="s">
        <v>206</v>
      </c>
      <c r="I276" s="11">
        <v>12601</v>
      </c>
      <c r="J276" s="11" t="s">
        <v>109</v>
      </c>
      <c r="K276" s="11"/>
      <c r="L276" s="11"/>
      <c r="M276" s="11"/>
      <c r="N276" s="11"/>
      <c r="O276" s="13">
        <v>0</v>
      </c>
      <c r="P276" s="13">
        <v>0</v>
      </c>
      <c r="Q276" s="13">
        <v>0</v>
      </c>
      <c r="R276" s="13">
        <v>11182.4653</v>
      </c>
      <c r="S276" s="13">
        <v>789.74350000000004</v>
      </c>
      <c r="T276" s="13">
        <v>10392.721799999999</v>
      </c>
      <c r="U276" s="13">
        <v>0</v>
      </c>
      <c r="V276" s="13">
        <v>0</v>
      </c>
      <c r="W276" s="13">
        <v>0</v>
      </c>
      <c r="X276" s="13">
        <v>750.98760000000004</v>
      </c>
      <c r="Y276" s="13">
        <v>59.785200000000003</v>
      </c>
      <c r="Z276" s="13">
        <v>691.20240000000001</v>
      </c>
      <c r="AA276" s="13">
        <v>0</v>
      </c>
      <c r="AB276" s="13">
        <v>0</v>
      </c>
      <c r="AC276" s="13">
        <v>0</v>
      </c>
      <c r="AD276" s="13">
        <v>1071.5169000000001</v>
      </c>
      <c r="AE276" s="13">
        <v>96.427800000000005</v>
      </c>
      <c r="AF276" s="13">
        <v>975.08910000000003</v>
      </c>
      <c r="AG276" s="13">
        <v>0</v>
      </c>
      <c r="AH276" s="13">
        <v>0</v>
      </c>
      <c r="AI276" s="13">
        <v>0</v>
      </c>
      <c r="AJ276" s="13">
        <v>795.92319999999995</v>
      </c>
      <c r="AK276" s="13">
        <v>80.034999999999997</v>
      </c>
      <c r="AL276" s="13">
        <v>715.88819999999998</v>
      </c>
      <c r="AM276" s="13">
        <v>0</v>
      </c>
      <c r="AN276" s="13">
        <v>0</v>
      </c>
      <c r="AO276" s="13">
        <v>0</v>
      </c>
      <c r="AP276" s="13">
        <v>571.62969999999996</v>
      </c>
      <c r="AQ276" s="13">
        <v>65.570800000000006</v>
      </c>
      <c r="AR276" s="13">
        <v>506.05889999999999</v>
      </c>
      <c r="AS276" s="13">
        <v>0</v>
      </c>
      <c r="AT276" s="13">
        <v>0</v>
      </c>
      <c r="AU276" s="13">
        <v>0</v>
      </c>
      <c r="AV276" s="13">
        <v>894.47300000000007</v>
      </c>
      <c r="AW276" s="13">
        <v>129.2132</v>
      </c>
      <c r="AX276" s="13">
        <v>765.25980000000004</v>
      </c>
      <c r="AY276" s="13">
        <v>0</v>
      </c>
      <c r="AZ276" s="13">
        <v>0</v>
      </c>
      <c r="BA276" s="13">
        <v>0</v>
      </c>
      <c r="BB276" s="13">
        <v>844.52320000000009</v>
      </c>
      <c r="BC276" s="13">
        <v>91.606300000000005</v>
      </c>
      <c r="BD276" s="13">
        <v>752.91690000000006</v>
      </c>
      <c r="BE276" s="13">
        <v>0</v>
      </c>
      <c r="BF276" s="13">
        <v>0</v>
      </c>
      <c r="BG276" s="13">
        <v>0</v>
      </c>
      <c r="BH276" s="13">
        <v>833.5308</v>
      </c>
      <c r="BI276" s="13">
        <v>55.928100000000001</v>
      </c>
      <c r="BJ276" s="13">
        <v>777.60270000000003</v>
      </c>
      <c r="BK276" s="13">
        <v>0</v>
      </c>
      <c r="BL276" s="13">
        <v>0</v>
      </c>
      <c r="BM276" s="13">
        <v>0</v>
      </c>
      <c r="BN276" s="13">
        <v>1066.1172999999999</v>
      </c>
      <c r="BO276" s="13">
        <v>53.999499999999998</v>
      </c>
      <c r="BP276" s="13">
        <v>1012.1178</v>
      </c>
      <c r="BQ276" s="13">
        <v>0</v>
      </c>
      <c r="BR276" s="13">
        <v>0</v>
      </c>
      <c r="BS276" s="13">
        <v>0</v>
      </c>
      <c r="BT276" s="13">
        <v>875.95979999999997</v>
      </c>
      <c r="BU276" s="13">
        <v>36.642600000000002</v>
      </c>
      <c r="BV276" s="13">
        <v>839.31719999999996</v>
      </c>
      <c r="BW276" s="13">
        <v>0</v>
      </c>
      <c r="BX276" s="13">
        <v>0</v>
      </c>
      <c r="BY276" s="13">
        <v>0</v>
      </c>
      <c r="BZ276" s="13">
        <v>781.84530000000007</v>
      </c>
      <c r="CA276" s="13">
        <v>28.9284</v>
      </c>
      <c r="CB276" s="13">
        <v>752.91690000000006</v>
      </c>
      <c r="CC276" s="13">
        <v>0</v>
      </c>
      <c r="CD276" s="13">
        <v>0</v>
      </c>
      <c r="CE276" s="13">
        <v>0</v>
      </c>
      <c r="CF276" s="13">
        <v>891.00290000000007</v>
      </c>
      <c r="CG276" s="13">
        <v>26.9999</v>
      </c>
      <c r="CH276" s="13">
        <v>864.00300000000004</v>
      </c>
      <c r="CI276" s="13">
        <v>0</v>
      </c>
      <c r="CJ276" s="13">
        <v>0</v>
      </c>
      <c r="CK276" s="13">
        <v>0</v>
      </c>
      <c r="CL276" s="13">
        <v>912.98850000000004</v>
      </c>
      <c r="CM276" s="13">
        <v>36.642600000000002</v>
      </c>
      <c r="CN276" s="13">
        <v>876.34590000000003</v>
      </c>
      <c r="CO276" s="13">
        <v>0</v>
      </c>
      <c r="CP276" s="13">
        <v>0</v>
      </c>
      <c r="CQ276" s="13">
        <v>0</v>
      </c>
      <c r="CR276" s="13">
        <v>891.96710000000007</v>
      </c>
      <c r="CS276" s="13">
        <v>27.964099999999998</v>
      </c>
      <c r="CT276" s="13">
        <v>864.00300000000004</v>
      </c>
      <c r="CU276" s="13">
        <f t="shared" ref="CU276:CZ305" si="32">SUM(AA276,AG276,AM276,AS276,AY276,BE276,BK276,BQ276,BW276,CC276,CI276,CO276)</f>
        <v>0</v>
      </c>
      <c r="CV276" s="13">
        <f t="shared" si="32"/>
        <v>0</v>
      </c>
      <c r="CW276" s="13">
        <f t="shared" si="32"/>
        <v>0</v>
      </c>
      <c r="CX276" s="13">
        <f t="shared" si="32"/>
        <v>10431.477699999999</v>
      </c>
      <c r="CY276" s="13">
        <f t="shared" si="32"/>
        <v>729.95830000000012</v>
      </c>
      <c r="CZ276" s="13">
        <f t="shared" si="32"/>
        <v>9701.519400000001</v>
      </c>
      <c r="DA276" s="13">
        <f t="shared" ref="DA276:DF305" si="33">SUM(CC276,CI276,CO276)</f>
        <v>0</v>
      </c>
      <c r="DB276" s="13">
        <f t="shared" si="33"/>
        <v>0</v>
      </c>
      <c r="DC276" s="13">
        <f t="shared" si="33"/>
        <v>0</v>
      </c>
      <c r="DD276" s="13">
        <f t="shared" si="33"/>
        <v>2695.9585000000002</v>
      </c>
      <c r="DE276" s="13">
        <f t="shared" si="33"/>
        <v>91.6066</v>
      </c>
      <c r="DF276" s="13">
        <f t="shared" si="33"/>
        <v>2604.3519000000001</v>
      </c>
      <c r="DG276" s="13">
        <f t="shared" ref="DG276:DL305" si="34">SUM(BK276,BQ276,BW276)</f>
        <v>0</v>
      </c>
      <c r="DH276" s="13">
        <f t="shared" si="34"/>
        <v>0</v>
      </c>
      <c r="DI276" s="13">
        <f t="shared" si="34"/>
        <v>0</v>
      </c>
      <c r="DJ276" s="13">
        <f t="shared" si="34"/>
        <v>2723.9223999999999</v>
      </c>
      <c r="DK276" s="13">
        <f t="shared" si="34"/>
        <v>119.5705</v>
      </c>
      <c r="DL276" s="13">
        <f t="shared" si="34"/>
        <v>2604.3519000000001</v>
      </c>
      <c r="DM276" s="13">
        <f t="shared" ref="DM276:DR305" si="35">SUM(CI276,CO276)</f>
        <v>0</v>
      </c>
      <c r="DN276" s="13">
        <f t="shared" si="35"/>
        <v>0</v>
      </c>
      <c r="DO276" s="13">
        <f t="shared" si="35"/>
        <v>0</v>
      </c>
      <c r="DP276" s="13">
        <f t="shared" si="35"/>
        <v>1804.9556000000002</v>
      </c>
      <c r="DQ276" s="13">
        <f t="shared" si="35"/>
        <v>64.606700000000004</v>
      </c>
      <c r="DR276" s="13">
        <f t="shared" si="35"/>
        <v>1740.3489</v>
      </c>
      <c r="DS276" s="14" t="s">
        <v>81</v>
      </c>
      <c r="DT276" s="14" t="s">
        <v>72</v>
      </c>
      <c r="DU276" s="14" t="s">
        <v>113</v>
      </c>
      <c r="DV276" s="14" t="s">
        <v>372</v>
      </c>
      <c r="DW276" s="14" t="s">
        <v>74</v>
      </c>
    </row>
    <row r="277" spans="2:127" x14ac:dyDescent="0.3">
      <c r="B277" s="11" t="s">
        <v>75</v>
      </c>
      <c r="C277" s="14" t="s">
        <v>882</v>
      </c>
      <c r="D277" s="11" t="s">
        <v>883</v>
      </c>
      <c r="E277" s="11" t="s">
        <v>803</v>
      </c>
      <c r="F277" s="11" t="s">
        <v>884</v>
      </c>
      <c r="G277" s="11" t="s">
        <v>885</v>
      </c>
      <c r="H277" s="11" t="s">
        <v>104</v>
      </c>
      <c r="I277" s="11">
        <v>33322</v>
      </c>
      <c r="J277" s="11" t="s">
        <v>109</v>
      </c>
      <c r="K277" s="11"/>
      <c r="L277" s="11"/>
      <c r="M277" s="11"/>
      <c r="N277" s="11"/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13">
        <v>0</v>
      </c>
      <c r="BA277" s="13">
        <v>0</v>
      </c>
      <c r="BB277" s="13">
        <v>0</v>
      </c>
      <c r="BC277" s="13">
        <v>0</v>
      </c>
      <c r="BD277" s="13">
        <v>0</v>
      </c>
      <c r="BE277" s="13">
        <v>0</v>
      </c>
      <c r="BF277" s="13">
        <v>0</v>
      </c>
      <c r="BG277" s="13">
        <v>0</v>
      </c>
      <c r="BH277" s="13">
        <v>0</v>
      </c>
      <c r="BI277" s="13">
        <v>0</v>
      </c>
      <c r="BJ277" s="13">
        <v>0</v>
      </c>
      <c r="BK277" s="13">
        <v>0</v>
      </c>
      <c r="BL277" s="13">
        <v>0</v>
      </c>
      <c r="BM277" s="13">
        <v>0</v>
      </c>
      <c r="BN277" s="13">
        <v>0</v>
      </c>
      <c r="BO277" s="13">
        <v>0</v>
      </c>
      <c r="BP277" s="13">
        <v>0</v>
      </c>
      <c r="BQ277" s="13">
        <v>0</v>
      </c>
      <c r="BR277" s="13">
        <v>0</v>
      </c>
      <c r="BS277" s="13">
        <v>0</v>
      </c>
      <c r="BT277" s="13">
        <v>0</v>
      </c>
      <c r="BU277" s="13">
        <v>0</v>
      </c>
      <c r="BV277" s="13">
        <v>0</v>
      </c>
      <c r="BW277" s="13">
        <v>0</v>
      </c>
      <c r="BX277" s="13">
        <v>0</v>
      </c>
      <c r="BY277" s="13">
        <v>0</v>
      </c>
      <c r="BZ277" s="13">
        <v>0</v>
      </c>
      <c r="CA277" s="13">
        <v>0</v>
      </c>
      <c r="CB277" s="13">
        <v>0</v>
      </c>
      <c r="CC277" s="13">
        <v>0</v>
      </c>
      <c r="CD277" s="13">
        <v>0</v>
      </c>
      <c r="CE277" s="13">
        <v>0</v>
      </c>
      <c r="CF277" s="13">
        <v>0</v>
      </c>
      <c r="CG277" s="13">
        <v>0</v>
      </c>
      <c r="CH277" s="13">
        <v>0</v>
      </c>
      <c r="CI277" s="13">
        <v>0</v>
      </c>
      <c r="CJ277" s="13">
        <v>0</v>
      </c>
      <c r="CK277" s="13">
        <v>0</v>
      </c>
      <c r="CL277" s="13">
        <v>0</v>
      </c>
      <c r="CM277" s="13">
        <v>0</v>
      </c>
      <c r="CN277" s="13">
        <v>0</v>
      </c>
      <c r="CO277" s="13">
        <v>0</v>
      </c>
      <c r="CP277" s="13">
        <v>0</v>
      </c>
      <c r="CQ277" s="13">
        <v>0</v>
      </c>
      <c r="CR277" s="13">
        <v>0</v>
      </c>
      <c r="CS277" s="13">
        <v>0</v>
      </c>
      <c r="CT277" s="13">
        <v>0</v>
      </c>
      <c r="CU277" s="13">
        <f t="shared" si="32"/>
        <v>0</v>
      </c>
      <c r="CV277" s="13">
        <f t="shared" si="32"/>
        <v>0</v>
      </c>
      <c r="CW277" s="13">
        <f t="shared" si="32"/>
        <v>0</v>
      </c>
      <c r="CX277" s="13">
        <f t="shared" si="32"/>
        <v>0</v>
      </c>
      <c r="CY277" s="13">
        <f t="shared" si="32"/>
        <v>0</v>
      </c>
      <c r="CZ277" s="13">
        <f t="shared" si="32"/>
        <v>0</v>
      </c>
      <c r="DA277" s="13">
        <f t="shared" si="33"/>
        <v>0</v>
      </c>
      <c r="DB277" s="13">
        <f t="shared" si="33"/>
        <v>0</v>
      </c>
      <c r="DC277" s="13">
        <f t="shared" si="33"/>
        <v>0</v>
      </c>
      <c r="DD277" s="13">
        <f t="shared" si="33"/>
        <v>0</v>
      </c>
      <c r="DE277" s="13">
        <f t="shared" si="33"/>
        <v>0</v>
      </c>
      <c r="DF277" s="13">
        <f t="shared" si="33"/>
        <v>0</v>
      </c>
      <c r="DG277" s="13">
        <f t="shared" si="34"/>
        <v>0</v>
      </c>
      <c r="DH277" s="13">
        <f t="shared" si="34"/>
        <v>0</v>
      </c>
      <c r="DI277" s="13">
        <f t="shared" si="34"/>
        <v>0</v>
      </c>
      <c r="DJ277" s="13">
        <f t="shared" si="34"/>
        <v>0</v>
      </c>
      <c r="DK277" s="13">
        <f t="shared" si="34"/>
        <v>0</v>
      </c>
      <c r="DL277" s="13">
        <f t="shared" si="34"/>
        <v>0</v>
      </c>
      <c r="DM277" s="13">
        <f t="shared" si="35"/>
        <v>0</v>
      </c>
      <c r="DN277" s="13">
        <f t="shared" si="35"/>
        <v>0</v>
      </c>
      <c r="DO277" s="13">
        <f t="shared" si="35"/>
        <v>0</v>
      </c>
      <c r="DP277" s="13">
        <f t="shared" si="35"/>
        <v>0</v>
      </c>
      <c r="DQ277" s="13">
        <f t="shared" si="35"/>
        <v>0</v>
      </c>
      <c r="DR277" s="13">
        <f t="shared" si="35"/>
        <v>0</v>
      </c>
      <c r="DS277" s="14" t="s">
        <v>81</v>
      </c>
      <c r="DT277" s="14" t="s">
        <v>72</v>
      </c>
      <c r="DU277" s="14" t="s">
        <v>113</v>
      </c>
      <c r="DV277" s="14" t="s">
        <v>372</v>
      </c>
      <c r="DW277" s="14" t="s">
        <v>74</v>
      </c>
    </row>
    <row r="278" spans="2:127" x14ac:dyDescent="0.3">
      <c r="B278" s="11" t="s">
        <v>75</v>
      </c>
      <c r="C278" s="14">
        <v>5001342002</v>
      </c>
      <c r="D278" s="11" t="s">
        <v>886</v>
      </c>
      <c r="E278" s="11" t="s">
        <v>803</v>
      </c>
      <c r="F278" s="11" t="s">
        <v>887</v>
      </c>
      <c r="G278" s="11" t="s">
        <v>888</v>
      </c>
      <c r="H278" s="11" t="s">
        <v>120</v>
      </c>
      <c r="I278" s="11">
        <v>37604</v>
      </c>
      <c r="J278" s="11" t="s">
        <v>80</v>
      </c>
      <c r="K278" s="11"/>
      <c r="L278" s="11"/>
      <c r="M278" s="11"/>
      <c r="N278" s="11"/>
      <c r="O278" s="13">
        <v>91</v>
      </c>
      <c r="P278" s="13">
        <v>91</v>
      </c>
      <c r="Q278" s="13">
        <v>0</v>
      </c>
      <c r="R278" s="13">
        <v>21916.3295</v>
      </c>
      <c r="S278" s="13">
        <v>414.99770000000001</v>
      </c>
      <c r="T278" s="13">
        <v>21501.3318</v>
      </c>
      <c r="U278" s="13">
        <v>20</v>
      </c>
      <c r="V278" s="13">
        <v>20</v>
      </c>
      <c r="W278" s="13">
        <v>0</v>
      </c>
      <c r="X278" s="13">
        <v>1832.6704999999999</v>
      </c>
      <c r="Y278" s="13">
        <v>30.607100000000003</v>
      </c>
      <c r="Z278" s="13">
        <v>1802.0634</v>
      </c>
      <c r="AA278" s="13">
        <v>20</v>
      </c>
      <c r="AB278" s="13">
        <v>20</v>
      </c>
      <c r="AC278" s="13">
        <v>0</v>
      </c>
      <c r="AD278" s="13">
        <v>2153.9713000000002</v>
      </c>
      <c r="AE278" s="13">
        <v>55.6783</v>
      </c>
      <c r="AF278" s="13">
        <v>2098.2930000000001</v>
      </c>
      <c r="AG278" s="13">
        <v>0</v>
      </c>
      <c r="AH278" s="13">
        <v>0</v>
      </c>
      <c r="AI278" s="13">
        <v>0</v>
      </c>
      <c r="AJ278" s="13">
        <v>1490.7908</v>
      </c>
      <c r="AK278" s="13">
        <v>9.6427999999999994</v>
      </c>
      <c r="AL278" s="13">
        <v>1481.1479999999999</v>
      </c>
      <c r="AM278" s="13">
        <v>0</v>
      </c>
      <c r="AN278" s="13">
        <v>0</v>
      </c>
      <c r="AO278" s="13">
        <v>0</v>
      </c>
      <c r="AP278" s="13">
        <v>1244.1255000000001</v>
      </c>
      <c r="AQ278" s="13">
        <v>22.1784</v>
      </c>
      <c r="AR278" s="13">
        <v>1221.9471000000001</v>
      </c>
      <c r="AS278" s="13">
        <v>0</v>
      </c>
      <c r="AT278" s="13">
        <v>0</v>
      </c>
      <c r="AU278" s="13">
        <v>0</v>
      </c>
      <c r="AV278" s="13">
        <v>1528.0122000000001</v>
      </c>
      <c r="AW278" s="13">
        <v>22.1784</v>
      </c>
      <c r="AX278" s="13">
        <v>1505.8338000000001</v>
      </c>
      <c r="AY278" s="13">
        <v>0</v>
      </c>
      <c r="AZ278" s="13">
        <v>0</v>
      </c>
      <c r="BA278" s="13">
        <v>0</v>
      </c>
      <c r="BB278" s="13">
        <v>1490.9835</v>
      </c>
      <c r="BC278" s="13">
        <v>22.1784</v>
      </c>
      <c r="BD278" s="13">
        <v>1468.8051</v>
      </c>
      <c r="BE278" s="13">
        <v>0</v>
      </c>
      <c r="BF278" s="13">
        <v>0</v>
      </c>
      <c r="BG278" s="13">
        <v>0</v>
      </c>
      <c r="BH278" s="13">
        <v>1379.8974000000001</v>
      </c>
      <c r="BI278" s="13">
        <v>22.1784</v>
      </c>
      <c r="BJ278" s="13">
        <v>1357.7190000000001</v>
      </c>
      <c r="BK278" s="13">
        <v>0</v>
      </c>
      <c r="BL278" s="13">
        <v>0</v>
      </c>
      <c r="BM278" s="13">
        <v>0</v>
      </c>
      <c r="BN278" s="13">
        <v>1848.3489</v>
      </c>
      <c r="BO278" s="13">
        <v>46.285499999999999</v>
      </c>
      <c r="BP278" s="13">
        <v>1802.0634</v>
      </c>
      <c r="BQ278" s="13">
        <v>41</v>
      </c>
      <c r="BR278" s="13">
        <v>41</v>
      </c>
      <c r="BS278" s="13">
        <v>0</v>
      </c>
      <c r="BT278" s="13">
        <v>1625.1338000000001</v>
      </c>
      <c r="BU278" s="13">
        <v>69.928399999999996</v>
      </c>
      <c r="BV278" s="13">
        <v>1555.2054000000001</v>
      </c>
      <c r="BW278" s="13">
        <v>10</v>
      </c>
      <c r="BX278" s="13">
        <v>10</v>
      </c>
      <c r="BY278" s="13">
        <v>0</v>
      </c>
      <c r="BZ278" s="13">
        <v>1697.6983</v>
      </c>
      <c r="CA278" s="13">
        <v>43.749699999999997</v>
      </c>
      <c r="CB278" s="13">
        <v>1653.9485999999999</v>
      </c>
      <c r="CC278" s="13">
        <v>0</v>
      </c>
      <c r="CD278" s="13">
        <v>0</v>
      </c>
      <c r="CE278" s="13">
        <v>0</v>
      </c>
      <c r="CF278" s="13">
        <v>2207.6433000000002</v>
      </c>
      <c r="CG278" s="13">
        <v>10.607100000000001</v>
      </c>
      <c r="CH278" s="13">
        <v>2197.0362</v>
      </c>
      <c r="CI278" s="13">
        <v>0</v>
      </c>
      <c r="CJ278" s="13">
        <v>0</v>
      </c>
      <c r="CK278" s="13">
        <v>0</v>
      </c>
      <c r="CL278" s="13">
        <v>1663.7841000000001</v>
      </c>
      <c r="CM278" s="13">
        <v>22.1784</v>
      </c>
      <c r="CN278" s="13">
        <v>1641.6057000000001</v>
      </c>
      <c r="CO278" s="13">
        <v>0</v>
      </c>
      <c r="CP278" s="13">
        <v>0</v>
      </c>
      <c r="CQ278" s="13">
        <v>0</v>
      </c>
      <c r="CR278" s="13">
        <v>1753.2699</v>
      </c>
      <c r="CS278" s="13">
        <v>37.6068</v>
      </c>
      <c r="CT278" s="13">
        <v>1715.6631</v>
      </c>
      <c r="CU278" s="13">
        <f t="shared" si="32"/>
        <v>71</v>
      </c>
      <c r="CV278" s="13">
        <f t="shared" si="32"/>
        <v>71</v>
      </c>
      <c r="CW278" s="13">
        <f t="shared" si="32"/>
        <v>0</v>
      </c>
      <c r="CX278" s="13">
        <f t="shared" si="32"/>
        <v>20083.659</v>
      </c>
      <c r="CY278" s="13">
        <f t="shared" si="32"/>
        <v>384.39060000000006</v>
      </c>
      <c r="CZ278" s="13">
        <f t="shared" si="32"/>
        <v>19699.268400000001</v>
      </c>
      <c r="DA278" s="13">
        <f t="shared" si="33"/>
        <v>0</v>
      </c>
      <c r="DB278" s="13">
        <f t="shared" si="33"/>
        <v>0</v>
      </c>
      <c r="DC278" s="13">
        <f t="shared" si="33"/>
        <v>0</v>
      </c>
      <c r="DD278" s="13">
        <f t="shared" si="33"/>
        <v>5624.6973000000007</v>
      </c>
      <c r="DE278" s="13">
        <f t="shared" si="33"/>
        <v>70.392300000000006</v>
      </c>
      <c r="DF278" s="13">
        <f t="shared" si="33"/>
        <v>5554.3050000000003</v>
      </c>
      <c r="DG278" s="13">
        <f t="shared" si="34"/>
        <v>51</v>
      </c>
      <c r="DH278" s="13">
        <f t="shared" si="34"/>
        <v>51</v>
      </c>
      <c r="DI278" s="13">
        <f t="shared" si="34"/>
        <v>0</v>
      </c>
      <c r="DJ278" s="13">
        <f t="shared" si="34"/>
        <v>5171.1810000000005</v>
      </c>
      <c r="DK278" s="13">
        <f t="shared" si="34"/>
        <v>159.96359999999999</v>
      </c>
      <c r="DL278" s="13">
        <f t="shared" si="34"/>
        <v>5011.2173999999995</v>
      </c>
      <c r="DM278" s="13">
        <f t="shared" si="35"/>
        <v>0</v>
      </c>
      <c r="DN278" s="13">
        <f t="shared" si="35"/>
        <v>0</v>
      </c>
      <c r="DO278" s="13">
        <f t="shared" si="35"/>
        <v>0</v>
      </c>
      <c r="DP278" s="13">
        <f t="shared" si="35"/>
        <v>3417.0540000000001</v>
      </c>
      <c r="DQ278" s="13">
        <f t="shared" si="35"/>
        <v>59.785200000000003</v>
      </c>
      <c r="DR278" s="13">
        <f t="shared" si="35"/>
        <v>3357.2687999999998</v>
      </c>
      <c r="DS278" s="14" t="s">
        <v>81</v>
      </c>
      <c r="DT278" s="14" t="s">
        <v>72</v>
      </c>
      <c r="DU278" s="14" t="s">
        <v>113</v>
      </c>
      <c r="DV278" s="14" t="s">
        <v>372</v>
      </c>
      <c r="DW278" s="14" t="s">
        <v>74</v>
      </c>
    </row>
    <row r="279" spans="2:127" x14ac:dyDescent="0.3">
      <c r="B279" s="11" t="s">
        <v>75</v>
      </c>
      <c r="C279" s="14">
        <v>5007724283</v>
      </c>
      <c r="D279" s="11" t="s">
        <v>889</v>
      </c>
      <c r="E279" s="11" t="s">
        <v>803</v>
      </c>
      <c r="F279" s="11" t="s">
        <v>890</v>
      </c>
      <c r="G279" s="11" t="s">
        <v>891</v>
      </c>
      <c r="H279" s="11" t="s">
        <v>104</v>
      </c>
      <c r="I279" s="11">
        <v>33401</v>
      </c>
      <c r="J279" s="11" t="s">
        <v>109</v>
      </c>
      <c r="K279" s="11"/>
      <c r="L279" s="11"/>
      <c r="M279" s="11"/>
      <c r="N279" s="11"/>
      <c r="O279" s="13">
        <v>63</v>
      </c>
      <c r="P279" s="13">
        <v>63</v>
      </c>
      <c r="Q279" s="13">
        <v>0</v>
      </c>
      <c r="R279" s="13">
        <v>13328.9097</v>
      </c>
      <c r="S279" s="13">
        <v>628.06560000000002</v>
      </c>
      <c r="T279" s="13">
        <v>12700.8441</v>
      </c>
      <c r="U279" s="13">
        <v>28</v>
      </c>
      <c r="V279" s="13">
        <v>28</v>
      </c>
      <c r="W279" s="13">
        <v>0</v>
      </c>
      <c r="X279" s="13">
        <v>783.61620000000005</v>
      </c>
      <c r="Y279" s="13">
        <v>80.070899999999995</v>
      </c>
      <c r="Z279" s="13">
        <v>703.5453</v>
      </c>
      <c r="AA279" s="13">
        <v>14</v>
      </c>
      <c r="AB279" s="13">
        <v>14</v>
      </c>
      <c r="AC279" s="13">
        <v>0</v>
      </c>
      <c r="AD279" s="13">
        <v>1006.2526</v>
      </c>
      <c r="AE279" s="13">
        <v>80.5351</v>
      </c>
      <c r="AF279" s="13">
        <v>925.71749999999997</v>
      </c>
      <c r="AG279" s="13">
        <v>14</v>
      </c>
      <c r="AH279" s="13">
        <v>14</v>
      </c>
      <c r="AI279" s="13">
        <v>0</v>
      </c>
      <c r="AJ279" s="13">
        <v>916.57400000000007</v>
      </c>
      <c r="AK279" s="13">
        <v>52.570999999999998</v>
      </c>
      <c r="AL279" s="13">
        <v>864.00300000000004</v>
      </c>
      <c r="AM279" s="13">
        <v>14</v>
      </c>
      <c r="AN279" s="13">
        <v>14</v>
      </c>
      <c r="AO279" s="13">
        <v>0</v>
      </c>
      <c r="AP279" s="13">
        <v>1015.5098999999999</v>
      </c>
      <c r="AQ279" s="13">
        <v>65.1066</v>
      </c>
      <c r="AR279" s="13">
        <v>950.40329999999994</v>
      </c>
      <c r="AS279" s="13">
        <v>0</v>
      </c>
      <c r="AT279" s="13">
        <v>0</v>
      </c>
      <c r="AU279" s="13">
        <v>0</v>
      </c>
      <c r="AV279" s="13">
        <v>1264.7605999999998</v>
      </c>
      <c r="AW279" s="13">
        <v>67.499300000000005</v>
      </c>
      <c r="AX279" s="13">
        <v>1197.2612999999999</v>
      </c>
      <c r="AY279" s="13">
        <v>0</v>
      </c>
      <c r="AZ279" s="13">
        <v>0</v>
      </c>
      <c r="BA279" s="13">
        <v>0</v>
      </c>
      <c r="BB279" s="13">
        <v>1065.7319</v>
      </c>
      <c r="BC279" s="13">
        <v>28.9283</v>
      </c>
      <c r="BD279" s="13">
        <v>1036.8036</v>
      </c>
      <c r="BE279" s="13">
        <v>0</v>
      </c>
      <c r="BF279" s="13">
        <v>0</v>
      </c>
      <c r="BG279" s="13">
        <v>0</v>
      </c>
      <c r="BH279" s="13">
        <v>1003.2458</v>
      </c>
      <c r="BI279" s="13">
        <v>40.499600000000001</v>
      </c>
      <c r="BJ279" s="13">
        <v>962.74620000000004</v>
      </c>
      <c r="BK279" s="13">
        <v>-7</v>
      </c>
      <c r="BL279" s="13">
        <v>-7</v>
      </c>
      <c r="BM279" s="13">
        <v>0</v>
      </c>
      <c r="BN279" s="13">
        <v>1726.7908</v>
      </c>
      <c r="BO279" s="13">
        <v>60.499300000000005</v>
      </c>
      <c r="BP279" s="13">
        <v>1666.2915</v>
      </c>
      <c r="BQ279" s="13">
        <v>0</v>
      </c>
      <c r="BR279" s="13">
        <v>0</v>
      </c>
      <c r="BS279" s="13">
        <v>0</v>
      </c>
      <c r="BT279" s="13">
        <v>632.9588</v>
      </c>
      <c r="BU279" s="13">
        <v>40.499600000000001</v>
      </c>
      <c r="BV279" s="13">
        <v>592.45920000000001</v>
      </c>
      <c r="BW279" s="13">
        <v>0</v>
      </c>
      <c r="BX279" s="13">
        <v>0</v>
      </c>
      <c r="BY279" s="13">
        <v>0</v>
      </c>
      <c r="BZ279" s="13">
        <v>866.31689999999992</v>
      </c>
      <c r="CA279" s="13">
        <v>26.999700000000001</v>
      </c>
      <c r="CB279" s="13">
        <v>839.31719999999996</v>
      </c>
      <c r="CC279" s="13">
        <v>0</v>
      </c>
      <c r="CD279" s="13">
        <v>0</v>
      </c>
      <c r="CE279" s="13">
        <v>0</v>
      </c>
      <c r="CF279" s="13">
        <v>1353.8610000000001</v>
      </c>
      <c r="CG279" s="13">
        <v>57.856499999999997</v>
      </c>
      <c r="CH279" s="13">
        <v>1296.0045</v>
      </c>
      <c r="CI279" s="13">
        <v>0</v>
      </c>
      <c r="CJ279" s="13">
        <v>0</v>
      </c>
      <c r="CK279" s="13">
        <v>0</v>
      </c>
      <c r="CL279" s="13">
        <v>740.57399999999996</v>
      </c>
      <c r="CM279" s="13">
        <v>0</v>
      </c>
      <c r="CN279" s="13">
        <v>740.57399999999996</v>
      </c>
      <c r="CO279" s="13">
        <v>0</v>
      </c>
      <c r="CP279" s="13">
        <v>0</v>
      </c>
      <c r="CQ279" s="13">
        <v>0</v>
      </c>
      <c r="CR279" s="13">
        <v>952.71719999999993</v>
      </c>
      <c r="CS279" s="13">
        <v>26.999700000000001</v>
      </c>
      <c r="CT279" s="13">
        <v>925.71749999999997</v>
      </c>
      <c r="CU279" s="13">
        <f t="shared" si="32"/>
        <v>35</v>
      </c>
      <c r="CV279" s="13">
        <f t="shared" si="32"/>
        <v>35</v>
      </c>
      <c r="CW279" s="13">
        <f t="shared" si="32"/>
        <v>0</v>
      </c>
      <c r="CX279" s="13">
        <f t="shared" si="32"/>
        <v>12545.2935</v>
      </c>
      <c r="CY279" s="13">
        <f t="shared" si="32"/>
        <v>547.99469999999997</v>
      </c>
      <c r="CZ279" s="13">
        <f t="shared" si="32"/>
        <v>11997.298800000002</v>
      </c>
      <c r="DA279" s="13">
        <f t="shared" si="33"/>
        <v>0</v>
      </c>
      <c r="DB279" s="13">
        <f t="shared" si="33"/>
        <v>0</v>
      </c>
      <c r="DC279" s="13">
        <f t="shared" si="33"/>
        <v>0</v>
      </c>
      <c r="DD279" s="13">
        <f t="shared" si="33"/>
        <v>3047.1522</v>
      </c>
      <c r="DE279" s="13">
        <f t="shared" si="33"/>
        <v>84.856200000000001</v>
      </c>
      <c r="DF279" s="13">
        <f t="shared" si="33"/>
        <v>2962.2960000000003</v>
      </c>
      <c r="DG279" s="13">
        <f t="shared" si="34"/>
        <v>-7</v>
      </c>
      <c r="DH279" s="13">
        <f t="shared" si="34"/>
        <v>-7</v>
      </c>
      <c r="DI279" s="13">
        <f t="shared" si="34"/>
        <v>0</v>
      </c>
      <c r="DJ279" s="13">
        <f t="shared" si="34"/>
        <v>3226.0664999999999</v>
      </c>
      <c r="DK279" s="13">
        <f t="shared" si="34"/>
        <v>127.99860000000001</v>
      </c>
      <c r="DL279" s="13">
        <f t="shared" si="34"/>
        <v>3098.0679</v>
      </c>
      <c r="DM279" s="13">
        <f t="shared" si="35"/>
        <v>0</v>
      </c>
      <c r="DN279" s="13">
        <f t="shared" si="35"/>
        <v>0</v>
      </c>
      <c r="DO279" s="13">
        <f t="shared" si="35"/>
        <v>0</v>
      </c>
      <c r="DP279" s="13">
        <f t="shared" si="35"/>
        <v>1693.2911999999999</v>
      </c>
      <c r="DQ279" s="13">
        <f t="shared" si="35"/>
        <v>26.999700000000001</v>
      </c>
      <c r="DR279" s="13">
        <f t="shared" si="35"/>
        <v>1666.2914999999998</v>
      </c>
      <c r="DS279" s="14" t="s">
        <v>81</v>
      </c>
      <c r="DT279" s="14" t="s">
        <v>72</v>
      </c>
      <c r="DU279" s="14" t="s">
        <v>113</v>
      </c>
      <c r="DV279" s="14" t="s">
        <v>372</v>
      </c>
      <c r="DW279" s="14" t="s">
        <v>74</v>
      </c>
    </row>
    <row r="280" spans="2:127" x14ac:dyDescent="0.3">
      <c r="B280" s="11" t="s">
        <v>75</v>
      </c>
      <c r="C280" s="14">
        <v>5001341601</v>
      </c>
      <c r="D280" s="11" t="s">
        <v>892</v>
      </c>
      <c r="E280" s="11" t="s">
        <v>803</v>
      </c>
      <c r="F280" s="11" t="s">
        <v>893</v>
      </c>
      <c r="G280" s="11" t="s">
        <v>838</v>
      </c>
      <c r="H280" s="11" t="s">
        <v>157</v>
      </c>
      <c r="I280" s="11">
        <v>30060</v>
      </c>
      <c r="J280" s="11" t="s">
        <v>109</v>
      </c>
      <c r="K280" s="11"/>
      <c r="L280" s="11"/>
      <c r="M280" s="11"/>
      <c r="N280" s="11"/>
      <c r="O280" s="13">
        <v>180</v>
      </c>
      <c r="P280" s="13">
        <v>180</v>
      </c>
      <c r="Q280" s="13">
        <v>0</v>
      </c>
      <c r="R280" s="13">
        <v>15974.4733</v>
      </c>
      <c r="S280" s="13">
        <v>385.39060000000001</v>
      </c>
      <c r="T280" s="13">
        <v>15589.082700000001</v>
      </c>
      <c r="U280" s="13">
        <v>12</v>
      </c>
      <c r="V280" s="13">
        <v>12</v>
      </c>
      <c r="W280" s="13">
        <v>0</v>
      </c>
      <c r="X280" s="13">
        <v>1159.8896999999999</v>
      </c>
      <c r="Y280" s="13">
        <v>12</v>
      </c>
      <c r="Z280" s="13">
        <v>1147.8896999999999</v>
      </c>
      <c r="AA280" s="13">
        <v>18</v>
      </c>
      <c r="AB280" s="13">
        <v>18</v>
      </c>
      <c r="AC280" s="13">
        <v>0</v>
      </c>
      <c r="AD280" s="13">
        <v>1580.1479999999999</v>
      </c>
      <c r="AE280" s="13">
        <v>37.285499999999999</v>
      </c>
      <c r="AF280" s="13">
        <v>1542.8625</v>
      </c>
      <c r="AG280" s="13">
        <v>12</v>
      </c>
      <c r="AH280" s="13">
        <v>12</v>
      </c>
      <c r="AI280" s="13">
        <v>0</v>
      </c>
      <c r="AJ280" s="13">
        <v>1129.8036</v>
      </c>
      <c r="AK280" s="13">
        <v>31.285499999999999</v>
      </c>
      <c r="AL280" s="13">
        <v>1098.5181</v>
      </c>
      <c r="AM280" s="13">
        <v>12</v>
      </c>
      <c r="AN280" s="13">
        <v>12</v>
      </c>
      <c r="AO280" s="13">
        <v>0</v>
      </c>
      <c r="AP280" s="13">
        <v>1028.7456</v>
      </c>
      <c r="AQ280" s="13">
        <v>65.999400000000009</v>
      </c>
      <c r="AR280" s="13">
        <v>962.74620000000004</v>
      </c>
      <c r="AS280" s="13">
        <v>12</v>
      </c>
      <c r="AT280" s="13">
        <v>12</v>
      </c>
      <c r="AU280" s="13">
        <v>0</v>
      </c>
      <c r="AV280" s="13">
        <v>1262.4891</v>
      </c>
      <c r="AW280" s="13">
        <v>77.570700000000002</v>
      </c>
      <c r="AX280" s="13">
        <v>1184.9184</v>
      </c>
      <c r="AY280" s="13">
        <v>12</v>
      </c>
      <c r="AZ280" s="13">
        <v>12</v>
      </c>
      <c r="BA280" s="13">
        <v>0</v>
      </c>
      <c r="BB280" s="13">
        <v>998.66039999999998</v>
      </c>
      <c r="BC280" s="13">
        <v>23.571300000000001</v>
      </c>
      <c r="BD280" s="13">
        <v>975.08910000000003</v>
      </c>
      <c r="BE280" s="13">
        <v>12</v>
      </c>
      <c r="BF280" s="13">
        <v>12</v>
      </c>
      <c r="BG280" s="13">
        <v>0</v>
      </c>
      <c r="BH280" s="13">
        <v>1122.8610000000001</v>
      </c>
      <c r="BI280" s="13">
        <v>12</v>
      </c>
      <c r="BJ280" s="13">
        <v>1110.8610000000001</v>
      </c>
      <c r="BK280" s="13">
        <v>18</v>
      </c>
      <c r="BL280" s="13">
        <v>18</v>
      </c>
      <c r="BM280" s="13">
        <v>0</v>
      </c>
      <c r="BN280" s="13">
        <v>1782.4558</v>
      </c>
      <c r="BO280" s="13">
        <v>42.106899999999996</v>
      </c>
      <c r="BP280" s="13">
        <v>1740.3489</v>
      </c>
      <c r="BQ280" s="13">
        <v>17</v>
      </c>
      <c r="BR280" s="13">
        <v>17</v>
      </c>
      <c r="BS280" s="13">
        <v>0</v>
      </c>
      <c r="BT280" s="13">
        <v>1114.7465</v>
      </c>
      <c r="BU280" s="13">
        <v>28.571300000000001</v>
      </c>
      <c r="BV280" s="13">
        <v>1086.1751999999999</v>
      </c>
      <c r="BW280" s="13">
        <v>12</v>
      </c>
      <c r="BX280" s="13">
        <v>12</v>
      </c>
      <c r="BY280" s="13">
        <v>0</v>
      </c>
      <c r="BZ280" s="13">
        <v>1085.8323</v>
      </c>
      <c r="CA280" s="13">
        <v>12</v>
      </c>
      <c r="CB280" s="13">
        <v>1073.8323</v>
      </c>
      <c r="CC280" s="13">
        <v>18</v>
      </c>
      <c r="CD280" s="13">
        <v>18</v>
      </c>
      <c r="CE280" s="13">
        <v>0</v>
      </c>
      <c r="CF280" s="13">
        <v>1400.4048</v>
      </c>
      <c r="CG280" s="13">
        <v>18</v>
      </c>
      <c r="CH280" s="13">
        <v>1382.4048</v>
      </c>
      <c r="CI280" s="13">
        <v>12</v>
      </c>
      <c r="CJ280" s="13">
        <v>12</v>
      </c>
      <c r="CK280" s="13">
        <v>0</v>
      </c>
      <c r="CL280" s="13">
        <v>974.74620000000004</v>
      </c>
      <c r="CM280" s="13">
        <v>12</v>
      </c>
      <c r="CN280" s="13">
        <v>962.74620000000004</v>
      </c>
      <c r="CO280" s="13">
        <v>13</v>
      </c>
      <c r="CP280" s="13">
        <v>13</v>
      </c>
      <c r="CQ280" s="13">
        <v>0</v>
      </c>
      <c r="CR280" s="13">
        <v>1333.6903</v>
      </c>
      <c r="CS280" s="13">
        <v>13</v>
      </c>
      <c r="CT280" s="13">
        <v>1320.6903</v>
      </c>
      <c r="CU280" s="13">
        <f t="shared" si="32"/>
        <v>168</v>
      </c>
      <c r="CV280" s="13">
        <f t="shared" si="32"/>
        <v>168</v>
      </c>
      <c r="CW280" s="13">
        <f t="shared" si="32"/>
        <v>0</v>
      </c>
      <c r="CX280" s="13">
        <f t="shared" si="32"/>
        <v>14814.583599999998</v>
      </c>
      <c r="CY280" s="13">
        <f t="shared" si="32"/>
        <v>373.39060000000001</v>
      </c>
      <c r="CZ280" s="13">
        <f t="shared" si="32"/>
        <v>14441.192999999999</v>
      </c>
      <c r="DA280" s="13">
        <f t="shared" si="33"/>
        <v>43</v>
      </c>
      <c r="DB280" s="13">
        <f t="shared" si="33"/>
        <v>43</v>
      </c>
      <c r="DC280" s="13">
        <f t="shared" si="33"/>
        <v>0</v>
      </c>
      <c r="DD280" s="13">
        <f t="shared" si="33"/>
        <v>3708.8413</v>
      </c>
      <c r="DE280" s="13">
        <f t="shared" si="33"/>
        <v>43</v>
      </c>
      <c r="DF280" s="13">
        <f t="shared" si="33"/>
        <v>3665.8413</v>
      </c>
      <c r="DG280" s="13">
        <f t="shared" si="34"/>
        <v>47</v>
      </c>
      <c r="DH280" s="13">
        <f t="shared" si="34"/>
        <v>47</v>
      </c>
      <c r="DI280" s="13">
        <f t="shared" si="34"/>
        <v>0</v>
      </c>
      <c r="DJ280" s="13">
        <f t="shared" si="34"/>
        <v>3983.0346</v>
      </c>
      <c r="DK280" s="13">
        <f t="shared" si="34"/>
        <v>82.678200000000004</v>
      </c>
      <c r="DL280" s="13">
        <f t="shared" si="34"/>
        <v>3900.3563999999997</v>
      </c>
      <c r="DM280" s="13">
        <f t="shared" si="35"/>
        <v>25</v>
      </c>
      <c r="DN280" s="13">
        <f t="shared" si="35"/>
        <v>25</v>
      </c>
      <c r="DO280" s="13">
        <f t="shared" si="35"/>
        <v>0</v>
      </c>
      <c r="DP280" s="13">
        <f t="shared" si="35"/>
        <v>2308.4364999999998</v>
      </c>
      <c r="DQ280" s="13">
        <f t="shared" si="35"/>
        <v>25</v>
      </c>
      <c r="DR280" s="13">
        <f t="shared" si="35"/>
        <v>2283.4364999999998</v>
      </c>
      <c r="DS280" s="14" t="s">
        <v>81</v>
      </c>
      <c r="DT280" s="14" t="s">
        <v>72</v>
      </c>
      <c r="DU280" s="14" t="s">
        <v>113</v>
      </c>
      <c r="DV280" s="14" t="s">
        <v>372</v>
      </c>
      <c r="DW280" s="14" t="s">
        <v>74</v>
      </c>
    </row>
    <row r="281" spans="2:127" x14ac:dyDescent="0.3">
      <c r="B281" s="11" t="s">
        <v>53</v>
      </c>
      <c r="C281" s="14">
        <v>5005903421</v>
      </c>
      <c r="D281" s="11" t="s">
        <v>73</v>
      </c>
      <c r="E281" s="11" t="s">
        <v>803</v>
      </c>
      <c r="F281" s="11" t="s">
        <v>73</v>
      </c>
      <c r="G281" s="11" t="s">
        <v>73</v>
      </c>
      <c r="H281" s="11" t="s">
        <v>73</v>
      </c>
      <c r="I281" s="11" t="s">
        <v>73</v>
      </c>
      <c r="J281" s="11" t="s">
        <v>368</v>
      </c>
      <c r="K281" s="11"/>
      <c r="L281" s="11"/>
      <c r="M281" s="11"/>
      <c r="N281" s="11"/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13">
        <v>0</v>
      </c>
      <c r="BA281" s="13">
        <v>0</v>
      </c>
      <c r="BB281" s="13">
        <v>0</v>
      </c>
      <c r="BC281" s="13">
        <v>0</v>
      </c>
      <c r="BD281" s="13">
        <v>0</v>
      </c>
      <c r="BE281" s="13">
        <v>0</v>
      </c>
      <c r="BF281" s="13">
        <v>0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0</v>
      </c>
      <c r="BM281" s="13">
        <v>0</v>
      </c>
      <c r="BN281" s="13">
        <v>0</v>
      </c>
      <c r="BO281" s="13">
        <v>0</v>
      </c>
      <c r="BP281" s="13">
        <v>0</v>
      </c>
      <c r="BQ281" s="13">
        <v>0</v>
      </c>
      <c r="BR281" s="13">
        <v>0</v>
      </c>
      <c r="BS281" s="13">
        <v>0</v>
      </c>
      <c r="BT281" s="13">
        <v>0</v>
      </c>
      <c r="BU281" s="13">
        <v>0</v>
      </c>
      <c r="BV281" s="13">
        <v>0</v>
      </c>
      <c r="BW281" s="13">
        <v>0</v>
      </c>
      <c r="BX281" s="13">
        <v>0</v>
      </c>
      <c r="BY281" s="13">
        <v>0</v>
      </c>
      <c r="BZ281" s="13">
        <v>0</v>
      </c>
      <c r="CA281" s="13">
        <v>0</v>
      </c>
      <c r="CB281" s="13">
        <v>0</v>
      </c>
      <c r="CC281" s="13">
        <v>0</v>
      </c>
      <c r="CD281" s="13">
        <v>0</v>
      </c>
      <c r="CE281" s="13">
        <v>0</v>
      </c>
      <c r="CF281" s="13">
        <v>0</v>
      </c>
      <c r="CG281" s="13">
        <v>0</v>
      </c>
      <c r="CH281" s="13">
        <v>0</v>
      </c>
      <c r="CI281" s="13">
        <v>0</v>
      </c>
      <c r="CJ281" s="13">
        <v>0</v>
      </c>
      <c r="CK281" s="13">
        <v>0</v>
      </c>
      <c r="CL281" s="13">
        <v>0</v>
      </c>
      <c r="CM281" s="13">
        <v>0</v>
      </c>
      <c r="CN281" s="13">
        <v>0</v>
      </c>
      <c r="CO281" s="13">
        <v>0</v>
      </c>
      <c r="CP281" s="13">
        <v>0</v>
      </c>
      <c r="CQ281" s="13">
        <v>0</v>
      </c>
      <c r="CR281" s="13">
        <v>0</v>
      </c>
      <c r="CS281" s="13">
        <v>0</v>
      </c>
      <c r="CT281" s="13">
        <v>0</v>
      </c>
      <c r="CU281" s="13">
        <f t="shared" si="32"/>
        <v>0</v>
      </c>
      <c r="CV281" s="13">
        <f t="shared" si="32"/>
        <v>0</v>
      </c>
      <c r="CW281" s="13">
        <f t="shared" si="32"/>
        <v>0</v>
      </c>
      <c r="CX281" s="13">
        <f t="shared" si="32"/>
        <v>0</v>
      </c>
      <c r="CY281" s="13">
        <f t="shared" si="32"/>
        <v>0</v>
      </c>
      <c r="CZ281" s="13">
        <f t="shared" si="32"/>
        <v>0</v>
      </c>
      <c r="DA281" s="13">
        <f t="shared" si="33"/>
        <v>0</v>
      </c>
      <c r="DB281" s="13">
        <f t="shared" si="33"/>
        <v>0</v>
      </c>
      <c r="DC281" s="13">
        <f t="shared" si="33"/>
        <v>0</v>
      </c>
      <c r="DD281" s="13">
        <f t="shared" si="33"/>
        <v>0</v>
      </c>
      <c r="DE281" s="13">
        <f t="shared" si="33"/>
        <v>0</v>
      </c>
      <c r="DF281" s="13">
        <f t="shared" si="33"/>
        <v>0</v>
      </c>
      <c r="DG281" s="13">
        <f t="shared" si="34"/>
        <v>0</v>
      </c>
      <c r="DH281" s="13">
        <f t="shared" si="34"/>
        <v>0</v>
      </c>
      <c r="DI281" s="13">
        <f t="shared" si="34"/>
        <v>0</v>
      </c>
      <c r="DJ281" s="13">
        <f t="shared" si="34"/>
        <v>0</v>
      </c>
      <c r="DK281" s="13">
        <f t="shared" si="34"/>
        <v>0</v>
      </c>
      <c r="DL281" s="13">
        <f t="shared" si="34"/>
        <v>0</v>
      </c>
      <c r="DM281" s="13">
        <f t="shared" si="35"/>
        <v>0</v>
      </c>
      <c r="DN281" s="13">
        <f t="shared" si="35"/>
        <v>0</v>
      </c>
      <c r="DO281" s="13">
        <f t="shared" si="35"/>
        <v>0</v>
      </c>
      <c r="DP281" s="13">
        <f t="shared" si="35"/>
        <v>0</v>
      </c>
      <c r="DQ281" s="13">
        <f t="shared" si="35"/>
        <v>0</v>
      </c>
      <c r="DR281" s="13">
        <f t="shared" si="35"/>
        <v>0</v>
      </c>
      <c r="DS281" s="14" t="s">
        <v>81</v>
      </c>
      <c r="DT281" s="14" t="s">
        <v>72</v>
      </c>
      <c r="DU281" s="14" t="s">
        <v>113</v>
      </c>
      <c r="DV281" s="14" t="s">
        <v>372</v>
      </c>
      <c r="DW281" s="14" t="s">
        <v>74</v>
      </c>
    </row>
    <row r="282" spans="2:127" x14ac:dyDescent="0.3">
      <c r="B282" s="11" t="s">
        <v>53</v>
      </c>
      <c r="C282" s="14">
        <v>5001340556</v>
      </c>
      <c r="D282" s="11" t="s">
        <v>894</v>
      </c>
      <c r="E282" s="11" t="s">
        <v>803</v>
      </c>
      <c r="F282" s="11" t="s">
        <v>895</v>
      </c>
      <c r="G282" s="11" t="s">
        <v>896</v>
      </c>
      <c r="H282" s="11" t="s">
        <v>445</v>
      </c>
      <c r="I282" s="11">
        <v>97301</v>
      </c>
      <c r="J282" s="11" t="s">
        <v>70</v>
      </c>
      <c r="K282" s="11"/>
      <c r="L282" s="11"/>
      <c r="M282" s="11"/>
      <c r="N282" s="11"/>
      <c r="O282" s="13">
        <v>213</v>
      </c>
      <c r="P282" s="13">
        <v>213</v>
      </c>
      <c r="Q282" s="13">
        <v>0</v>
      </c>
      <c r="R282" s="13">
        <v>18032.480500000001</v>
      </c>
      <c r="S282" s="13">
        <v>530.24829999999997</v>
      </c>
      <c r="T282" s="13">
        <v>17502.232199999999</v>
      </c>
      <c r="U282" s="13">
        <v>12</v>
      </c>
      <c r="V282" s="13">
        <v>12</v>
      </c>
      <c r="W282" s="13">
        <v>0</v>
      </c>
      <c r="X282" s="13">
        <v>1404.4331</v>
      </c>
      <c r="Y282" s="13">
        <v>46.714100000000002</v>
      </c>
      <c r="Z282" s="13">
        <v>1357.7190000000001</v>
      </c>
      <c r="AA282" s="13">
        <v>24</v>
      </c>
      <c r="AB282" s="13">
        <v>24</v>
      </c>
      <c r="AC282" s="13">
        <v>0</v>
      </c>
      <c r="AD282" s="13">
        <v>1595.9836</v>
      </c>
      <c r="AE282" s="13">
        <v>65.463999999999999</v>
      </c>
      <c r="AF282" s="13">
        <v>1530.5196000000001</v>
      </c>
      <c r="AG282" s="13">
        <v>16</v>
      </c>
      <c r="AH282" s="13">
        <v>16</v>
      </c>
      <c r="AI282" s="13">
        <v>0</v>
      </c>
      <c r="AJ282" s="13">
        <v>1399.9474</v>
      </c>
      <c r="AK282" s="13">
        <v>54.571300000000001</v>
      </c>
      <c r="AL282" s="13">
        <v>1345.3761</v>
      </c>
      <c r="AM282" s="13">
        <v>8</v>
      </c>
      <c r="AN282" s="13">
        <v>8</v>
      </c>
      <c r="AO282" s="13">
        <v>0</v>
      </c>
      <c r="AP282" s="13">
        <v>1274.8828000000001</v>
      </c>
      <c r="AQ282" s="13">
        <v>28.2499</v>
      </c>
      <c r="AR282" s="13">
        <v>1246.6329000000001</v>
      </c>
      <c r="AS282" s="13">
        <v>16</v>
      </c>
      <c r="AT282" s="13">
        <v>16</v>
      </c>
      <c r="AU282" s="13">
        <v>0</v>
      </c>
      <c r="AV282" s="13">
        <v>1521.2549999999999</v>
      </c>
      <c r="AW282" s="13">
        <v>40.106999999999999</v>
      </c>
      <c r="AX282" s="13">
        <v>1481.1479999999999</v>
      </c>
      <c r="AY282" s="13">
        <v>34</v>
      </c>
      <c r="AZ282" s="13">
        <v>34</v>
      </c>
      <c r="BA282" s="13">
        <v>0</v>
      </c>
      <c r="BB282" s="13">
        <v>1130.2034999999998</v>
      </c>
      <c r="BC282" s="13">
        <v>68.714100000000002</v>
      </c>
      <c r="BD282" s="13">
        <v>1061.4893999999999</v>
      </c>
      <c r="BE282" s="13">
        <v>8</v>
      </c>
      <c r="BF282" s="13">
        <v>8</v>
      </c>
      <c r="BG282" s="13">
        <v>0</v>
      </c>
      <c r="BH282" s="13">
        <v>1131.5894000000001</v>
      </c>
      <c r="BI282" s="13">
        <v>33.071300000000001</v>
      </c>
      <c r="BJ282" s="13">
        <v>1098.5181</v>
      </c>
      <c r="BK282" s="13">
        <v>23</v>
      </c>
      <c r="BL282" s="13">
        <v>23</v>
      </c>
      <c r="BM282" s="13">
        <v>0</v>
      </c>
      <c r="BN282" s="13">
        <v>1518.8049000000001</v>
      </c>
      <c r="BO282" s="13">
        <v>49.9998</v>
      </c>
      <c r="BP282" s="13">
        <v>1468.8051</v>
      </c>
      <c r="BQ282" s="13">
        <v>16</v>
      </c>
      <c r="BR282" s="13">
        <v>16</v>
      </c>
      <c r="BS282" s="13">
        <v>0</v>
      </c>
      <c r="BT282" s="13">
        <v>1286.5472</v>
      </c>
      <c r="BU282" s="13">
        <v>27.571400000000001</v>
      </c>
      <c r="BV282" s="13">
        <v>1258.9757999999999</v>
      </c>
      <c r="BW282" s="13">
        <v>16</v>
      </c>
      <c r="BX282" s="13">
        <v>16</v>
      </c>
      <c r="BY282" s="13">
        <v>0</v>
      </c>
      <c r="BZ282" s="13">
        <v>1240.2610999999999</v>
      </c>
      <c r="CA282" s="13">
        <v>42.9998</v>
      </c>
      <c r="CB282" s="13">
        <v>1197.2612999999999</v>
      </c>
      <c r="CC282" s="13">
        <v>16</v>
      </c>
      <c r="CD282" s="13">
        <v>16</v>
      </c>
      <c r="CE282" s="13">
        <v>0</v>
      </c>
      <c r="CF282" s="13">
        <v>1917.9637</v>
      </c>
      <c r="CG282" s="13">
        <v>29.5</v>
      </c>
      <c r="CH282" s="13">
        <v>1888.4637</v>
      </c>
      <c r="CI282" s="13">
        <v>16</v>
      </c>
      <c r="CJ282" s="13">
        <v>16</v>
      </c>
      <c r="CK282" s="13">
        <v>0</v>
      </c>
      <c r="CL282" s="13">
        <v>1296.9615000000001</v>
      </c>
      <c r="CM282" s="13">
        <v>25.642800000000001</v>
      </c>
      <c r="CN282" s="13">
        <v>1271.3187</v>
      </c>
      <c r="CO282" s="13">
        <v>8</v>
      </c>
      <c r="CP282" s="13">
        <v>8</v>
      </c>
      <c r="CQ282" s="13">
        <v>0</v>
      </c>
      <c r="CR282" s="13">
        <v>1313.6473000000001</v>
      </c>
      <c r="CS282" s="13">
        <v>17.642800000000001</v>
      </c>
      <c r="CT282" s="13">
        <v>1296.0045</v>
      </c>
      <c r="CU282" s="13">
        <f t="shared" si="32"/>
        <v>201</v>
      </c>
      <c r="CV282" s="13">
        <f t="shared" si="32"/>
        <v>201</v>
      </c>
      <c r="CW282" s="13">
        <f t="shared" si="32"/>
        <v>0</v>
      </c>
      <c r="CX282" s="13">
        <f t="shared" si="32"/>
        <v>16628.047399999999</v>
      </c>
      <c r="CY282" s="13">
        <f t="shared" si="32"/>
        <v>483.53420000000006</v>
      </c>
      <c r="CZ282" s="13">
        <f t="shared" si="32"/>
        <v>16144.513200000001</v>
      </c>
      <c r="DA282" s="13">
        <f t="shared" si="33"/>
        <v>40</v>
      </c>
      <c r="DB282" s="13">
        <f t="shared" si="33"/>
        <v>40</v>
      </c>
      <c r="DC282" s="13">
        <f t="shared" si="33"/>
        <v>0</v>
      </c>
      <c r="DD282" s="13">
        <f t="shared" si="33"/>
        <v>4528.5725000000002</v>
      </c>
      <c r="DE282" s="13">
        <f t="shared" si="33"/>
        <v>72.785600000000002</v>
      </c>
      <c r="DF282" s="13">
        <f t="shared" si="33"/>
        <v>4455.7869000000001</v>
      </c>
      <c r="DG282" s="13">
        <f t="shared" si="34"/>
        <v>55</v>
      </c>
      <c r="DH282" s="13">
        <f t="shared" si="34"/>
        <v>55</v>
      </c>
      <c r="DI282" s="13">
        <f t="shared" si="34"/>
        <v>0</v>
      </c>
      <c r="DJ282" s="13">
        <f t="shared" si="34"/>
        <v>4045.6131999999998</v>
      </c>
      <c r="DK282" s="13">
        <f t="shared" si="34"/>
        <v>120.571</v>
      </c>
      <c r="DL282" s="13">
        <f t="shared" si="34"/>
        <v>3925.0421999999999</v>
      </c>
      <c r="DM282" s="13">
        <f t="shared" si="35"/>
        <v>24</v>
      </c>
      <c r="DN282" s="13">
        <f t="shared" si="35"/>
        <v>24</v>
      </c>
      <c r="DO282" s="13">
        <f t="shared" si="35"/>
        <v>0</v>
      </c>
      <c r="DP282" s="13">
        <f t="shared" si="35"/>
        <v>2610.6088</v>
      </c>
      <c r="DQ282" s="13">
        <f t="shared" si="35"/>
        <v>43.285600000000002</v>
      </c>
      <c r="DR282" s="13">
        <f t="shared" si="35"/>
        <v>2567.3231999999998</v>
      </c>
      <c r="DS282" s="14" t="s">
        <v>81</v>
      </c>
      <c r="DT282" s="14" t="s">
        <v>72</v>
      </c>
      <c r="DU282" s="14" t="s">
        <v>113</v>
      </c>
      <c r="DV282" s="14" t="s">
        <v>372</v>
      </c>
      <c r="DW282" s="14" t="s">
        <v>74</v>
      </c>
    </row>
    <row r="283" spans="2:127" x14ac:dyDescent="0.3">
      <c r="B283" s="11" t="s">
        <v>83</v>
      </c>
      <c r="C283" s="14">
        <v>5001341646</v>
      </c>
      <c r="D283" s="11" t="s">
        <v>897</v>
      </c>
      <c r="E283" s="11" t="s">
        <v>803</v>
      </c>
      <c r="F283" s="11" t="s">
        <v>898</v>
      </c>
      <c r="G283" s="11" t="s">
        <v>899</v>
      </c>
      <c r="H283" s="11" t="s">
        <v>296</v>
      </c>
      <c r="I283" s="11">
        <v>60515</v>
      </c>
      <c r="J283" s="11" t="s">
        <v>109</v>
      </c>
      <c r="K283" s="11"/>
      <c r="L283" s="11"/>
      <c r="M283" s="11"/>
      <c r="N283" s="11"/>
      <c r="O283" s="13">
        <v>163</v>
      </c>
      <c r="P283" s="13">
        <v>163</v>
      </c>
      <c r="Q283" s="13">
        <v>0</v>
      </c>
      <c r="R283" s="13">
        <v>19966.406500000001</v>
      </c>
      <c r="S283" s="13">
        <v>513.99610000000007</v>
      </c>
      <c r="T283" s="13">
        <v>19452.410400000001</v>
      </c>
      <c r="U283" s="13">
        <v>8</v>
      </c>
      <c r="V283" s="13">
        <v>8</v>
      </c>
      <c r="W283" s="13">
        <v>0</v>
      </c>
      <c r="X283" s="13">
        <v>1405.8332</v>
      </c>
      <c r="Y283" s="13">
        <v>23.4284</v>
      </c>
      <c r="Z283" s="13">
        <v>1382.4048</v>
      </c>
      <c r="AA283" s="13">
        <v>23</v>
      </c>
      <c r="AB283" s="13">
        <v>23</v>
      </c>
      <c r="AC283" s="13">
        <v>0</v>
      </c>
      <c r="AD283" s="13">
        <v>1765.6628000000001</v>
      </c>
      <c r="AE283" s="13">
        <v>49.999700000000004</v>
      </c>
      <c r="AF283" s="13">
        <v>1715.6631</v>
      </c>
      <c r="AG283" s="13">
        <v>28</v>
      </c>
      <c r="AH283" s="13">
        <v>28</v>
      </c>
      <c r="AI283" s="13">
        <v>0</v>
      </c>
      <c r="AJ283" s="13">
        <v>2903.8948</v>
      </c>
      <c r="AK283" s="13">
        <v>89.7136</v>
      </c>
      <c r="AL283" s="13">
        <v>2814.1812</v>
      </c>
      <c r="AM283" s="13">
        <v>39</v>
      </c>
      <c r="AN283" s="13">
        <v>39</v>
      </c>
      <c r="AO283" s="13">
        <v>0</v>
      </c>
      <c r="AP283" s="13">
        <v>362.22930000000002</v>
      </c>
      <c r="AQ283" s="13">
        <v>65.999700000000004</v>
      </c>
      <c r="AR283" s="13">
        <v>296.2296</v>
      </c>
      <c r="AS283" s="13">
        <v>16</v>
      </c>
      <c r="AT283" s="13">
        <v>16</v>
      </c>
      <c r="AU283" s="13">
        <v>0</v>
      </c>
      <c r="AV283" s="13">
        <v>904.68880000000001</v>
      </c>
      <c r="AW283" s="13">
        <v>16</v>
      </c>
      <c r="AX283" s="13">
        <v>888.68880000000001</v>
      </c>
      <c r="AY283" s="13">
        <v>8</v>
      </c>
      <c r="AZ283" s="13">
        <v>8</v>
      </c>
      <c r="BA283" s="13">
        <v>0</v>
      </c>
      <c r="BB283" s="13">
        <v>1420.49</v>
      </c>
      <c r="BC283" s="13">
        <v>50.428100000000001</v>
      </c>
      <c r="BD283" s="13">
        <v>1370.0618999999999</v>
      </c>
      <c r="BE283" s="13">
        <v>9</v>
      </c>
      <c r="BF283" s="13">
        <v>9</v>
      </c>
      <c r="BG283" s="13">
        <v>0</v>
      </c>
      <c r="BH283" s="13">
        <v>1197.0038999999999</v>
      </c>
      <c r="BI283" s="13">
        <v>24.4284</v>
      </c>
      <c r="BJ283" s="13">
        <v>1172.5754999999999</v>
      </c>
      <c r="BK283" s="13">
        <v>16</v>
      </c>
      <c r="BL283" s="13">
        <v>16</v>
      </c>
      <c r="BM283" s="13">
        <v>0</v>
      </c>
      <c r="BN283" s="13">
        <v>1598.2051000000001</v>
      </c>
      <c r="BO283" s="13">
        <v>42.999700000000004</v>
      </c>
      <c r="BP283" s="13">
        <v>1555.2054000000001</v>
      </c>
      <c r="BQ283" s="13">
        <v>0</v>
      </c>
      <c r="BR283" s="13">
        <v>0</v>
      </c>
      <c r="BS283" s="13">
        <v>0</v>
      </c>
      <c r="BT283" s="13">
        <v>1657.0341000000001</v>
      </c>
      <c r="BU283" s="13">
        <v>15.4284</v>
      </c>
      <c r="BV283" s="13">
        <v>1641.6057000000001</v>
      </c>
      <c r="BW283" s="13">
        <v>8</v>
      </c>
      <c r="BX283" s="13">
        <v>8</v>
      </c>
      <c r="BY283" s="13">
        <v>0</v>
      </c>
      <c r="BZ283" s="13">
        <v>1824.7202</v>
      </c>
      <c r="CA283" s="13">
        <v>34.999700000000004</v>
      </c>
      <c r="CB283" s="13">
        <v>1789.7204999999999</v>
      </c>
      <c r="CC283" s="13">
        <v>0</v>
      </c>
      <c r="CD283" s="13">
        <v>0</v>
      </c>
      <c r="CE283" s="13">
        <v>0</v>
      </c>
      <c r="CF283" s="13">
        <v>2001.0920999999998</v>
      </c>
      <c r="CG283" s="13">
        <v>38.570999999999998</v>
      </c>
      <c r="CH283" s="13">
        <v>1962.5210999999999</v>
      </c>
      <c r="CI283" s="13">
        <v>8</v>
      </c>
      <c r="CJ283" s="13">
        <v>8</v>
      </c>
      <c r="CK283" s="13">
        <v>0</v>
      </c>
      <c r="CL283" s="13">
        <v>1628.0054</v>
      </c>
      <c r="CM283" s="13">
        <v>23.4284</v>
      </c>
      <c r="CN283" s="13">
        <v>1604.577</v>
      </c>
      <c r="CO283" s="13">
        <v>0</v>
      </c>
      <c r="CP283" s="13">
        <v>0</v>
      </c>
      <c r="CQ283" s="13">
        <v>0</v>
      </c>
      <c r="CR283" s="13">
        <v>1297.5467999999998</v>
      </c>
      <c r="CS283" s="13">
        <v>38.570999999999998</v>
      </c>
      <c r="CT283" s="13">
        <v>1258.9757999999999</v>
      </c>
      <c r="CU283" s="13">
        <f t="shared" si="32"/>
        <v>155</v>
      </c>
      <c r="CV283" s="13">
        <f t="shared" si="32"/>
        <v>155</v>
      </c>
      <c r="CW283" s="13">
        <f t="shared" si="32"/>
        <v>0</v>
      </c>
      <c r="CX283" s="13">
        <f t="shared" si="32"/>
        <v>18560.5733</v>
      </c>
      <c r="CY283" s="13">
        <f t="shared" si="32"/>
        <v>490.56770000000017</v>
      </c>
      <c r="CZ283" s="13">
        <f t="shared" si="32"/>
        <v>18070.0056</v>
      </c>
      <c r="DA283" s="13">
        <f t="shared" si="33"/>
        <v>8</v>
      </c>
      <c r="DB283" s="13">
        <f t="shared" si="33"/>
        <v>8</v>
      </c>
      <c r="DC283" s="13">
        <f t="shared" si="33"/>
        <v>0</v>
      </c>
      <c r="DD283" s="13">
        <f t="shared" si="33"/>
        <v>4926.6442999999999</v>
      </c>
      <c r="DE283" s="13">
        <f t="shared" si="33"/>
        <v>100.57039999999999</v>
      </c>
      <c r="DF283" s="13">
        <f t="shared" si="33"/>
        <v>4826.0739000000003</v>
      </c>
      <c r="DG283" s="13">
        <f t="shared" si="34"/>
        <v>24</v>
      </c>
      <c r="DH283" s="13">
        <f t="shared" si="34"/>
        <v>24</v>
      </c>
      <c r="DI283" s="13">
        <f t="shared" si="34"/>
        <v>0</v>
      </c>
      <c r="DJ283" s="13">
        <f t="shared" si="34"/>
        <v>5079.9593999999997</v>
      </c>
      <c r="DK283" s="13">
        <f t="shared" si="34"/>
        <v>93.427800000000005</v>
      </c>
      <c r="DL283" s="13">
        <f t="shared" si="34"/>
        <v>4986.5316000000003</v>
      </c>
      <c r="DM283" s="13">
        <f t="shared" si="35"/>
        <v>8</v>
      </c>
      <c r="DN283" s="13">
        <f t="shared" si="35"/>
        <v>8</v>
      </c>
      <c r="DO283" s="13">
        <f t="shared" si="35"/>
        <v>0</v>
      </c>
      <c r="DP283" s="13">
        <f t="shared" si="35"/>
        <v>2925.5522000000001</v>
      </c>
      <c r="DQ283" s="13">
        <f t="shared" si="35"/>
        <v>61.999399999999994</v>
      </c>
      <c r="DR283" s="13">
        <f t="shared" si="35"/>
        <v>2863.5527999999999</v>
      </c>
      <c r="DS283" s="14" t="s">
        <v>81</v>
      </c>
      <c r="DT283" s="14" t="s">
        <v>72</v>
      </c>
      <c r="DU283" s="14" t="s">
        <v>113</v>
      </c>
      <c r="DV283" s="14" t="s">
        <v>372</v>
      </c>
      <c r="DW283" s="14" t="s">
        <v>74</v>
      </c>
    </row>
    <row r="284" spans="2:127" x14ac:dyDescent="0.3">
      <c r="B284" s="11" t="s">
        <v>65</v>
      </c>
      <c r="C284" s="14">
        <v>5010502684</v>
      </c>
      <c r="D284" s="11" t="s">
        <v>900</v>
      </c>
      <c r="E284" s="11" t="s">
        <v>803</v>
      </c>
      <c r="F284" s="11" t="s">
        <v>901</v>
      </c>
      <c r="G284" s="11" t="s">
        <v>902</v>
      </c>
      <c r="H284" s="11" t="s">
        <v>340</v>
      </c>
      <c r="I284" s="11">
        <v>8816</v>
      </c>
      <c r="J284" s="11" t="s">
        <v>70</v>
      </c>
      <c r="K284" s="11"/>
      <c r="L284" s="11"/>
      <c r="M284" s="11"/>
      <c r="N284" s="11"/>
      <c r="O284" s="13">
        <v>351</v>
      </c>
      <c r="P284" s="13">
        <v>351</v>
      </c>
      <c r="Q284" s="13">
        <v>0</v>
      </c>
      <c r="R284" s="13">
        <v>23584.963899999999</v>
      </c>
      <c r="S284" s="13">
        <v>713.5702</v>
      </c>
      <c r="T284" s="13">
        <v>22871.393700000001</v>
      </c>
      <c r="U284" s="13">
        <v>0</v>
      </c>
      <c r="V284" s="13">
        <v>0</v>
      </c>
      <c r="W284" s="13">
        <v>0</v>
      </c>
      <c r="X284" s="13">
        <v>1477.6765</v>
      </c>
      <c r="Y284" s="13">
        <v>21.214300000000001</v>
      </c>
      <c r="Z284" s="13">
        <v>1456.4621999999999</v>
      </c>
      <c r="AA284" s="13">
        <v>51</v>
      </c>
      <c r="AB284" s="13">
        <v>51</v>
      </c>
      <c r="AC284" s="13">
        <v>0</v>
      </c>
      <c r="AD284" s="13">
        <v>2010.8212000000001</v>
      </c>
      <c r="AE284" s="13">
        <v>60.643000000000001</v>
      </c>
      <c r="AF284" s="13">
        <v>1950.1782000000001</v>
      </c>
      <c r="AG284" s="13">
        <v>40</v>
      </c>
      <c r="AH284" s="13">
        <v>40</v>
      </c>
      <c r="AI284" s="13">
        <v>0</v>
      </c>
      <c r="AJ284" s="13">
        <v>1505.3336000000002</v>
      </c>
      <c r="AK284" s="13">
        <v>61.214300000000001</v>
      </c>
      <c r="AL284" s="13">
        <v>1444.1193000000001</v>
      </c>
      <c r="AM284" s="13">
        <v>24</v>
      </c>
      <c r="AN284" s="13">
        <v>24</v>
      </c>
      <c r="AO284" s="13">
        <v>0</v>
      </c>
      <c r="AP284" s="13">
        <v>1537.5482000000002</v>
      </c>
      <c r="AQ284" s="13">
        <v>31.714400000000001</v>
      </c>
      <c r="AR284" s="13">
        <v>1505.8338000000001</v>
      </c>
      <c r="AS284" s="13">
        <v>52</v>
      </c>
      <c r="AT284" s="13">
        <v>52</v>
      </c>
      <c r="AU284" s="13">
        <v>0</v>
      </c>
      <c r="AV284" s="13">
        <v>1995.2351999999998</v>
      </c>
      <c r="AW284" s="13">
        <v>94.428600000000003</v>
      </c>
      <c r="AX284" s="13">
        <v>1900.8065999999999</v>
      </c>
      <c r="AY284" s="13">
        <v>32</v>
      </c>
      <c r="AZ284" s="13">
        <v>32</v>
      </c>
      <c r="BA284" s="13">
        <v>0</v>
      </c>
      <c r="BB284" s="13">
        <v>1460.3049000000001</v>
      </c>
      <c r="BC284" s="13">
        <v>53.214300000000001</v>
      </c>
      <c r="BD284" s="13">
        <v>1407.0906</v>
      </c>
      <c r="BE284" s="13">
        <v>42</v>
      </c>
      <c r="BF284" s="13">
        <v>42</v>
      </c>
      <c r="BG284" s="13">
        <v>0</v>
      </c>
      <c r="BH284" s="13">
        <v>1604.9198000000001</v>
      </c>
      <c r="BI284" s="13">
        <v>49.714399999999998</v>
      </c>
      <c r="BJ284" s="13">
        <v>1555.2054000000001</v>
      </c>
      <c r="BK284" s="13">
        <v>60</v>
      </c>
      <c r="BL284" s="13">
        <v>60</v>
      </c>
      <c r="BM284" s="13">
        <v>0</v>
      </c>
      <c r="BN284" s="13">
        <v>1845.0920000000001</v>
      </c>
      <c r="BO284" s="13">
        <v>67.714399999999998</v>
      </c>
      <c r="BP284" s="13">
        <v>1777.3776</v>
      </c>
      <c r="BQ284" s="13">
        <v>11</v>
      </c>
      <c r="BR284" s="13">
        <v>11</v>
      </c>
      <c r="BS284" s="13">
        <v>0</v>
      </c>
      <c r="BT284" s="13">
        <v>1871.3062</v>
      </c>
      <c r="BU284" s="13">
        <v>32.214100000000002</v>
      </c>
      <c r="BV284" s="13">
        <v>1839.0921000000001</v>
      </c>
      <c r="BW284" s="13">
        <v>17</v>
      </c>
      <c r="BX284" s="13">
        <v>17</v>
      </c>
      <c r="BY284" s="13">
        <v>0</v>
      </c>
      <c r="BZ284" s="13">
        <v>1843.3629999999998</v>
      </c>
      <c r="CA284" s="13">
        <v>53.642499999999998</v>
      </c>
      <c r="CB284" s="13">
        <v>1789.7204999999999</v>
      </c>
      <c r="CC284" s="13">
        <v>6</v>
      </c>
      <c r="CD284" s="13">
        <v>6</v>
      </c>
      <c r="CE284" s="13">
        <v>0</v>
      </c>
      <c r="CF284" s="13">
        <v>2099.2781</v>
      </c>
      <c r="CG284" s="13">
        <v>50.356699999999996</v>
      </c>
      <c r="CH284" s="13">
        <v>2048.9214000000002</v>
      </c>
      <c r="CI284" s="13">
        <v>5</v>
      </c>
      <c r="CJ284" s="13">
        <v>5</v>
      </c>
      <c r="CK284" s="13">
        <v>0</v>
      </c>
      <c r="CL284" s="13">
        <v>2226.7214000000004</v>
      </c>
      <c r="CM284" s="13">
        <v>66.713899999999995</v>
      </c>
      <c r="CN284" s="13">
        <v>2160.0075000000002</v>
      </c>
      <c r="CO284" s="13">
        <v>11</v>
      </c>
      <c r="CP284" s="13">
        <v>11</v>
      </c>
      <c r="CQ284" s="13">
        <v>0</v>
      </c>
      <c r="CR284" s="13">
        <v>2107.3638000000001</v>
      </c>
      <c r="CS284" s="13">
        <v>70.785300000000007</v>
      </c>
      <c r="CT284" s="13">
        <v>2036.5785000000001</v>
      </c>
      <c r="CU284" s="13">
        <f t="shared" si="32"/>
        <v>351</v>
      </c>
      <c r="CV284" s="13">
        <f t="shared" si="32"/>
        <v>351</v>
      </c>
      <c r="CW284" s="13">
        <f t="shared" si="32"/>
        <v>0</v>
      </c>
      <c r="CX284" s="13">
        <f t="shared" si="32"/>
        <v>22107.287400000001</v>
      </c>
      <c r="CY284" s="13">
        <f t="shared" si="32"/>
        <v>692.35590000000002</v>
      </c>
      <c r="CZ284" s="13">
        <f t="shared" si="32"/>
        <v>21414.931499999999</v>
      </c>
      <c r="DA284" s="13">
        <f t="shared" si="33"/>
        <v>22</v>
      </c>
      <c r="DB284" s="13">
        <f t="shared" si="33"/>
        <v>22</v>
      </c>
      <c r="DC284" s="13">
        <f t="shared" si="33"/>
        <v>0</v>
      </c>
      <c r="DD284" s="13">
        <f t="shared" si="33"/>
        <v>6433.3633</v>
      </c>
      <c r="DE284" s="13">
        <f t="shared" si="33"/>
        <v>187.85589999999999</v>
      </c>
      <c r="DF284" s="13">
        <f t="shared" si="33"/>
        <v>6245.5074000000004</v>
      </c>
      <c r="DG284" s="13">
        <f t="shared" si="34"/>
        <v>88</v>
      </c>
      <c r="DH284" s="13">
        <f t="shared" si="34"/>
        <v>88</v>
      </c>
      <c r="DI284" s="13">
        <f t="shared" si="34"/>
        <v>0</v>
      </c>
      <c r="DJ284" s="13">
        <f t="shared" si="34"/>
        <v>5559.7611999999999</v>
      </c>
      <c r="DK284" s="13">
        <f t="shared" si="34"/>
        <v>153.571</v>
      </c>
      <c r="DL284" s="13">
        <f t="shared" si="34"/>
        <v>5406.1902</v>
      </c>
      <c r="DM284" s="13">
        <f t="shared" si="35"/>
        <v>16</v>
      </c>
      <c r="DN284" s="13">
        <f t="shared" si="35"/>
        <v>16</v>
      </c>
      <c r="DO284" s="13">
        <f t="shared" si="35"/>
        <v>0</v>
      </c>
      <c r="DP284" s="13">
        <f t="shared" si="35"/>
        <v>4334.0852000000004</v>
      </c>
      <c r="DQ284" s="13">
        <f t="shared" si="35"/>
        <v>137.4992</v>
      </c>
      <c r="DR284" s="13">
        <f t="shared" si="35"/>
        <v>4196.5860000000002</v>
      </c>
      <c r="DS284" s="14" t="s">
        <v>81</v>
      </c>
      <c r="DT284" s="14" t="s">
        <v>72</v>
      </c>
      <c r="DU284" s="14" t="s">
        <v>113</v>
      </c>
      <c r="DV284" s="14" t="s">
        <v>372</v>
      </c>
      <c r="DW284" s="14" t="s">
        <v>74</v>
      </c>
    </row>
    <row r="285" spans="2:127" x14ac:dyDescent="0.3">
      <c r="B285" s="11" t="s">
        <v>65</v>
      </c>
      <c r="C285" s="14">
        <v>5001341559</v>
      </c>
      <c r="D285" s="11" t="s">
        <v>903</v>
      </c>
      <c r="E285" s="11" t="s">
        <v>803</v>
      </c>
      <c r="F285" s="11" t="s">
        <v>904</v>
      </c>
      <c r="G285" s="11" t="s">
        <v>702</v>
      </c>
      <c r="H285" s="11" t="s">
        <v>216</v>
      </c>
      <c r="I285" s="11">
        <v>43623</v>
      </c>
      <c r="J285" s="11" t="s">
        <v>70</v>
      </c>
      <c r="K285" s="11"/>
      <c r="L285" s="11"/>
      <c r="M285" s="11"/>
      <c r="N285" s="11"/>
      <c r="O285" s="13">
        <v>191</v>
      </c>
      <c r="P285" s="13">
        <v>191</v>
      </c>
      <c r="Q285" s="13">
        <v>0</v>
      </c>
      <c r="R285" s="13">
        <v>1992.2908</v>
      </c>
      <c r="S285" s="13">
        <v>387.71379999999999</v>
      </c>
      <c r="T285" s="13">
        <v>1604.577</v>
      </c>
      <c r="U285" s="13">
        <v>0</v>
      </c>
      <c r="V285" s="13">
        <v>0</v>
      </c>
      <c r="W285" s="13">
        <v>0</v>
      </c>
      <c r="X285" s="13">
        <v>101.25</v>
      </c>
      <c r="Y285" s="13">
        <v>39.535499999999999</v>
      </c>
      <c r="Z285" s="13">
        <v>61.714500000000001</v>
      </c>
      <c r="AA285" s="13">
        <v>4</v>
      </c>
      <c r="AB285" s="13">
        <v>4</v>
      </c>
      <c r="AC285" s="13">
        <v>0</v>
      </c>
      <c r="AD285" s="13">
        <v>141.50720000000001</v>
      </c>
      <c r="AE285" s="13">
        <v>55.106900000000003</v>
      </c>
      <c r="AF285" s="13">
        <v>86.400300000000001</v>
      </c>
      <c r="AG285" s="13">
        <v>5</v>
      </c>
      <c r="AH285" s="13">
        <v>5</v>
      </c>
      <c r="AI285" s="13">
        <v>0</v>
      </c>
      <c r="AJ285" s="13">
        <v>40.485600000000005</v>
      </c>
      <c r="AK285" s="13">
        <v>28.142700000000001</v>
      </c>
      <c r="AL285" s="13">
        <v>12.3429</v>
      </c>
      <c r="AM285" s="13">
        <v>43</v>
      </c>
      <c r="AN285" s="13">
        <v>43</v>
      </c>
      <c r="AO285" s="13">
        <v>0</v>
      </c>
      <c r="AP285" s="13">
        <v>56.307200000000002</v>
      </c>
      <c r="AQ285" s="13">
        <v>43.964300000000001</v>
      </c>
      <c r="AR285" s="13">
        <v>12.3429</v>
      </c>
      <c r="AS285" s="13">
        <v>70</v>
      </c>
      <c r="AT285" s="13">
        <v>70</v>
      </c>
      <c r="AU285" s="13">
        <v>0</v>
      </c>
      <c r="AV285" s="13">
        <v>303.93629999999996</v>
      </c>
      <c r="AW285" s="13">
        <v>94.106999999999999</v>
      </c>
      <c r="AX285" s="13">
        <v>209.82929999999999</v>
      </c>
      <c r="AY285" s="13">
        <v>28</v>
      </c>
      <c r="AZ285" s="13">
        <v>28</v>
      </c>
      <c r="BA285" s="13">
        <v>0</v>
      </c>
      <c r="BB285" s="13">
        <v>242.6508</v>
      </c>
      <c r="BC285" s="13">
        <v>32.8215</v>
      </c>
      <c r="BD285" s="13">
        <v>209.82929999999999</v>
      </c>
      <c r="BE285" s="13">
        <v>0</v>
      </c>
      <c r="BF285" s="13">
        <v>0</v>
      </c>
      <c r="BG285" s="13">
        <v>0</v>
      </c>
      <c r="BH285" s="13">
        <v>93.150400000000005</v>
      </c>
      <c r="BI285" s="13">
        <v>6.7500999999999998</v>
      </c>
      <c r="BJ285" s="13">
        <v>86.400300000000001</v>
      </c>
      <c r="BK285" s="13">
        <v>18</v>
      </c>
      <c r="BL285" s="13">
        <v>18</v>
      </c>
      <c r="BM285" s="13">
        <v>0</v>
      </c>
      <c r="BN285" s="13">
        <v>317.1225</v>
      </c>
      <c r="BO285" s="13">
        <v>20.892900000000001</v>
      </c>
      <c r="BP285" s="13">
        <v>296.2296</v>
      </c>
      <c r="BQ285" s="13">
        <v>0</v>
      </c>
      <c r="BR285" s="13">
        <v>0</v>
      </c>
      <c r="BS285" s="13">
        <v>0</v>
      </c>
      <c r="BT285" s="13">
        <v>88.328900000000004</v>
      </c>
      <c r="BU285" s="13">
        <v>1.9286000000000001</v>
      </c>
      <c r="BV285" s="13">
        <v>86.400300000000001</v>
      </c>
      <c r="BW285" s="13">
        <v>6</v>
      </c>
      <c r="BX285" s="13">
        <v>6</v>
      </c>
      <c r="BY285" s="13">
        <v>0</v>
      </c>
      <c r="BZ285" s="13">
        <v>195.00069999999999</v>
      </c>
      <c r="CA285" s="13">
        <v>9.8572000000000006</v>
      </c>
      <c r="CB285" s="13">
        <v>185.14349999999999</v>
      </c>
      <c r="CC285" s="13">
        <v>2</v>
      </c>
      <c r="CD285" s="13">
        <v>2</v>
      </c>
      <c r="CE285" s="13">
        <v>0</v>
      </c>
      <c r="CF285" s="13">
        <v>243.4579</v>
      </c>
      <c r="CG285" s="13">
        <v>21.285699999999999</v>
      </c>
      <c r="CH285" s="13">
        <v>222.1722</v>
      </c>
      <c r="CI285" s="13">
        <v>8</v>
      </c>
      <c r="CJ285" s="13">
        <v>8</v>
      </c>
      <c r="CK285" s="13">
        <v>0</v>
      </c>
      <c r="CL285" s="13">
        <v>159.2004</v>
      </c>
      <c r="CM285" s="13">
        <v>23.4285</v>
      </c>
      <c r="CN285" s="13">
        <v>135.77189999999999</v>
      </c>
      <c r="CO285" s="13">
        <v>7</v>
      </c>
      <c r="CP285" s="13">
        <v>7</v>
      </c>
      <c r="CQ285" s="13">
        <v>0</v>
      </c>
      <c r="CR285" s="13">
        <v>9.8929000000000009</v>
      </c>
      <c r="CS285" s="13">
        <v>9.8929000000000009</v>
      </c>
      <c r="CT285" s="13">
        <v>0</v>
      </c>
      <c r="CU285" s="13">
        <f t="shared" si="32"/>
        <v>191</v>
      </c>
      <c r="CV285" s="13">
        <f t="shared" si="32"/>
        <v>191</v>
      </c>
      <c r="CW285" s="13">
        <f t="shared" si="32"/>
        <v>0</v>
      </c>
      <c r="CX285" s="13">
        <f t="shared" si="32"/>
        <v>1891.0408000000002</v>
      </c>
      <c r="CY285" s="13">
        <f t="shared" si="32"/>
        <v>348.17829999999998</v>
      </c>
      <c r="CZ285" s="13">
        <f t="shared" si="32"/>
        <v>1542.8625</v>
      </c>
      <c r="DA285" s="13">
        <f t="shared" si="33"/>
        <v>17</v>
      </c>
      <c r="DB285" s="13">
        <f t="shared" si="33"/>
        <v>17</v>
      </c>
      <c r="DC285" s="13">
        <f t="shared" si="33"/>
        <v>0</v>
      </c>
      <c r="DD285" s="13">
        <f t="shared" si="33"/>
        <v>412.55119999999999</v>
      </c>
      <c r="DE285" s="13">
        <f t="shared" si="33"/>
        <v>54.607100000000003</v>
      </c>
      <c r="DF285" s="13">
        <f t="shared" si="33"/>
        <v>357.94409999999999</v>
      </c>
      <c r="DG285" s="13">
        <f t="shared" si="34"/>
        <v>24</v>
      </c>
      <c r="DH285" s="13">
        <f t="shared" si="34"/>
        <v>24</v>
      </c>
      <c r="DI285" s="13">
        <f t="shared" si="34"/>
        <v>0</v>
      </c>
      <c r="DJ285" s="13">
        <f t="shared" si="34"/>
        <v>600.45209999999997</v>
      </c>
      <c r="DK285" s="13">
        <f t="shared" si="34"/>
        <v>32.678699999999999</v>
      </c>
      <c r="DL285" s="13">
        <f t="shared" si="34"/>
        <v>567.77340000000004</v>
      </c>
      <c r="DM285" s="13">
        <f t="shared" si="35"/>
        <v>15</v>
      </c>
      <c r="DN285" s="13">
        <f t="shared" si="35"/>
        <v>15</v>
      </c>
      <c r="DO285" s="13">
        <f t="shared" si="35"/>
        <v>0</v>
      </c>
      <c r="DP285" s="13">
        <f t="shared" si="35"/>
        <v>169.0933</v>
      </c>
      <c r="DQ285" s="13">
        <f t="shared" si="35"/>
        <v>33.321399999999997</v>
      </c>
      <c r="DR285" s="13">
        <f t="shared" si="35"/>
        <v>135.77189999999999</v>
      </c>
      <c r="DS285" s="14" t="s">
        <v>81</v>
      </c>
      <c r="DT285" s="14" t="s">
        <v>72</v>
      </c>
      <c r="DU285" s="14" t="s">
        <v>113</v>
      </c>
      <c r="DV285" s="14" t="s">
        <v>372</v>
      </c>
      <c r="DW285" s="14" t="s">
        <v>74</v>
      </c>
    </row>
    <row r="286" spans="2:127" x14ac:dyDescent="0.3">
      <c r="B286" s="11" t="s">
        <v>75</v>
      </c>
      <c r="C286" s="14">
        <v>5007151778</v>
      </c>
      <c r="D286" s="11" t="s">
        <v>905</v>
      </c>
      <c r="E286" s="11" t="s">
        <v>803</v>
      </c>
      <c r="F286" s="11" t="s">
        <v>906</v>
      </c>
      <c r="G286" s="11" t="s">
        <v>907</v>
      </c>
      <c r="H286" s="11" t="s">
        <v>104</v>
      </c>
      <c r="I286" s="11">
        <v>32503</v>
      </c>
      <c r="J286" s="11" t="s">
        <v>70</v>
      </c>
      <c r="K286" s="11"/>
      <c r="L286" s="11"/>
      <c r="M286" s="11"/>
      <c r="N286" s="11"/>
      <c r="O286" s="13">
        <v>0</v>
      </c>
      <c r="P286" s="13">
        <v>0</v>
      </c>
      <c r="Q286" s="13">
        <v>0</v>
      </c>
      <c r="R286" s="13">
        <v>10196.962600000001</v>
      </c>
      <c r="S286" s="13">
        <v>668.24379999999996</v>
      </c>
      <c r="T286" s="13">
        <v>9528.7188000000006</v>
      </c>
      <c r="U286" s="13">
        <v>0</v>
      </c>
      <c r="V286" s="13">
        <v>0</v>
      </c>
      <c r="W286" s="13">
        <v>0</v>
      </c>
      <c r="X286" s="13">
        <v>976.43799999999999</v>
      </c>
      <c r="Y286" s="13">
        <v>87.749200000000002</v>
      </c>
      <c r="Z286" s="13">
        <v>888.68880000000001</v>
      </c>
      <c r="AA286" s="13">
        <v>0</v>
      </c>
      <c r="AB286" s="13">
        <v>0</v>
      </c>
      <c r="AC286" s="13">
        <v>0</v>
      </c>
      <c r="AD286" s="13">
        <v>1102.1818000000001</v>
      </c>
      <c r="AE286" s="13">
        <v>53.035299999999999</v>
      </c>
      <c r="AF286" s="13">
        <v>1049.1465000000001</v>
      </c>
      <c r="AG286" s="13">
        <v>0</v>
      </c>
      <c r="AH286" s="13">
        <v>0</v>
      </c>
      <c r="AI286" s="13">
        <v>0</v>
      </c>
      <c r="AJ286" s="13">
        <v>642.79420000000005</v>
      </c>
      <c r="AK286" s="13">
        <v>62.677900000000001</v>
      </c>
      <c r="AL286" s="13">
        <v>580.11630000000002</v>
      </c>
      <c r="AM286" s="13">
        <v>0</v>
      </c>
      <c r="AN286" s="13">
        <v>0</v>
      </c>
      <c r="AO286" s="13">
        <v>0</v>
      </c>
      <c r="AP286" s="13">
        <v>694.48060000000009</v>
      </c>
      <c r="AQ286" s="13">
        <v>27.963999999999999</v>
      </c>
      <c r="AR286" s="13">
        <v>666.51660000000004</v>
      </c>
      <c r="AS286" s="13">
        <v>0</v>
      </c>
      <c r="AT286" s="13">
        <v>0</v>
      </c>
      <c r="AU286" s="13">
        <v>0</v>
      </c>
      <c r="AV286" s="13">
        <v>1211.3392000000001</v>
      </c>
      <c r="AW286" s="13">
        <v>51.1066</v>
      </c>
      <c r="AX286" s="13">
        <v>1160.2326</v>
      </c>
      <c r="AY286" s="13">
        <v>0</v>
      </c>
      <c r="AZ286" s="13">
        <v>0</v>
      </c>
      <c r="BA286" s="13">
        <v>0</v>
      </c>
      <c r="BB286" s="13">
        <v>152.35730000000001</v>
      </c>
      <c r="BC286" s="13">
        <v>28.9283</v>
      </c>
      <c r="BD286" s="13">
        <v>123.429</v>
      </c>
      <c r="BE286" s="13">
        <v>0</v>
      </c>
      <c r="BF286" s="13">
        <v>0</v>
      </c>
      <c r="BG286" s="13">
        <v>0</v>
      </c>
      <c r="BH286" s="13">
        <v>727.65219999999999</v>
      </c>
      <c r="BI286" s="13">
        <v>24.1069</v>
      </c>
      <c r="BJ286" s="13">
        <v>703.5453</v>
      </c>
      <c r="BK286" s="13">
        <v>0</v>
      </c>
      <c r="BL286" s="13">
        <v>0</v>
      </c>
      <c r="BM286" s="13">
        <v>0</v>
      </c>
      <c r="BN286" s="13">
        <v>1086.7533000000001</v>
      </c>
      <c r="BO286" s="13">
        <v>37.6068</v>
      </c>
      <c r="BP286" s="13">
        <v>1049.1465000000001</v>
      </c>
      <c r="BQ286" s="13">
        <v>0</v>
      </c>
      <c r="BR286" s="13">
        <v>0</v>
      </c>
      <c r="BS286" s="13">
        <v>0</v>
      </c>
      <c r="BT286" s="13">
        <v>990.13139999999999</v>
      </c>
      <c r="BU286" s="13">
        <v>52.070999999999998</v>
      </c>
      <c r="BV286" s="13">
        <v>938.06039999999996</v>
      </c>
      <c r="BW286" s="13">
        <v>0</v>
      </c>
      <c r="BX286" s="13">
        <v>0</v>
      </c>
      <c r="BY286" s="13">
        <v>0</v>
      </c>
      <c r="BZ286" s="13">
        <v>467.87239999999997</v>
      </c>
      <c r="CA286" s="13">
        <v>48.213799999999999</v>
      </c>
      <c r="CB286" s="13">
        <v>419.65859999999998</v>
      </c>
      <c r="CC286" s="13">
        <v>0</v>
      </c>
      <c r="CD286" s="13">
        <v>0</v>
      </c>
      <c r="CE286" s="13">
        <v>0</v>
      </c>
      <c r="CF286" s="13">
        <v>775.28730000000007</v>
      </c>
      <c r="CG286" s="13">
        <v>96.427800000000005</v>
      </c>
      <c r="CH286" s="13">
        <v>678.85950000000003</v>
      </c>
      <c r="CI286" s="13">
        <v>0</v>
      </c>
      <c r="CJ286" s="13">
        <v>0</v>
      </c>
      <c r="CK286" s="13">
        <v>0</v>
      </c>
      <c r="CL286" s="13">
        <v>703.35180000000003</v>
      </c>
      <c r="CM286" s="13">
        <v>49.178100000000001</v>
      </c>
      <c r="CN286" s="13">
        <v>654.17370000000005</v>
      </c>
      <c r="CO286" s="13">
        <v>0</v>
      </c>
      <c r="CP286" s="13">
        <v>0</v>
      </c>
      <c r="CQ286" s="13">
        <v>0</v>
      </c>
      <c r="CR286" s="13">
        <v>666.32309999999995</v>
      </c>
      <c r="CS286" s="13">
        <v>49.178100000000001</v>
      </c>
      <c r="CT286" s="13">
        <v>617.14499999999998</v>
      </c>
      <c r="CU286" s="13">
        <f t="shared" si="32"/>
        <v>0</v>
      </c>
      <c r="CV286" s="13">
        <f t="shared" si="32"/>
        <v>0</v>
      </c>
      <c r="CW286" s="13">
        <f t="shared" si="32"/>
        <v>0</v>
      </c>
      <c r="CX286" s="13">
        <f t="shared" si="32"/>
        <v>9220.5246000000006</v>
      </c>
      <c r="CY286" s="13">
        <f t="shared" si="32"/>
        <v>580.49459999999999</v>
      </c>
      <c r="CZ286" s="13">
        <f t="shared" si="32"/>
        <v>8640.0299999999988</v>
      </c>
      <c r="DA286" s="13">
        <f t="shared" si="33"/>
        <v>0</v>
      </c>
      <c r="DB286" s="13">
        <f t="shared" si="33"/>
        <v>0</v>
      </c>
      <c r="DC286" s="13">
        <f t="shared" si="33"/>
        <v>0</v>
      </c>
      <c r="DD286" s="13">
        <f t="shared" si="33"/>
        <v>2144.9621999999999</v>
      </c>
      <c r="DE286" s="13">
        <f t="shared" si="33"/>
        <v>194.78400000000002</v>
      </c>
      <c r="DF286" s="13">
        <f t="shared" si="33"/>
        <v>1950.1782000000001</v>
      </c>
      <c r="DG286" s="13">
        <f t="shared" si="34"/>
        <v>0</v>
      </c>
      <c r="DH286" s="13">
        <f t="shared" si="34"/>
        <v>0</v>
      </c>
      <c r="DI286" s="13">
        <f t="shared" si="34"/>
        <v>0</v>
      </c>
      <c r="DJ286" s="13">
        <f t="shared" si="34"/>
        <v>2544.7570999999998</v>
      </c>
      <c r="DK286" s="13">
        <f t="shared" si="34"/>
        <v>137.89159999999998</v>
      </c>
      <c r="DL286" s="13">
        <f t="shared" si="34"/>
        <v>2406.8654999999999</v>
      </c>
      <c r="DM286" s="13">
        <f t="shared" si="35"/>
        <v>0</v>
      </c>
      <c r="DN286" s="13">
        <f t="shared" si="35"/>
        <v>0</v>
      </c>
      <c r="DO286" s="13">
        <f t="shared" si="35"/>
        <v>0</v>
      </c>
      <c r="DP286" s="13">
        <f t="shared" si="35"/>
        <v>1369.6749</v>
      </c>
      <c r="DQ286" s="13">
        <f t="shared" si="35"/>
        <v>98.356200000000001</v>
      </c>
      <c r="DR286" s="13">
        <f t="shared" si="35"/>
        <v>1271.3187</v>
      </c>
      <c r="DS286" s="14" t="s">
        <v>81</v>
      </c>
      <c r="DT286" s="14" t="s">
        <v>72</v>
      </c>
      <c r="DU286" s="14" t="s">
        <v>113</v>
      </c>
      <c r="DV286" s="14" t="s">
        <v>372</v>
      </c>
      <c r="DW286" s="14" t="s">
        <v>74</v>
      </c>
    </row>
    <row r="287" spans="2:127" x14ac:dyDescent="0.3">
      <c r="B287" s="11" t="s">
        <v>83</v>
      </c>
      <c r="C287" s="14">
        <v>5001342072</v>
      </c>
      <c r="D287" s="11" t="s">
        <v>908</v>
      </c>
      <c r="E287" s="11" t="s">
        <v>803</v>
      </c>
      <c r="F287" s="11" t="s">
        <v>909</v>
      </c>
      <c r="G287" s="11" t="s">
        <v>910</v>
      </c>
      <c r="H287" s="11" t="s">
        <v>379</v>
      </c>
      <c r="I287" s="11">
        <v>73112</v>
      </c>
      <c r="J287" s="11" t="s">
        <v>80</v>
      </c>
      <c r="K287" s="11"/>
      <c r="L287" s="11"/>
      <c r="M287" s="11"/>
      <c r="N287" s="11"/>
      <c r="O287" s="13">
        <v>326</v>
      </c>
      <c r="P287" s="13">
        <v>326</v>
      </c>
      <c r="Q287" s="13">
        <v>0</v>
      </c>
      <c r="R287" s="13">
        <v>16692.6836</v>
      </c>
      <c r="S287" s="13">
        <v>511.14170000000001</v>
      </c>
      <c r="T287" s="13">
        <v>16181.5419</v>
      </c>
      <c r="U287" s="13">
        <v>24</v>
      </c>
      <c r="V287" s="13">
        <v>24</v>
      </c>
      <c r="W287" s="13">
        <v>0</v>
      </c>
      <c r="X287" s="13">
        <v>859.84550000000002</v>
      </c>
      <c r="Y287" s="13">
        <v>45.214100000000002</v>
      </c>
      <c r="Z287" s="13">
        <v>814.63139999999999</v>
      </c>
      <c r="AA287" s="13">
        <v>38</v>
      </c>
      <c r="AB287" s="13">
        <v>38</v>
      </c>
      <c r="AC287" s="13">
        <v>0</v>
      </c>
      <c r="AD287" s="13">
        <v>1340.9471999999998</v>
      </c>
      <c r="AE287" s="13">
        <v>57.285600000000002</v>
      </c>
      <c r="AF287" s="13">
        <v>1283.6615999999999</v>
      </c>
      <c r="AG287" s="13">
        <v>36</v>
      </c>
      <c r="AH287" s="13">
        <v>36</v>
      </c>
      <c r="AI287" s="13">
        <v>0</v>
      </c>
      <c r="AJ287" s="13">
        <v>1391.0189</v>
      </c>
      <c r="AK287" s="13">
        <v>45.642800000000001</v>
      </c>
      <c r="AL287" s="13">
        <v>1345.3761</v>
      </c>
      <c r="AM287" s="13">
        <v>19</v>
      </c>
      <c r="AN287" s="13">
        <v>19</v>
      </c>
      <c r="AO287" s="13">
        <v>0</v>
      </c>
      <c r="AP287" s="13">
        <v>1028.4177</v>
      </c>
      <c r="AQ287" s="13">
        <v>28.642800000000001</v>
      </c>
      <c r="AR287" s="13">
        <v>999.7749</v>
      </c>
      <c r="AS287" s="13">
        <v>30</v>
      </c>
      <c r="AT287" s="13">
        <v>30</v>
      </c>
      <c r="AU287" s="13">
        <v>0</v>
      </c>
      <c r="AV287" s="13">
        <v>1350.6903</v>
      </c>
      <c r="AW287" s="13">
        <v>30</v>
      </c>
      <c r="AX287" s="13">
        <v>1320.6903</v>
      </c>
      <c r="AY287" s="13">
        <v>14</v>
      </c>
      <c r="AZ287" s="13">
        <v>14</v>
      </c>
      <c r="BA287" s="13">
        <v>0</v>
      </c>
      <c r="BB287" s="13">
        <v>812.0453</v>
      </c>
      <c r="BC287" s="13">
        <v>46.785499999999999</v>
      </c>
      <c r="BD287" s="13">
        <v>765.25980000000004</v>
      </c>
      <c r="BE287" s="13">
        <v>14</v>
      </c>
      <c r="BF287" s="13">
        <v>14</v>
      </c>
      <c r="BG287" s="13">
        <v>0</v>
      </c>
      <c r="BH287" s="13">
        <v>1125.2465</v>
      </c>
      <c r="BI287" s="13">
        <v>39.071300000000001</v>
      </c>
      <c r="BJ287" s="13">
        <v>1086.1751999999999</v>
      </c>
      <c r="BK287" s="13">
        <v>21</v>
      </c>
      <c r="BL287" s="13">
        <v>21</v>
      </c>
      <c r="BM287" s="13">
        <v>0</v>
      </c>
      <c r="BN287" s="13">
        <v>1873.9775000000002</v>
      </c>
      <c r="BO287" s="13">
        <v>59.571199999999997</v>
      </c>
      <c r="BP287" s="13">
        <v>1814.4063000000001</v>
      </c>
      <c r="BQ287" s="13">
        <v>14</v>
      </c>
      <c r="BR287" s="13">
        <v>14</v>
      </c>
      <c r="BS287" s="13">
        <v>0</v>
      </c>
      <c r="BT287" s="13">
        <v>1502.0907</v>
      </c>
      <c r="BU287" s="13">
        <v>33.285600000000002</v>
      </c>
      <c r="BV287" s="13">
        <v>1468.8051</v>
      </c>
      <c r="BW287" s="13">
        <v>14</v>
      </c>
      <c r="BX287" s="13">
        <v>14</v>
      </c>
      <c r="BY287" s="13">
        <v>0</v>
      </c>
      <c r="BZ287" s="13">
        <v>1406.0476000000001</v>
      </c>
      <c r="CA287" s="13">
        <v>23.642800000000001</v>
      </c>
      <c r="CB287" s="13">
        <v>1382.4048</v>
      </c>
      <c r="CC287" s="13">
        <v>9</v>
      </c>
      <c r="CD287" s="13">
        <v>9</v>
      </c>
      <c r="CE287" s="13">
        <v>0</v>
      </c>
      <c r="CF287" s="13">
        <v>1576.5482999999999</v>
      </c>
      <c r="CG287" s="13">
        <v>9</v>
      </c>
      <c r="CH287" s="13">
        <v>1567.5482999999999</v>
      </c>
      <c r="CI287" s="13">
        <v>43</v>
      </c>
      <c r="CJ287" s="13">
        <v>43</v>
      </c>
      <c r="CK287" s="13">
        <v>0</v>
      </c>
      <c r="CL287" s="13">
        <v>1227.9184</v>
      </c>
      <c r="CM287" s="13">
        <v>43</v>
      </c>
      <c r="CN287" s="13">
        <v>1184.9184</v>
      </c>
      <c r="CO287" s="13">
        <v>50</v>
      </c>
      <c r="CP287" s="13">
        <v>50</v>
      </c>
      <c r="CQ287" s="13">
        <v>0</v>
      </c>
      <c r="CR287" s="13">
        <v>1197.8896999999999</v>
      </c>
      <c r="CS287" s="13">
        <v>50</v>
      </c>
      <c r="CT287" s="13">
        <v>1147.8896999999999</v>
      </c>
      <c r="CU287" s="13">
        <f t="shared" si="32"/>
        <v>302</v>
      </c>
      <c r="CV287" s="13">
        <f t="shared" si="32"/>
        <v>302</v>
      </c>
      <c r="CW287" s="13">
        <f t="shared" si="32"/>
        <v>0</v>
      </c>
      <c r="CX287" s="13">
        <f t="shared" si="32"/>
        <v>15832.838100000001</v>
      </c>
      <c r="CY287" s="13">
        <f t="shared" si="32"/>
        <v>465.92759999999998</v>
      </c>
      <c r="CZ287" s="13">
        <f t="shared" si="32"/>
        <v>15366.9105</v>
      </c>
      <c r="DA287" s="13">
        <f t="shared" si="33"/>
        <v>102</v>
      </c>
      <c r="DB287" s="13">
        <f t="shared" si="33"/>
        <v>102</v>
      </c>
      <c r="DC287" s="13">
        <f t="shared" si="33"/>
        <v>0</v>
      </c>
      <c r="DD287" s="13">
        <f t="shared" si="33"/>
        <v>4002.3563999999997</v>
      </c>
      <c r="DE287" s="13">
        <f t="shared" si="33"/>
        <v>102</v>
      </c>
      <c r="DF287" s="13">
        <f t="shared" si="33"/>
        <v>3900.3563999999997</v>
      </c>
      <c r="DG287" s="13">
        <f t="shared" si="34"/>
        <v>49</v>
      </c>
      <c r="DH287" s="13">
        <f t="shared" si="34"/>
        <v>49</v>
      </c>
      <c r="DI287" s="13">
        <f t="shared" si="34"/>
        <v>0</v>
      </c>
      <c r="DJ287" s="13">
        <f t="shared" si="34"/>
        <v>4782.1158000000005</v>
      </c>
      <c r="DK287" s="13">
        <f t="shared" si="34"/>
        <v>116.49959999999999</v>
      </c>
      <c r="DL287" s="13">
        <f t="shared" si="34"/>
        <v>4665.6162000000004</v>
      </c>
      <c r="DM287" s="13">
        <f t="shared" si="35"/>
        <v>93</v>
      </c>
      <c r="DN287" s="13">
        <f t="shared" si="35"/>
        <v>93</v>
      </c>
      <c r="DO287" s="13">
        <f t="shared" si="35"/>
        <v>0</v>
      </c>
      <c r="DP287" s="13">
        <f t="shared" si="35"/>
        <v>2425.8081000000002</v>
      </c>
      <c r="DQ287" s="13">
        <f t="shared" si="35"/>
        <v>93</v>
      </c>
      <c r="DR287" s="13">
        <f t="shared" si="35"/>
        <v>2332.8081000000002</v>
      </c>
      <c r="DS287" s="14" t="s">
        <v>81</v>
      </c>
      <c r="DT287" s="14" t="s">
        <v>72</v>
      </c>
      <c r="DU287" s="14" t="s">
        <v>113</v>
      </c>
      <c r="DV287" s="14" t="s">
        <v>372</v>
      </c>
      <c r="DW287" s="14" t="s">
        <v>74</v>
      </c>
    </row>
    <row r="288" spans="2:127" x14ac:dyDescent="0.3">
      <c r="B288" s="11" t="s">
        <v>75</v>
      </c>
      <c r="C288" s="14">
        <v>5001341367</v>
      </c>
      <c r="D288" s="11" t="s">
        <v>911</v>
      </c>
      <c r="E288" s="11" t="s">
        <v>803</v>
      </c>
      <c r="F288" s="11" t="s">
        <v>912</v>
      </c>
      <c r="G288" s="11" t="s">
        <v>913</v>
      </c>
      <c r="H288" s="11" t="s">
        <v>108</v>
      </c>
      <c r="I288" s="11">
        <v>29506</v>
      </c>
      <c r="J288" s="11" t="s">
        <v>80</v>
      </c>
      <c r="K288" s="11"/>
      <c r="L288" s="11"/>
      <c r="M288" s="11"/>
      <c r="N288" s="11"/>
      <c r="O288" s="13">
        <v>205</v>
      </c>
      <c r="P288" s="13">
        <v>205</v>
      </c>
      <c r="Q288" s="13">
        <v>0</v>
      </c>
      <c r="R288" s="13">
        <v>22836.8632</v>
      </c>
      <c r="S288" s="13">
        <v>311.07069999999999</v>
      </c>
      <c r="T288" s="13">
        <v>22525.7925</v>
      </c>
      <c r="U288" s="13">
        <v>16</v>
      </c>
      <c r="V288" s="13">
        <v>16</v>
      </c>
      <c r="W288" s="13">
        <v>0</v>
      </c>
      <c r="X288" s="13">
        <v>1595.8912</v>
      </c>
      <c r="Y288" s="13">
        <v>16</v>
      </c>
      <c r="Z288" s="13">
        <v>1579.8912</v>
      </c>
      <c r="AA288" s="13">
        <v>0</v>
      </c>
      <c r="AB288" s="13">
        <v>0</v>
      </c>
      <c r="AC288" s="13">
        <v>0</v>
      </c>
      <c r="AD288" s="13">
        <v>1839.0921000000001</v>
      </c>
      <c r="AE288" s="13">
        <v>0</v>
      </c>
      <c r="AF288" s="13">
        <v>1839.0921000000001</v>
      </c>
      <c r="AG288" s="13">
        <v>0</v>
      </c>
      <c r="AH288" s="13">
        <v>0</v>
      </c>
      <c r="AI288" s="13">
        <v>0</v>
      </c>
      <c r="AJ288" s="13">
        <v>1333.0332000000001</v>
      </c>
      <c r="AK288" s="13">
        <v>0</v>
      </c>
      <c r="AL288" s="13">
        <v>1333.0332000000001</v>
      </c>
      <c r="AM288" s="13">
        <v>37</v>
      </c>
      <c r="AN288" s="13">
        <v>37</v>
      </c>
      <c r="AO288" s="13">
        <v>0</v>
      </c>
      <c r="AP288" s="13">
        <v>1668.3841</v>
      </c>
      <c r="AQ288" s="13">
        <v>51.464199999999998</v>
      </c>
      <c r="AR288" s="13">
        <v>1616.9199000000001</v>
      </c>
      <c r="AS288" s="13">
        <v>48</v>
      </c>
      <c r="AT288" s="13">
        <v>48</v>
      </c>
      <c r="AU288" s="13">
        <v>0</v>
      </c>
      <c r="AV288" s="13">
        <v>1964.2349999999999</v>
      </c>
      <c r="AW288" s="13">
        <v>63.428399999999996</v>
      </c>
      <c r="AX288" s="13">
        <v>1900.8065999999999</v>
      </c>
      <c r="AY288" s="13">
        <v>38</v>
      </c>
      <c r="AZ288" s="13">
        <v>38</v>
      </c>
      <c r="BA288" s="13">
        <v>0</v>
      </c>
      <c r="BB288" s="13">
        <v>1410.9548</v>
      </c>
      <c r="BC288" s="13">
        <v>40.892899999999997</v>
      </c>
      <c r="BD288" s="13">
        <v>1370.0618999999999</v>
      </c>
      <c r="BE288" s="13">
        <v>29</v>
      </c>
      <c r="BF288" s="13">
        <v>29</v>
      </c>
      <c r="BG288" s="13">
        <v>0</v>
      </c>
      <c r="BH288" s="13">
        <v>1665.2054000000001</v>
      </c>
      <c r="BI288" s="13">
        <v>48.285499999999999</v>
      </c>
      <c r="BJ288" s="13">
        <v>1616.9199000000001</v>
      </c>
      <c r="BK288" s="13">
        <v>28</v>
      </c>
      <c r="BL288" s="13">
        <v>28</v>
      </c>
      <c r="BM288" s="13">
        <v>0</v>
      </c>
      <c r="BN288" s="13">
        <v>1927.0708</v>
      </c>
      <c r="BO288" s="13">
        <v>38.607100000000003</v>
      </c>
      <c r="BP288" s="13">
        <v>1888.4637</v>
      </c>
      <c r="BQ288" s="13">
        <v>9</v>
      </c>
      <c r="BR288" s="13">
        <v>9</v>
      </c>
      <c r="BS288" s="13">
        <v>0</v>
      </c>
      <c r="BT288" s="13">
        <v>1673.5556999999999</v>
      </c>
      <c r="BU288" s="13">
        <v>19.607100000000003</v>
      </c>
      <c r="BV288" s="13">
        <v>1653.9485999999999</v>
      </c>
      <c r="BW288" s="13">
        <v>0</v>
      </c>
      <c r="BX288" s="13">
        <v>0</v>
      </c>
      <c r="BY288" s="13">
        <v>0</v>
      </c>
      <c r="BZ288" s="13">
        <v>1553.4695999999999</v>
      </c>
      <c r="CA288" s="13">
        <v>10.607100000000001</v>
      </c>
      <c r="CB288" s="13">
        <v>1542.8625</v>
      </c>
      <c r="CC288" s="13">
        <v>0</v>
      </c>
      <c r="CD288" s="13">
        <v>0</v>
      </c>
      <c r="CE288" s="13">
        <v>0</v>
      </c>
      <c r="CF288" s="13">
        <v>2133.5859</v>
      </c>
      <c r="CG288" s="13">
        <v>10.607100000000001</v>
      </c>
      <c r="CH288" s="13">
        <v>2122.9787999999999</v>
      </c>
      <c r="CI288" s="13">
        <v>0</v>
      </c>
      <c r="CJ288" s="13">
        <v>0</v>
      </c>
      <c r="CK288" s="13">
        <v>0</v>
      </c>
      <c r="CL288" s="13">
        <v>1900.8065999999999</v>
      </c>
      <c r="CM288" s="13">
        <v>0</v>
      </c>
      <c r="CN288" s="13">
        <v>1900.8065999999999</v>
      </c>
      <c r="CO288" s="13">
        <v>0</v>
      </c>
      <c r="CP288" s="13">
        <v>0</v>
      </c>
      <c r="CQ288" s="13">
        <v>0</v>
      </c>
      <c r="CR288" s="13">
        <v>2171.5788000000002</v>
      </c>
      <c r="CS288" s="13">
        <v>11.571300000000001</v>
      </c>
      <c r="CT288" s="13">
        <v>2160.0075000000002</v>
      </c>
      <c r="CU288" s="13">
        <f t="shared" si="32"/>
        <v>189</v>
      </c>
      <c r="CV288" s="13">
        <f t="shared" si="32"/>
        <v>189</v>
      </c>
      <c r="CW288" s="13">
        <f t="shared" si="32"/>
        <v>0</v>
      </c>
      <c r="CX288" s="13">
        <f t="shared" si="32"/>
        <v>21240.972000000002</v>
      </c>
      <c r="CY288" s="13">
        <f t="shared" si="32"/>
        <v>295.07069999999999</v>
      </c>
      <c r="CZ288" s="13">
        <f t="shared" si="32"/>
        <v>20945.901299999998</v>
      </c>
      <c r="DA288" s="13">
        <f t="shared" si="33"/>
        <v>0</v>
      </c>
      <c r="DB288" s="13">
        <f t="shared" si="33"/>
        <v>0</v>
      </c>
      <c r="DC288" s="13">
        <f t="shared" si="33"/>
        <v>0</v>
      </c>
      <c r="DD288" s="13">
        <f t="shared" si="33"/>
        <v>6205.9713000000002</v>
      </c>
      <c r="DE288" s="13">
        <f t="shared" si="33"/>
        <v>22.178400000000003</v>
      </c>
      <c r="DF288" s="13">
        <f t="shared" si="33"/>
        <v>6183.7929000000004</v>
      </c>
      <c r="DG288" s="13">
        <f t="shared" si="34"/>
        <v>37</v>
      </c>
      <c r="DH288" s="13">
        <f t="shared" si="34"/>
        <v>37</v>
      </c>
      <c r="DI288" s="13">
        <f t="shared" si="34"/>
        <v>0</v>
      </c>
      <c r="DJ288" s="13">
        <f t="shared" si="34"/>
        <v>5154.0960999999998</v>
      </c>
      <c r="DK288" s="13">
        <f t="shared" si="34"/>
        <v>68.821300000000008</v>
      </c>
      <c r="DL288" s="13">
        <f t="shared" si="34"/>
        <v>5085.2748000000001</v>
      </c>
      <c r="DM288" s="13">
        <f t="shared" si="35"/>
        <v>0</v>
      </c>
      <c r="DN288" s="13">
        <f t="shared" si="35"/>
        <v>0</v>
      </c>
      <c r="DO288" s="13">
        <f t="shared" si="35"/>
        <v>0</v>
      </c>
      <c r="DP288" s="13">
        <f t="shared" si="35"/>
        <v>4072.3854000000001</v>
      </c>
      <c r="DQ288" s="13">
        <f t="shared" si="35"/>
        <v>11.571300000000001</v>
      </c>
      <c r="DR288" s="13">
        <f t="shared" si="35"/>
        <v>4060.8141000000001</v>
      </c>
      <c r="DS288" s="14" t="s">
        <v>81</v>
      </c>
      <c r="DT288" s="14" t="s">
        <v>72</v>
      </c>
      <c r="DU288" s="14" t="s">
        <v>113</v>
      </c>
      <c r="DV288" s="14" t="s">
        <v>372</v>
      </c>
      <c r="DW288" s="14" t="s">
        <v>74</v>
      </c>
    </row>
    <row r="289" spans="2:127" x14ac:dyDescent="0.3">
      <c r="B289" s="11" t="s">
        <v>75</v>
      </c>
      <c r="C289" s="14">
        <v>5001341943</v>
      </c>
      <c r="D289" s="11" t="s">
        <v>914</v>
      </c>
      <c r="E289" s="11" t="s">
        <v>803</v>
      </c>
      <c r="F289" s="11" t="s">
        <v>915</v>
      </c>
      <c r="G289" s="11" t="s">
        <v>916</v>
      </c>
      <c r="H289" s="11" t="s">
        <v>282</v>
      </c>
      <c r="I289" s="11">
        <v>41017</v>
      </c>
      <c r="J289" s="11" t="s">
        <v>80</v>
      </c>
      <c r="K289" s="11"/>
      <c r="L289" s="11"/>
      <c r="M289" s="11"/>
      <c r="N289" s="11"/>
      <c r="O289" s="13">
        <v>546</v>
      </c>
      <c r="P289" s="13">
        <v>546</v>
      </c>
      <c r="Q289" s="13">
        <v>0</v>
      </c>
      <c r="R289" s="13">
        <v>22020.904200000001</v>
      </c>
      <c r="S289" s="13">
        <v>1050.3171</v>
      </c>
      <c r="T289" s="13">
        <v>20970.587100000001</v>
      </c>
      <c r="U289" s="13">
        <v>45</v>
      </c>
      <c r="V289" s="13">
        <v>45</v>
      </c>
      <c r="W289" s="13">
        <v>0</v>
      </c>
      <c r="X289" s="13">
        <v>1922.0846000000001</v>
      </c>
      <c r="Y289" s="13">
        <v>107.67830000000001</v>
      </c>
      <c r="Z289" s="13">
        <v>1814.4063000000001</v>
      </c>
      <c r="AA289" s="13">
        <v>20</v>
      </c>
      <c r="AB289" s="13">
        <v>20</v>
      </c>
      <c r="AC289" s="13">
        <v>0</v>
      </c>
      <c r="AD289" s="13">
        <v>1765.7483000000002</v>
      </c>
      <c r="AE289" s="13">
        <v>62.428100000000001</v>
      </c>
      <c r="AF289" s="13">
        <v>1703.3202000000001</v>
      </c>
      <c r="AG289" s="13">
        <v>14</v>
      </c>
      <c r="AH289" s="13">
        <v>14</v>
      </c>
      <c r="AI289" s="13">
        <v>0</v>
      </c>
      <c r="AJ289" s="13">
        <v>1553.0047</v>
      </c>
      <c r="AK289" s="13">
        <v>71.856699999999989</v>
      </c>
      <c r="AL289" s="13">
        <v>1481.1479999999999</v>
      </c>
      <c r="AM289" s="13">
        <v>0</v>
      </c>
      <c r="AN289" s="13">
        <v>0</v>
      </c>
      <c r="AO289" s="13">
        <v>0</v>
      </c>
      <c r="AP289" s="13">
        <v>1296.0038</v>
      </c>
      <c r="AQ289" s="13">
        <v>61.713799999999999</v>
      </c>
      <c r="AR289" s="13">
        <v>1234.29</v>
      </c>
      <c r="AS289" s="13">
        <v>20</v>
      </c>
      <c r="AT289" s="13">
        <v>20</v>
      </c>
      <c r="AU289" s="13">
        <v>0</v>
      </c>
      <c r="AV289" s="13">
        <v>1840.3847000000001</v>
      </c>
      <c r="AW289" s="13">
        <v>38.321300000000001</v>
      </c>
      <c r="AX289" s="13">
        <v>1802.0634</v>
      </c>
      <c r="AY289" s="13">
        <v>64</v>
      </c>
      <c r="AZ289" s="13">
        <v>64</v>
      </c>
      <c r="BA289" s="13">
        <v>0</v>
      </c>
      <c r="BB289" s="13">
        <v>1888.6272000000001</v>
      </c>
      <c r="BC289" s="13">
        <v>111.2496</v>
      </c>
      <c r="BD289" s="13">
        <v>1777.3776</v>
      </c>
      <c r="BE289" s="13">
        <v>116</v>
      </c>
      <c r="BF289" s="13">
        <v>116</v>
      </c>
      <c r="BG289" s="13">
        <v>0</v>
      </c>
      <c r="BH289" s="13">
        <v>1794.441</v>
      </c>
      <c r="BI289" s="13">
        <v>165.1782</v>
      </c>
      <c r="BJ289" s="13">
        <v>1629.2628</v>
      </c>
      <c r="BK289" s="13">
        <v>72</v>
      </c>
      <c r="BL289" s="13">
        <v>72</v>
      </c>
      <c r="BM289" s="13">
        <v>0</v>
      </c>
      <c r="BN289" s="13">
        <v>2154.8636999999999</v>
      </c>
      <c r="BO289" s="13">
        <v>118.2852</v>
      </c>
      <c r="BP289" s="13">
        <v>2036.5785000000001</v>
      </c>
      <c r="BQ289" s="13">
        <v>61</v>
      </c>
      <c r="BR289" s="13">
        <v>61</v>
      </c>
      <c r="BS289" s="13">
        <v>0</v>
      </c>
      <c r="BT289" s="13">
        <v>1358.3542</v>
      </c>
      <c r="BU289" s="13">
        <v>87.035499999999999</v>
      </c>
      <c r="BV289" s="13">
        <v>1271.3187</v>
      </c>
      <c r="BW289" s="13">
        <v>69</v>
      </c>
      <c r="BX289" s="13">
        <v>69</v>
      </c>
      <c r="BY289" s="13">
        <v>0</v>
      </c>
      <c r="BZ289" s="13">
        <v>1499.2331999999999</v>
      </c>
      <c r="CA289" s="13">
        <v>92.142600000000002</v>
      </c>
      <c r="CB289" s="13">
        <v>1407.0906</v>
      </c>
      <c r="CC289" s="13">
        <v>35</v>
      </c>
      <c r="CD289" s="13">
        <v>35</v>
      </c>
      <c r="CE289" s="13">
        <v>0</v>
      </c>
      <c r="CF289" s="13">
        <v>1638.0337999999999</v>
      </c>
      <c r="CG289" s="13">
        <v>58.142600000000002</v>
      </c>
      <c r="CH289" s="13">
        <v>1579.8912</v>
      </c>
      <c r="CI289" s="13">
        <v>15</v>
      </c>
      <c r="CJ289" s="13">
        <v>15</v>
      </c>
      <c r="CK289" s="13">
        <v>0</v>
      </c>
      <c r="CL289" s="13">
        <v>1556.3192999999999</v>
      </c>
      <c r="CM289" s="13">
        <v>38.142600000000002</v>
      </c>
      <c r="CN289" s="13">
        <v>1518.1767</v>
      </c>
      <c r="CO289" s="13">
        <v>15</v>
      </c>
      <c r="CP289" s="13">
        <v>15</v>
      </c>
      <c r="CQ289" s="13">
        <v>0</v>
      </c>
      <c r="CR289" s="13">
        <v>1753.8056999999999</v>
      </c>
      <c r="CS289" s="13">
        <v>38.142600000000002</v>
      </c>
      <c r="CT289" s="13">
        <v>1715.6631</v>
      </c>
      <c r="CU289" s="13">
        <f t="shared" si="32"/>
        <v>501</v>
      </c>
      <c r="CV289" s="13">
        <f t="shared" si="32"/>
        <v>501</v>
      </c>
      <c r="CW289" s="13">
        <f t="shared" si="32"/>
        <v>0</v>
      </c>
      <c r="CX289" s="13">
        <f t="shared" si="32"/>
        <v>20098.819600000003</v>
      </c>
      <c r="CY289" s="13">
        <f t="shared" si="32"/>
        <v>942.63880000000006</v>
      </c>
      <c r="CZ289" s="13">
        <f t="shared" si="32"/>
        <v>19156.180799999998</v>
      </c>
      <c r="DA289" s="13">
        <f t="shared" si="33"/>
        <v>65</v>
      </c>
      <c r="DB289" s="13">
        <f t="shared" si="33"/>
        <v>65</v>
      </c>
      <c r="DC289" s="13">
        <f t="shared" si="33"/>
        <v>0</v>
      </c>
      <c r="DD289" s="13">
        <f t="shared" si="33"/>
        <v>4948.1587999999992</v>
      </c>
      <c r="DE289" s="13">
        <f t="shared" si="33"/>
        <v>134.42779999999999</v>
      </c>
      <c r="DF289" s="13">
        <f t="shared" si="33"/>
        <v>4813.7309999999998</v>
      </c>
      <c r="DG289" s="13">
        <f t="shared" si="34"/>
        <v>202</v>
      </c>
      <c r="DH289" s="13">
        <f t="shared" si="34"/>
        <v>202</v>
      </c>
      <c r="DI289" s="13">
        <f t="shared" si="34"/>
        <v>0</v>
      </c>
      <c r="DJ289" s="13">
        <f t="shared" si="34"/>
        <v>5012.4510999999993</v>
      </c>
      <c r="DK289" s="13">
        <f t="shared" si="34"/>
        <v>297.4633</v>
      </c>
      <c r="DL289" s="13">
        <f t="shared" si="34"/>
        <v>4714.9878000000008</v>
      </c>
      <c r="DM289" s="13">
        <f t="shared" si="35"/>
        <v>30</v>
      </c>
      <c r="DN289" s="13">
        <f t="shared" si="35"/>
        <v>30</v>
      </c>
      <c r="DO289" s="13">
        <f t="shared" si="35"/>
        <v>0</v>
      </c>
      <c r="DP289" s="13">
        <f t="shared" si="35"/>
        <v>3310.125</v>
      </c>
      <c r="DQ289" s="13">
        <f t="shared" si="35"/>
        <v>76.285200000000003</v>
      </c>
      <c r="DR289" s="13">
        <f t="shared" si="35"/>
        <v>3233.8397999999997</v>
      </c>
      <c r="DS289" s="14" t="s">
        <v>81</v>
      </c>
      <c r="DT289" s="14" t="s">
        <v>72</v>
      </c>
      <c r="DU289" s="14" t="s">
        <v>113</v>
      </c>
      <c r="DV289" s="14" t="s">
        <v>372</v>
      </c>
      <c r="DW289" s="14" t="s">
        <v>74</v>
      </c>
    </row>
    <row r="290" spans="2:127" x14ac:dyDescent="0.3">
      <c r="B290" s="11" t="s">
        <v>65</v>
      </c>
      <c r="C290" s="14">
        <v>5001341840</v>
      </c>
      <c r="D290" s="11" t="s">
        <v>917</v>
      </c>
      <c r="E290" s="11" t="s">
        <v>803</v>
      </c>
      <c r="F290" s="11" t="s">
        <v>918</v>
      </c>
      <c r="G290" s="11" t="s">
        <v>919</v>
      </c>
      <c r="H290" s="11" t="s">
        <v>340</v>
      </c>
      <c r="I290" s="11">
        <v>8103</v>
      </c>
      <c r="J290" s="11" t="s">
        <v>80</v>
      </c>
      <c r="K290" s="11"/>
      <c r="L290" s="11"/>
      <c r="M290" s="11"/>
      <c r="N290" s="11"/>
      <c r="O290" s="13">
        <v>142</v>
      </c>
      <c r="P290" s="13">
        <v>142</v>
      </c>
      <c r="Q290" s="13">
        <v>0</v>
      </c>
      <c r="R290" s="13">
        <v>20710.277300000002</v>
      </c>
      <c r="S290" s="13">
        <v>776.49379999999996</v>
      </c>
      <c r="T290" s="13">
        <v>19933.783500000001</v>
      </c>
      <c r="U290" s="13">
        <v>0</v>
      </c>
      <c r="V290" s="13">
        <v>0</v>
      </c>
      <c r="W290" s="13">
        <v>0</v>
      </c>
      <c r="X290" s="13">
        <v>1538.6192000000001</v>
      </c>
      <c r="Y290" s="13">
        <v>32.785400000000003</v>
      </c>
      <c r="Z290" s="13">
        <v>1505.8338000000001</v>
      </c>
      <c r="AA290" s="13">
        <v>0</v>
      </c>
      <c r="AB290" s="13">
        <v>0</v>
      </c>
      <c r="AC290" s="13">
        <v>0</v>
      </c>
      <c r="AD290" s="13">
        <v>1753.8479</v>
      </c>
      <c r="AE290" s="13">
        <v>75.213499999999996</v>
      </c>
      <c r="AF290" s="13">
        <v>1678.6343999999999</v>
      </c>
      <c r="AG290" s="13">
        <v>0</v>
      </c>
      <c r="AH290" s="13">
        <v>0</v>
      </c>
      <c r="AI290" s="13">
        <v>0</v>
      </c>
      <c r="AJ290" s="13">
        <v>1461.0900999999999</v>
      </c>
      <c r="AK290" s="13">
        <v>53.999499999999998</v>
      </c>
      <c r="AL290" s="13">
        <v>1407.0906</v>
      </c>
      <c r="AM290" s="13">
        <v>0</v>
      </c>
      <c r="AN290" s="13">
        <v>0</v>
      </c>
      <c r="AO290" s="13">
        <v>0</v>
      </c>
      <c r="AP290" s="13">
        <v>1415.5755000000001</v>
      </c>
      <c r="AQ290" s="13">
        <v>57.856499999999997</v>
      </c>
      <c r="AR290" s="13">
        <v>1357.7190000000001</v>
      </c>
      <c r="AS290" s="13">
        <v>0</v>
      </c>
      <c r="AT290" s="13">
        <v>0</v>
      </c>
      <c r="AU290" s="13">
        <v>0</v>
      </c>
      <c r="AV290" s="13">
        <v>1496.5756000000001</v>
      </c>
      <c r="AW290" s="13">
        <v>77.142099999999999</v>
      </c>
      <c r="AX290" s="13">
        <v>1419.4335000000001</v>
      </c>
      <c r="AY290" s="13">
        <v>31</v>
      </c>
      <c r="AZ290" s="13">
        <v>31</v>
      </c>
      <c r="BA290" s="13">
        <v>0</v>
      </c>
      <c r="BB290" s="13">
        <v>1635.5761</v>
      </c>
      <c r="BC290" s="13">
        <v>92.7136</v>
      </c>
      <c r="BD290" s="13">
        <v>1542.8625</v>
      </c>
      <c r="BE290" s="13">
        <v>21</v>
      </c>
      <c r="BF290" s="13">
        <v>21</v>
      </c>
      <c r="BG290" s="13">
        <v>0</v>
      </c>
      <c r="BH290" s="13">
        <v>1784.8762999999999</v>
      </c>
      <c r="BI290" s="13">
        <v>130.92770000000002</v>
      </c>
      <c r="BJ290" s="13">
        <v>1653.9485999999999</v>
      </c>
      <c r="BK290" s="13">
        <v>14</v>
      </c>
      <c r="BL290" s="13">
        <v>14</v>
      </c>
      <c r="BM290" s="13">
        <v>0</v>
      </c>
      <c r="BN290" s="13">
        <v>1963.4066</v>
      </c>
      <c r="BO290" s="13">
        <v>25.571300000000001</v>
      </c>
      <c r="BP290" s="13">
        <v>1937.8353</v>
      </c>
      <c r="BQ290" s="13">
        <v>13</v>
      </c>
      <c r="BR290" s="13">
        <v>13</v>
      </c>
      <c r="BS290" s="13">
        <v>0</v>
      </c>
      <c r="BT290" s="13">
        <v>1639.1766</v>
      </c>
      <c r="BU290" s="13">
        <v>59.285400000000003</v>
      </c>
      <c r="BV290" s="13">
        <v>1579.8912</v>
      </c>
      <c r="BW290" s="13">
        <v>14</v>
      </c>
      <c r="BX290" s="13">
        <v>14</v>
      </c>
      <c r="BY290" s="13">
        <v>0</v>
      </c>
      <c r="BZ290" s="13">
        <v>1271.4325999999999</v>
      </c>
      <c r="CA290" s="13">
        <v>37.142600000000002</v>
      </c>
      <c r="CB290" s="13">
        <v>1234.29</v>
      </c>
      <c r="CC290" s="13">
        <v>14</v>
      </c>
      <c r="CD290" s="13">
        <v>14</v>
      </c>
      <c r="CE290" s="13">
        <v>0</v>
      </c>
      <c r="CF290" s="13">
        <v>1634.0054</v>
      </c>
      <c r="CG290" s="13">
        <v>29.4284</v>
      </c>
      <c r="CH290" s="13">
        <v>1604.577</v>
      </c>
      <c r="CI290" s="13">
        <v>2</v>
      </c>
      <c r="CJ290" s="13">
        <v>2</v>
      </c>
      <c r="CK290" s="13">
        <v>0</v>
      </c>
      <c r="CL290" s="13">
        <v>1560.2909</v>
      </c>
      <c r="CM290" s="13">
        <v>17.4284</v>
      </c>
      <c r="CN290" s="13">
        <v>1542.8625</v>
      </c>
      <c r="CO290" s="13">
        <v>33</v>
      </c>
      <c r="CP290" s="13">
        <v>33</v>
      </c>
      <c r="CQ290" s="13">
        <v>0</v>
      </c>
      <c r="CR290" s="13">
        <v>1555.8045</v>
      </c>
      <c r="CS290" s="13">
        <v>86.999400000000009</v>
      </c>
      <c r="CT290" s="13">
        <v>1468.8051</v>
      </c>
      <c r="CU290" s="13">
        <f t="shared" si="32"/>
        <v>142</v>
      </c>
      <c r="CV290" s="13">
        <f t="shared" si="32"/>
        <v>142</v>
      </c>
      <c r="CW290" s="13">
        <f t="shared" si="32"/>
        <v>0</v>
      </c>
      <c r="CX290" s="13">
        <f t="shared" si="32"/>
        <v>19171.658100000001</v>
      </c>
      <c r="CY290" s="13">
        <f t="shared" si="32"/>
        <v>743.70839999999998</v>
      </c>
      <c r="CZ290" s="13">
        <f t="shared" si="32"/>
        <v>18427.949700000001</v>
      </c>
      <c r="DA290" s="13">
        <f t="shared" si="33"/>
        <v>49</v>
      </c>
      <c r="DB290" s="13">
        <f t="shared" si="33"/>
        <v>49</v>
      </c>
      <c r="DC290" s="13">
        <f t="shared" si="33"/>
        <v>0</v>
      </c>
      <c r="DD290" s="13">
        <f t="shared" si="33"/>
        <v>4750.1008000000002</v>
      </c>
      <c r="DE290" s="13">
        <f t="shared" si="33"/>
        <v>133.8562</v>
      </c>
      <c r="DF290" s="13">
        <f t="shared" si="33"/>
        <v>4616.2446</v>
      </c>
      <c r="DG290" s="13">
        <f t="shared" si="34"/>
        <v>41</v>
      </c>
      <c r="DH290" s="13">
        <f t="shared" si="34"/>
        <v>41</v>
      </c>
      <c r="DI290" s="13">
        <f t="shared" si="34"/>
        <v>0</v>
      </c>
      <c r="DJ290" s="13">
        <f t="shared" si="34"/>
        <v>4874.0158000000001</v>
      </c>
      <c r="DK290" s="13">
        <f t="shared" si="34"/>
        <v>121.99930000000001</v>
      </c>
      <c r="DL290" s="13">
        <f t="shared" si="34"/>
        <v>4752.0164999999997</v>
      </c>
      <c r="DM290" s="13">
        <f t="shared" si="35"/>
        <v>35</v>
      </c>
      <c r="DN290" s="13">
        <f t="shared" si="35"/>
        <v>35</v>
      </c>
      <c r="DO290" s="13">
        <f t="shared" si="35"/>
        <v>0</v>
      </c>
      <c r="DP290" s="13">
        <f t="shared" si="35"/>
        <v>3116.0954000000002</v>
      </c>
      <c r="DQ290" s="13">
        <f t="shared" si="35"/>
        <v>104.4278</v>
      </c>
      <c r="DR290" s="13">
        <f t="shared" si="35"/>
        <v>3011.6675999999998</v>
      </c>
      <c r="DS290" s="14" t="s">
        <v>81</v>
      </c>
      <c r="DT290" s="14" t="s">
        <v>72</v>
      </c>
      <c r="DU290" s="14" t="s">
        <v>113</v>
      </c>
      <c r="DV290" s="14" t="s">
        <v>372</v>
      </c>
      <c r="DW290" s="14" t="s">
        <v>74</v>
      </c>
    </row>
    <row r="291" spans="2:127" x14ac:dyDescent="0.3">
      <c r="B291" s="11" t="s">
        <v>75</v>
      </c>
      <c r="C291" s="14">
        <v>5001342098</v>
      </c>
      <c r="D291" s="11" t="s">
        <v>920</v>
      </c>
      <c r="E291" s="11" t="s">
        <v>803</v>
      </c>
      <c r="F291" s="11" t="s">
        <v>921</v>
      </c>
      <c r="G291" s="11" t="s">
        <v>922</v>
      </c>
      <c r="H291" s="11" t="s">
        <v>104</v>
      </c>
      <c r="I291" s="11">
        <v>33759</v>
      </c>
      <c r="J291" s="11" t="s">
        <v>80</v>
      </c>
      <c r="K291" s="11"/>
      <c r="L291" s="11"/>
      <c r="M291" s="11"/>
      <c r="N291" s="11"/>
      <c r="O291" s="13">
        <v>429</v>
      </c>
      <c r="P291" s="13">
        <v>429</v>
      </c>
      <c r="Q291" s="13">
        <v>0</v>
      </c>
      <c r="R291" s="13">
        <v>7752.1967999999997</v>
      </c>
      <c r="S291" s="13">
        <v>432.8571</v>
      </c>
      <c r="T291" s="13">
        <v>7319.3397000000004</v>
      </c>
      <c r="U291" s="13">
        <v>59</v>
      </c>
      <c r="V291" s="13">
        <v>59</v>
      </c>
      <c r="W291" s="13">
        <v>0</v>
      </c>
      <c r="X291" s="13">
        <v>602.08759999999995</v>
      </c>
      <c r="Y291" s="13">
        <v>59</v>
      </c>
      <c r="Z291" s="13">
        <v>543.08759999999995</v>
      </c>
      <c r="AA291" s="13">
        <v>40</v>
      </c>
      <c r="AB291" s="13">
        <v>40</v>
      </c>
      <c r="AC291" s="13">
        <v>0</v>
      </c>
      <c r="AD291" s="13">
        <v>521.37310000000002</v>
      </c>
      <c r="AE291" s="13">
        <v>40</v>
      </c>
      <c r="AF291" s="13">
        <v>481.37310000000002</v>
      </c>
      <c r="AG291" s="13">
        <v>61</v>
      </c>
      <c r="AH291" s="13">
        <v>61</v>
      </c>
      <c r="AI291" s="13">
        <v>0</v>
      </c>
      <c r="AJ291" s="13">
        <v>353.3725</v>
      </c>
      <c r="AK291" s="13">
        <v>57.142899999999997</v>
      </c>
      <c r="AL291" s="13">
        <v>296.2296</v>
      </c>
      <c r="AM291" s="13">
        <v>36</v>
      </c>
      <c r="AN291" s="13">
        <v>36</v>
      </c>
      <c r="AO291" s="13">
        <v>0</v>
      </c>
      <c r="AP291" s="13">
        <v>677.83079999999995</v>
      </c>
      <c r="AQ291" s="13">
        <v>36</v>
      </c>
      <c r="AR291" s="13">
        <v>641.83079999999995</v>
      </c>
      <c r="AS291" s="13">
        <v>10</v>
      </c>
      <c r="AT291" s="13">
        <v>10</v>
      </c>
      <c r="AU291" s="13">
        <v>0</v>
      </c>
      <c r="AV291" s="13">
        <v>442.00150000000002</v>
      </c>
      <c r="AW291" s="13">
        <v>10</v>
      </c>
      <c r="AX291" s="13">
        <v>432.00150000000002</v>
      </c>
      <c r="AY291" s="13">
        <v>30</v>
      </c>
      <c r="AZ291" s="13">
        <v>30</v>
      </c>
      <c r="BA291" s="13">
        <v>0</v>
      </c>
      <c r="BB291" s="13">
        <v>733.5453</v>
      </c>
      <c r="BC291" s="13">
        <v>30</v>
      </c>
      <c r="BD291" s="13">
        <v>703.5453</v>
      </c>
      <c r="BE291" s="13">
        <v>10</v>
      </c>
      <c r="BF291" s="13">
        <v>10</v>
      </c>
      <c r="BG291" s="13">
        <v>0</v>
      </c>
      <c r="BH291" s="13">
        <v>499.08730000000003</v>
      </c>
      <c r="BI291" s="13">
        <v>17.714199999999998</v>
      </c>
      <c r="BJ291" s="13">
        <v>481.37310000000002</v>
      </c>
      <c r="BK291" s="13">
        <v>13</v>
      </c>
      <c r="BL291" s="13">
        <v>13</v>
      </c>
      <c r="BM291" s="13">
        <v>0</v>
      </c>
      <c r="BN291" s="13">
        <v>630.14499999999998</v>
      </c>
      <c r="BO291" s="13">
        <v>13</v>
      </c>
      <c r="BP291" s="13">
        <v>617.14499999999998</v>
      </c>
      <c r="BQ291" s="13">
        <v>29</v>
      </c>
      <c r="BR291" s="13">
        <v>29</v>
      </c>
      <c r="BS291" s="13">
        <v>0</v>
      </c>
      <c r="BT291" s="13">
        <v>633.8021</v>
      </c>
      <c r="BU291" s="13">
        <v>29</v>
      </c>
      <c r="BV291" s="13">
        <v>604.8021</v>
      </c>
      <c r="BW291" s="13">
        <v>28</v>
      </c>
      <c r="BX291" s="13">
        <v>28</v>
      </c>
      <c r="BY291" s="13">
        <v>0</v>
      </c>
      <c r="BZ291" s="13">
        <v>743.88819999999998</v>
      </c>
      <c r="CA291" s="13">
        <v>28</v>
      </c>
      <c r="CB291" s="13">
        <v>715.88819999999998</v>
      </c>
      <c r="CC291" s="13">
        <v>35</v>
      </c>
      <c r="CD291" s="13">
        <v>35</v>
      </c>
      <c r="CE291" s="13">
        <v>0</v>
      </c>
      <c r="CF291" s="13">
        <v>738.5453</v>
      </c>
      <c r="CG291" s="13">
        <v>35</v>
      </c>
      <c r="CH291" s="13">
        <v>703.5453</v>
      </c>
      <c r="CI291" s="13">
        <v>39</v>
      </c>
      <c r="CJ291" s="13">
        <v>39</v>
      </c>
      <c r="CK291" s="13">
        <v>0</v>
      </c>
      <c r="CL291" s="13">
        <v>594.43050000000005</v>
      </c>
      <c r="CM291" s="13">
        <v>39</v>
      </c>
      <c r="CN291" s="13">
        <v>555.43050000000005</v>
      </c>
      <c r="CO291" s="13">
        <v>39</v>
      </c>
      <c r="CP291" s="13">
        <v>39</v>
      </c>
      <c r="CQ291" s="13">
        <v>0</v>
      </c>
      <c r="CR291" s="13">
        <v>582.08759999999995</v>
      </c>
      <c r="CS291" s="13">
        <v>39</v>
      </c>
      <c r="CT291" s="13">
        <v>543.08759999999995</v>
      </c>
      <c r="CU291" s="13">
        <f t="shared" si="32"/>
        <v>370</v>
      </c>
      <c r="CV291" s="13">
        <f t="shared" si="32"/>
        <v>370</v>
      </c>
      <c r="CW291" s="13">
        <f t="shared" si="32"/>
        <v>0</v>
      </c>
      <c r="CX291" s="13">
        <f t="shared" si="32"/>
        <v>7150.1092000000008</v>
      </c>
      <c r="CY291" s="13">
        <f t="shared" si="32"/>
        <v>373.8571</v>
      </c>
      <c r="CZ291" s="13">
        <f t="shared" si="32"/>
        <v>6776.2521000000006</v>
      </c>
      <c r="DA291" s="13">
        <f t="shared" si="33"/>
        <v>113</v>
      </c>
      <c r="DB291" s="13">
        <f t="shared" si="33"/>
        <v>113</v>
      </c>
      <c r="DC291" s="13">
        <f t="shared" si="33"/>
        <v>0</v>
      </c>
      <c r="DD291" s="13">
        <f t="shared" si="33"/>
        <v>1915.0634</v>
      </c>
      <c r="DE291" s="13">
        <f t="shared" si="33"/>
        <v>113</v>
      </c>
      <c r="DF291" s="13">
        <f t="shared" si="33"/>
        <v>1802.0634</v>
      </c>
      <c r="DG291" s="13">
        <f t="shared" si="34"/>
        <v>70</v>
      </c>
      <c r="DH291" s="13">
        <f t="shared" si="34"/>
        <v>70</v>
      </c>
      <c r="DI291" s="13">
        <f t="shared" si="34"/>
        <v>0</v>
      </c>
      <c r="DJ291" s="13">
        <f t="shared" si="34"/>
        <v>2007.8352999999997</v>
      </c>
      <c r="DK291" s="13">
        <f t="shared" si="34"/>
        <v>70</v>
      </c>
      <c r="DL291" s="13">
        <f t="shared" si="34"/>
        <v>1937.8352999999997</v>
      </c>
      <c r="DM291" s="13">
        <f t="shared" si="35"/>
        <v>78</v>
      </c>
      <c r="DN291" s="13">
        <f t="shared" si="35"/>
        <v>78</v>
      </c>
      <c r="DO291" s="13">
        <f t="shared" si="35"/>
        <v>0</v>
      </c>
      <c r="DP291" s="13">
        <f t="shared" si="35"/>
        <v>1176.5181</v>
      </c>
      <c r="DQ291" s="13">
        <f t="shared" si="35"/>
        <v>78</v>
      </c>
      <c r="DR291" s="13">
        <f t="shared" si="35"/>
        <v>1098.5181</v>
      </c>
      <c r="DS291" s="14" t="s">
        <v>81</v>
      </c>
      <c r="DT291" s="14" t="s">
        <v>72</v>
      </c>
      <c r="DU291" s="14" t="s">
        <v>113</v>
      </c>
      <c r="DV291" s="14" t="s">
        <v>372</v>
      </c>
      <c r="DW291" s="14" t="s">
        <v>74</v>
      </c>
    </row>
    <row r="292" spans="2:127" x14ac:dyDescent="0.3">
      <c r="B292" s="11" t="s">
        <v>65</v>
      </c>
      <c r="C292" s="14">
        <v>5001342099</v>
      </c>
      <c r="D292" s="11" t="s">
        <v>923</v>
      </c>
      <c r="E292" s="11" t="s">
        <v>803</v>
      </c>
      <c r="F292" s="11" t="s">
        <v>924</v>
      </c>
      <c r="G292" s="11" t="s">
        <v>925</v>
      </c>
      <c r="H292" s="11" t="s">
        <v>291</v>
      </c>
      <c r="I292" s="11">
        <v>1199</v>
      </c>
      <c r="J292" s="11" t="s">
        <v>80</v>
      </c>
      <c r="K292" s="11"/>
      <c r="L292" s="11"/>
      <c r="M292" s="11"/>
      <c r="N292" s="11"/>
      <c r="O292" s="13">
        <v>685</v>
      </c>
      <c r="P292" s="13">
        <v>685</v>
      </c>
      <c r="Q292" s="13">
        <v>0</v>
      </c>
      <c r="R292" s="13">
        <v>22456.522300000001</v>
      </c>
      <c r="S292" s="13">
        <v>967.53340000000003</v>
      </c>
      <c r="T292" s="13">
        <v>21488.9889</v>
      </c>
      <c r="U292" s="13">
        <v>40</v>
      </c>
      <c r="V292" s="13">
        <v>40</v>
      </c>
      <c r="W292" s="13">
        <v>0</v>
      </c>
      <c r="X292" s="13">
        <v>1321.9258</v>
      </c>
      <c r="Y292" s="13">
        <v>50.607100000000003</v>
      </c>
      <c r="Z292" s="13">
        <v>1271.3187</v>
      </c>
      <c r="AA292" s="13">
        <v>40</v>
      </c>
      <c r="AB292" s="13">
        <v>40</v>
      </c>
      <c r="AC292" s="13">
        <v>0</v>
      </c>
      <c r="AD292" s="13">
        <v>1744.8625999999999</v>
      </c>
      <c r="AE292" s="13">
        <v>78.571100000000001</v>
      </c>
      <c r="AF292" s="13">
        <v>1666.2915</v>
      </c>
      <c r="AG292" s="13">
        <v>40</v>
      </c>
      <c r="AH292" s="13">
        <v>40</v>
      </c>
      <c r="AI292" s="13">
        <v>0</v>
      </c>
      <c r="AJ292" s="13">
        <v>1318.2612999999999</v>
      </c>
      <c r="AK292" s="13">
        <v>59.285499999999999</v>
      </c>
      <c r="AL292" s="13">
        <v>1258.9757999999999</v>
      </c>
      <c r="AM292" s="13">
        <v>40</v>
      </c>
      <c r="AN292" s="13">
        <v>40</v>
      </c>
      <c r="AO292" s="13">
        <v>0</v>
      </c>
      <c r="AP292" s="13">
        <v>1729.4340999999999</v>
      </c>
      <c r="AQ292" s="13">
        <v>63.142600000000002</v>
      </c>
      <c r="AR292" s="13">
        <v>1666.2915</v>
      </c>
      <c r="AS292" s="13">
        <v>56</v>
      </c>
      <c r="AT292" s="13">
        <v>56</v>
      </c>
      <c r="AU292" s="13">
        <v>0</v>
      </c>
      <c r="AV292" s="13">
        <v>1843.2130999999999</v>
      </c>
      <c r="AW292" s="13">
        <v>78.178399999999996</v>
      </c>
      <c r="AX292" s="13">
        <v>1765.0346999999999</v>
      </c>
      <c r="AY292" s="13">
        <v>32</v>
      </c>
      <c r="AZ292" s="13">
        <v>32</v>
      </c>
      <c r="BA292" s="13">
        <v>0</v>
      </c>
      <c r="BB292" s="13">
        <v>1634.0696</v>
      </c>
      <c r="BC292" s="13">
        <v>54.178399999999996</v>
      </c>
      <c r="BD292" s="13">
        <v>1579.8912</v>
      </c>
      <c r="BE292" s="13">
        <v>26</v>
      </c>
      <c r="BF292" s="13">
        <v>26</v>
      </c>
      <c r="BG292" s="13">
        <v>0</v>
      </c>
      <c r="BH292" s="13">
        <v>1628.0696</v>
      </c>
      <c r="BI292" s="13">
        <v>48.178399999999996</v>
      </c>
      <c r="BJ292" s="13">
        <v>1579.8912</v>
      </c>
      <c r="BK292" s="13">
        <v>57</v>
      </c>
      <c r="BL292" s="13">
        <v>57</v>
      </c>
      <c r="BM292" s="13">
        <v>0</v>
      </c>
      <c r="BN292" s="13">
        <v>1829.3628000000001</v>
      </c>
      <c r="BO292" s="13">
        <v>101.35679999999999</v>
      </c>
      <c r="BP292" s="13">
        <v>1728.0060000000001</v>
      </c>
      <c r="BQ292" s="13">
        <v>71</v>
      </c>
      <c r="BR292" s="13">
        <v>71</v>
      </c>
      <c r="BS292" s="13">
        <v>0</v>
      </c>
      <c r="BT292" s="13">
        <v>1725.9129</v>
      </c>
      <c r="BU292" s="13">
        <v>71.964299999999994</v>
      </c>
      <c r="BV292" s="13">
        <v>1653.9485999999999</v>
      </c>
      <c r="BW292" s="13">
        <v>63</v>
      </c>
      <c r="BX292" s="13">
        <v>63</v>
      </c>
      <c r="BY292" s="13">
        <v>0</v>
      </c>
      <c r="BZ292" s="13">
        <v>1656.5837999999999</v>
      </c>
      <c r="CA292" s="13">
        <v>89.035499999999999</v>
      </c>
      <c r="CB292" s="13">
        <v>1567.5482999999999</v>
      </c>
      <c r="CC292" s="13">
        <v>70</v>
      </c>
      <c r="CD292" s="13">
        <v>70</v>
      </c>
      <c r="CE292" s="13">
        <v>0</v>
      </c>
      <c r="CF292" s="13">
        <v>2347.2646999999997</v>
      </c>
      <c r="CG292" s="13">
        <v>100.8569</v>
      </c>
      <c r="CH292" s="13">
        <v>2246.4078</v>
      </c>
      <c r="CI292" s="13">
        <v>81</v>
      </c>
      <c r="CJ292" s="13">
        <v>81</v>
      </c>
      <c r="CK292" s="13">
        <v>0</v>
      </c>
      <c r="CL292" s="13">
        <v>1583.3620999999998</v>
      </c>
      <c r="CM292" s="13">
        <v>102.2141</v>
      </c>
      <c r="CN292" s="13">
        <v>1481.1479999999999</v>
      </c>
      <c r="CO292" s="13">
        <v>69</v>
      </c>
      <c r="CP292" s="13">
        <v>69</v>
      </c>
      <c r="CQ292" s="13">
        <v>0</v>
      </c>
      <c r="CR292" s="13">
        <v>2094.1999000000001</v>
      </c>
      <c r="CS292" s="13">
        <v>69.964299999999994</v>
      </c>
      <c r="CT292" s="13">
        <v>2024.2356</v>
      </c>
      <c r="CU292" s="13">
        <f t="shared" si="32"/>
        <v>645</v>
      </c>
      <c r="CV292" s="13">
        <f t="shared" si="32"/>
        <v>645</v>
      </c>
      <c r="CW292" s="13">
        <f t="shared" si="32"/>
        <v>0</v>
      </c>
      <c r="CX292" s="13">
        <f t="shared" si="32"/>
        <v>21134.5965</v>
      </c>
      <c r="CY292" s="13">
        <f t="shared" si="32"/>
        <v>916.92629999999997</v>
      </c>
      <c r="CZ292" s="13">
        <f t="shared" si="32"/>
        <v>20217.6702</v>
      </c>
      <c r="DA292" s="13">
        <f t="shared" si="33"/>
        <v>220</v>
      </c>
      <c r="DB292" s="13">
        <f t="shared" si="33"/>
        <v>220</v>
      </c>
      <c r="DC292" s="13">
        <f t="shared" si="33"/>
        <v>0</v>
      </c>
      <c r="DD292" s="13">
        <f t="shared" si="33"/>
        <v>6024.8266999999996</v>
      </c>
      <c r="DE292" s="13">
        <f t="shared" si="33"/>
        <v>273.03530000000001</v>
      </c>
      <c r="DF292" s="13">
        <f t="shared" si="33"/>
        <v>5751.7914000000001</v>
      </c>
      <c r="DG292" s="13">
        <f t="shared" si="34"/>
        <v>191</v>
      </c>
      <c r="DH292" s="13">
        <f t="shared" si="34"/>
        <v>191</v>
      </c>
      <c r="DI292" s="13">
        <f t="shared" si="34"/>
        <v>0</v>
      </c>
      <c r="DJ292" s="13">
        <f t="shared" si="34"/>
        <v>5211.8595000000005</v>
      </c>
      <c r="DK292" s="13">
        <f t="shared" si="34"/>
        <v>262.35660000000001</v>
      </c>
      <c r="DL292" s="13">
        <f t="shared" si="34"/>
        <v>4949.5028999999995</v>
      </c>
      <c r="DM292" s="13">
        <f t="shared" si="35"/>
        <v>150</v>
      </c>
      <c r="DN292" s="13">
        <f t="shared" si="35"/>
        <v>150</v>
      </c>
      <c r="DO292" s="13">
        <f t="shared" si="35"/>
        <v>0</v>
      </c>
      <c r="DP292" s="13">
        <f t="shared" si="35"/>
        <v>3677.5619999999999</v>
      </c>
      <c r="DQ292" s="13">
        <f t="shared" si="35"/>
        <v>172.17840000000001</v>
      </c>
      <c r="DR292" s="13">
        <f t="shared" si="35"/>
        <v>3505.3836000000001</v>
      </c>
      <c r="DS292" s="14" t="s">
        <v>81</v>
      </c>
      <c r="DT292" s="14" t="s">
        <v>72</v>
      </c>
      <c r="DU292" s="14" t="s">
        <v>113</v>
      </c>
      <c r="DV292" s="14" t="s">
        <v>372</v>
      </c>
      <c r="DW292" s="14" t="s">
        <v>74</v>
      </c>
    </row>
    <row r="293" spans="2:127" x14ac:dyDescent="0.3">
      <c r="B293" s="11" t="s">
        <v>75</v>
      </c>
      <c r="C293" s="14">
        <v>5001341912</v>
      </c>
      <c r="D293" s="11" t="s">
        <v>926</v>
      </c>
      <c r="E293" s="11" t="s">
        <v>803</v>
      </c>
      <c r="F293" s="11" t="s">
        <v>927</v>
      </c>
      <c r="G293" s="11" t="s">
        <v>928</v>
      </c>
      <c r="H293" s="11" t="s">
        <v>169</v>
      </c>
      <c r="I293" s="11">
        <v>23606</v>
      </c>
      <c r="J293" s="11" t="s">
        <v>80</v>
      </c>
      <c r="K293" s="11"/>
      <c r="L293" s="11"/>
      <c r="M293" s="11"/>
      <c r="N293" s="11"/>
      <c r="O293" s="13">
        <v>47</v>
      </c>
      <c r="P293" s="13">
        <v>47</v>
      </c>
      <c r="Q293" s="13">
        <v>0</v>
      </c>
      <c r="R293" s="13">
        <v>22633.924500000001</v>
      </c>
      <c r="S293" s="13">
        <v>503.10480000000001</v>
      </c>
      <c r="T293" s="13">
        <v>22130.8197</v>
      </c>
      <c r="U293" s="13">
        <v>14</v>
      </c>
      <c r="V293" s="13">
        <v>14</v>
      </c>
      <c r="W293" s="13">
        <v>0</v>
      </c>
      <c r="X293" s="13">
        <v>1952.6062999999999</v>
      </c>
      <c r="Y293" s="13">
        <v>64.142600000000002</v>
      </c>
      <c r="Z293" s="13">
        <v>1888.4637</v>
      </c>
      <c r="AA293" s="13">
        <v>21</v>
      </c>
      <c r="AB293" s="13">
        <v>21</v>
      </c>
      <c r="AC293" s="13">
        <v>0</v>
      </c>
      <c r="AD293" s="13">
        <v>2414.1722999999997</v>
      </c>
      <c r="AE293" s="13">
        <v>56.678400000000003</v>
      </c>
      <c r="AF293" s="13">
        <v>2357.4938999999999</v>
      </c>
      <c r="AG293" s="13">
        <v>0</v>
      </c>
      <c r="AH293" s="13">
        <v>0</v>
      </c>
      <c r="AI293" s="13">
        <v>0</v>
      </c>
      <c r="AJ293" s="13">
        <v>1596.4766999999999</v>
      </c>
      <c r="AK293" s="13">
        <v>28.9284</v>
      </c>
      <c r="AL293" s="13">
        <v>1567.5482999999999</v>
      </c>
      <c r="AM293" s="13">
        <v>0</v>
      </c>
      <c r="AN293" s="13">
        <v>0</v>
      </c>
      <c r="AO293" s="13">
        <v>0</v>
      </c>
      <c r="AP293" s="13">
        <v>1794.3486</v>
      </c>
      <c r="AQ293" s="13">
        <v>53.999699999999997</v>
      </c>
      <c r="AR293" s="13">
        <v>1740.3489</v>
      </c>
      <c r="AS293" s="13">
        <v>0</v>
      </c>
      <c r="AT293" s="13">
        <v>0</v>
      </c>
      <c r="AU293" s="13">
        <v>0</v>
      </c>
      <c r="AV293" s="13">
        <v>1780.6559999999999</v>
      </c>
      <c r="AW293" s="13">
        <v>27.964200000000002</v>
      </c>
      <c r="AX293" s="13">
        <v>1752.6918000000001</v>
      </c>
      <c r="AY293" s="13">
        <v>5</v>
      </c>
      <c r="AZ293" s="13">
        <v>5</v>
      </c>
      <c r="BA293" s="13">
        <v>0</v>
      </c>
      <c r="BB293" s="13">
        <v>1535.1334999999999</v>
      </c>
      <c r="BC293" s="13">
        <v>41.642600000000002</v>
      </c>
      <c r="BD293" s="13">
        <v>1493.4909</v>
      </c>
      <c r="BE293" s="13">
        <v>7</v>
      </c>
      <c r="BF293" s="13">
        <v>7</v>
      </c>
      <c r="BG293" s="13">
        <v>0</v>
      </c>
      <c r="BH293" s="13">
        <v>1199.0539000000001</v>
      </c>
      <c r="BI293" s="13">
        <v>38.821300000000001</v>
      </c>
      <c r="BJ293" s="13">
        <v>1160.2326</v>
      </c>
      <c r="BK293" s="13">
        <v>0</v>
      </c>
      <c r="BL293" s="13">
        <v>0</v>
      </c>
      <c r="BM293" s="13">
        <v>0</v>
      </c>
      <c r="BN293" s="13">
        <v>2178.7143000000001</v>
      </c>
      <c r="BO293" s="13">
        <v>43.392600000000002</v>
      </c>
      <c r="BP293" s="13">
        <v>2135.3217</v>
      </c>
      <c r="BQ293" s="13">
        <v>0</v>
      </c>
      <c r="BR293" s="13">
        <v>0</v>
      </c>
      <c r="BS293" s="13">
        <v>0</v>
      </c>
      <c r="BT293" s="13">
        <v>1350.3903</v>
      </c>
      <c r="BU293" s="13">
        <v>17.357099999999999</v>
      </c>
      <c r="BV293" s="13">
        <v>1333.0332000000001</v>
      </c>
      <c r="BW293" s="13">
        <v>0</v>
      </c>
      <c r="BX293" s="13">
        <v>0</v>
      </c>
      <c r="BY293" s="13">
        <v>0</v>
      </c>
      <c r="BZ293" s="13">
        <v>1473.0477000000001</v>
      </c>
      <c r="CA293" s="13">
        <v>28.9284</v>
      </c>
      <c r="CB293" s="13">
        <v>1444.1193000000001</v>
      </c>
      <c r="CC293" s="13">
        <v>0</v>
      </c>
      <c r="CD293" s="13">
        <v>0</v>
      </c>
      <c r="CE293" s="13">
        <v>0</v>
      </c>
      <c r="CF293" s="13">
        <v>2271.8646000000003</v>
      </c>
      <c r="CG293" s="13">
        <v>50.142600000000002</v>
      </c>
      <c r="CH293" s="13">
        <v>2221.7220000000002</v>
      </c>
      <c r="CI293" s="13">
        <v>0</v>
      </c>
      <c r="CJ293" s="13">
        <v>0</v>
      </c>
      <c r="CK293" s="13">
        <v>0</v>
      </c>
      <c r="CL293" s="13">
        <v>1421.5547999999999</v>
      </c>
      <c r="CM293" s="13">
        <v>14.4642</v>
      </c>
      <c r="CN293" s="13">
        <v>1407.0906</v>
      </c>
      <c r="CO293" s="13">
        <v>0</v>
      </c>
      <c r="CP293" s="13">
        <v>0</v>
      </c>
      <c r="CQ293" s="13">
        <v>0</v>
      </c>
      <c r="CR293" s="13">
        <v>1665.9055000000001</v>
      </c>
      <c r="CS293" s="13">
        <v>36.642699999999998</v>
      </c>
      <c r="CT293" s="13">
        <v>1629.2628</v>
      </c>
      <c r="CU293" s="13">
        <f t="shared" si="32"/>
        <v>33</v>
      </c>
      <c r="CV293" s="13">
        <f t="shared" si="32"/>
        <v>33</v>
      </c>
      <c r="CW293" s="13">
        <f t="shared" si="32"/>
        <v>0</v>
      </c>
      <c r="CX293" s="13">
        <f t="shared" si="32"/>
        <v>20681.318200000002</v>
      </c>
      <c r="CY293" s="13">
        <f t="shared" si="32"/>
        <v>438.96220000000005</v>
      </c>
      <c r="CZ293" s="13">
        <f t="shared" si="32"/>
        <v>20242.356</v>
      </c>
      <c r="DA293" s="13">
        <f t="shared" si="33"/>
        <v>0</v>
      </c>
      <c r="DB293" s="13">
        <f t="shared" si="33"/>
        <v>0</v>
      </c>
      <c r="DC293" s="13">
        <f t="shared" si="33"/>
        <v>0</v>
      </c>
      <c r="DD293" s="13">
        <f t="shared" si="33"/>
        <v>5359.3249000000005</v>
      </c>
      <c r="DE293" s="13">
        <f t="shared" si="33"/>
        <v>101.24950000000001</v>
      </c>
      <c r="DF293" s="13">
        <f t="shared" si="33"/>
        <v>5258.0753999999997</v>
      </c>
      <c r="DG293" s="13">
        <f t="shared" si="34"/>
        <v>0</v>
      </c>
      <c r="DH293" s="13">
        <f t="shared" si="34"/>
        <v>0</v>
      </c>
      <c r="DI293" s="13">
        <f t="shared" si="34"/>
        <v>0</v>
      </c>
      <c r="DJ293" s="13">
        <f t="shared" si="34"/>
        <v>5002.1522999999997</v>
      </c>
      <c r="DK293" s="13">
        <f t="shared" si="34"/>
        <v>89.678100000000001</v>
      </c>
      <c r="DL293" s="13">
        <f t="shared" si="34"/>
        <v>4912.4742000000006</v>
      </c>
      <c r="DM293" s="13">
        <f t="shared" si="35"/>
        <v>0</v>
      </c>
      <c r="DN293" s="13">
        <f t="shared" si="35"/>
        <v>0</v>
      </c>
      <c r="DO293" s="13">
        <f t="shared" si="35"/>
        <v>0</v>
      </c>
      <c r="DP293" s="13">
        <f t="shared" si="35"/>
        <v>3087.4602999999997</v>
      </c>
      <c r="DQ293" s="13">
        <f t="shared" si="35"/>
        <v>51.106899999999996</v>
      </c>
      <c r="DR293" s="13">
        <f t="shared" si="35"/>
        <v>3036.3534</v>
      </c>
      <c r="DS293" s="14" t="s">
        <v>81</v>
      </c>
      <c r="DT293" s="14" t="s">
        <v>72</v>
      </c>
      <c r="DU293" s="14" t="s">
        <v>113</v>
      </c>
      <c r="DV293" s="14" t="s">
        <v>372</v>
      </c>
      <c r="DW293" s="14" t="s">
        <v>74</v>
      </c>
    </row>
    <row r="294" spans="2:127" x14ac:dyDescent="0.3">
      <c r="B294" s="11" t="s">
        <v>53</v>
      </c>
      <c r="C294" s="14">
        <v>5001338425</v>
      </c>
      <c r="D294" s="11" t="s">
        <v>929</v>
      </c>
      <c r="E294" s="11" t="s">
        <v>803</v>
      </c>
      <c r="F294" s="11" t="s">
        <v>930</v>
      </c>
      <c r="G294" s="11" t="s">
        <v>931</v>
      </c>
      <c r="H294" s="11" t="s">
        <v>243</v>
      </c>
      <c r="I294" s="11">
        <v>84405</v>
      </c>
      <c r="J294" s="11" t="s">
        <v>109</v>
      </c>
      <c r="K294" s="11"/>
      <c r="L294" s="11"/>
      <c r="M294" s="11"/>
      <c r="N294" s="11"/>
      <c r="O294" s="13">
        <v>78</v>
      </c>
      <c r="P294" s="13">
        <v>70</v>
      </c>
      <c r="Q294" s="13">
        <v>8</v>
      </c>
      <c r="R294" s="13">
        <v>6294.7681000000002</v>
      </c>
      <c r="S294" s="13">
        <v>362.17610000000002</v>
      </c>
      <c r="T294" s="13">
        <v>5932.5919999999996</v>
      </c>
      <c r="U294" s="13">
        <v>0</v>
      </c>
      <c r="V294" s="13">
        <v>0</v>
      </c>
      <c r="W294" s="13">
        <v>0</v>
      </c>
      <c r="X294" s="13">
        <v>381.85829999999999</v>
      </c>
      <c r="Y294" s="13">
        <v>11.571300000000001</v>
      </c>
      <c r="Z294" s="13">
        <v>370.28699999999998</v>
      </c>
      <c r="AA294" s="13">
        <v>0</v>
      </c>
      <c r="AB294" s="13">
        <v>0</v>
      </c>
      <c r="AC294" s="13">
        <v>0</v>
      </c>
      <c r="AD294" s="13">
        <v>683.10200000000009</v>
      </c>
      <c r="AE294" s="13">
        <v>28.9283</v>
      </c>
      <c r="AF294" s="13">
        <v>654.17370000000005</v>
      </c>
      <c r="AG294" s="13">
        <v>0</v>
      </c>
      <c r="AH294" s="13">
        <v>0</v>
      </c>
      <c r="AI294" s="13">
        <v>0</v>
      </c>
      <c r="AJ294" s="13">
        <v>391.50109999999995</v>
      </c>
      <c r="AK294" s="13">
        <v>21.214099999999998</v>
      </c>
      <c r="AL294" s="13">
        <v>370.28699999999998</v>
      </c>
      <c r="AM294" s="13">
        <v>0</v>
      </c>
      <c r="AN294" s="13">
        <v>0</v>
      </c>
      <c r="AO294" s="13">
        <v>0</v>
      </c>
      <c r="AP294" s="13">
        <v>440.87269999999995</v>
      </c>
      <c r="AQ294" s="13">
        <v>21.214099999999998</v>
      </c>
      <c r="AR294" s="13">
        <v>419.65859999999998</v>
      </c>
      <c r="AS294" s="13">
        <v>25</v>
      </c>
      <c r="AT294" s="13">
        <v>25</v>
      </c>
      <c r="AU294" s="13">
        <v>0</v>
      </c>
      <c r="AV294" s="13">
        <v>567.89419999999996</v>
      </c>
      <c r="AW294" s="13">
        <v>74.178200000000004</v>
      </c>
      <c r="AX294" s="13">
        <v>493.71600000000001</v>
      </c>
      <c r="AY294" s="13">
        <v>10</v>
      </c>
      <c r="AZ294" s="13">
        <v>10</v>
      </c>
      <c r="BA294" s="13">
        <v>0</v>
      </c>
      <c r="BB294" s="13">
        <v>428.887</v>
      </c>
      <c r="BC294" s="13">
        <v>21.571300000000001</v>
      </c>
      <c r="BD294" s="13">
        <v>407.31569999999999</v>
      </c>
      <c r="BE294" s="13">
        <v>10</v>
      </c>
      <c r="BF294" s="13">
        <v>10</v>
      </c>
      <c r="BG294" s="13">
        <v>0</v>
      </c>
      <c r="BH294" s="13">
        <v>339.78659999999996</v>
      </c>
      <c r="BI294" s="13">
        <v>31.214099999999998</v>
      </c>
      <c r="BJ294" s="13">
        <v>308.57249999999999</v>
      </c>
      <c r="BK294" s="13">
        <v>10</v>
      </c>
      <c r="BL294" s="13">
        <v>10</v>
      </c>
      <c r="BM294" s="13">
        <v>0</v>
      </c>
      <c r="BN294" s="13">
        <v>611.33040000000005</v>
      </c>
      <c r="BO294" s="13">
        <v>31.214099999999998</v>
      </c>
      <c r="BP294" s="13">
        <v>580.11630000000002</v>
      </c>
      <c r="BQ294" s="13">
        <v>10</v>
      </c>
      <c r="BR294" s="13">
        <v>10</v>
      </c>
      <c r="BS294" s="13">
        <v>0</v>
      </c>
      <c r="BT294" s="13">
        <v>306.61509999999998</v>
      </c>
      <c r="BU294" s="13">
        <v>35.071300000000001</v>
      </c>
      <c r="BV294" s="13">
        <v>271.54379999999998</v>
      </c>
      <c r="BW294" s="13">
        <v>0</v>
      </c>
      <c r="BX294" s="13">
        <v>0</v>
      </c>
      <c r="BY294" s="13">
        <v>0</v>
      </c>
      <c r="BZ294" s="13">
        <v>474.04430000000002</v>
      </c>
      <c r="CA294" s="13">
        <v>17.356999999999999</v>
      </c>
      <c r="CB294" s="13">
        <v>456.68729999999999</v>
      </c>
      <c r="CC294" s="13">
        <v>0</v>
      </c>
      <c r="CD294" s="13">
        <v>0</v>
      </c>
      <c r="CE294" s="13">
        <v>0</v>
      </c>
      <c r="CF294" s="13">
        <v>663.04489999999998</v>
      </c>
      <c r="CG294" s="13">
        <v>21.214099999999998</v>
      </c>
      <c r="CH294" s="13">
        <v>641.83079999999995</v>
      </c>
      <c r="CI294" s="13">
        <v>0</v>
      </c>
      <c r="CJ294" s="13">
        <v>0</v>
      </c>
      <c r="CK294" s="13">
        <v>0</v>
      </c>
      <c r="CL294" s="13">
        <v>551.9588</v>
      </c>
      <c r="CM294" s="13">
        <v>21.214099999999998</v>
      </c>
      <c r="CN294" s="13">
        <v>530.74469999999997</v>
      </c>
      <c r="CO294" s="13">
        <v>13</v>
      </c>
      <c r="CP294" s="13">
        <v>5</v>
      </c>
      <c r="CQ294" s="13">
        <v>8</v>
      </c>
      <c r="CR294" s="13">
        <v>453.87269999999995</v>
      </c>
      <c r="CS294" s="13">
        <v>26.214099999999998</v>
      </c>
      <c r="CT294" s="13">
        <v>427.65859999999998</v>
      </c>
      <c r="CU294" s="13">
        <f t="shared" si="32"/>
        <v>78</v>
      </c>
      <c r="CV294" s="13">
        <f t="shared" si="32"/>
        <v>70</v>
      </c>
      <c r="CW294" s="13">
        <f t="shared" si="32"/>
        <v>8</v>
      </c>
      <c r="CX294" s="13">
        <f t="shared" si="32"/>
        <v>5912.9098000000004</v>
      </c>
      <c r="CY294" s="13">
        <f t="shared" si="32"/>
        <v>350.6047999999999</v>
      </c>
      <c r="CZ294" s="13">
        <f t="shared" si="32"/>
        <v>5562.3050000000003</v>
      </c>
      <c r="DA294" s="13">
        <f t="shared" si="33"/>
        <v>13</v>
      </c>
      <c r="DB294" s="13">
        <f t="shared" si="33"/>
        <v>5</v>
      </c>
      <c r="DC294" s="13">
        <f t="shared" si="33"/>
        <v>8</v>
      </c>
      <c r="DD294" s="13">
        <f t="shared" si="33"/>
        <v>1668.8763999999999</v>
      </c>
      <c r="DE294" s="13">
        <f t="shared" si="33"/>
        <v>68.642299999999992</v>
      </c>
      <c r="DF294" s="13">
        <f t="shared" si="33"/>
        <v>1600.2340999999999</v>
      </c>
      <c r="DG294" s="13">
        <f t="shared" si="34"/>
        <v>20</v>
      </c>
      <c r="DH294" s="13">
        <f t="shared" si="34"/>
        <v>20</v>
      </c>
      <c r="DI294" s="13">
        <f t="shared" si="34"/>
        <v>0</v>
      </c>
      <c r="DJ294" s="13">
        <f t="shared" si="34"/>
        <v>1391.9898000000001</v>
      </c>
      <c r="DK294" s="13">
        <f t="shared" si="34"/>
        <v>83.642399999999995</v>
      </c>
      <c r="DL294" s="13">
        <f t="shared" si="34"/>
        <v>1308.3474000000001</v>
      </c>
      <c r="DM294" s="13">
        <f t="shared" si="35"/>
        <v>13</v>
      </c>
      <c r="DN294" s="13">
        <f t="shared" si="35"/>
        <v>5</v>
      </c>
      <c r="DO294" s="13">
        <f t="shared" si="35"/>
        <v>8</v>
      </c>
      <c r="DP294" s="13">
        <f t="shared" si="35"/>
        <v>1005.8315</v>
      </c>
      <c r="DQ294" s="13">
        <f t="shared" si="35"/>
        <v>47.428199999999997</v>
      </c>
      <c r="DR294" s="13">
        <f t="shared" si="35"/>
        <v>958.40329999999994</v>
      </c>
      <c r="DS294" s="14" t="s">
        <v>81</v>
      </c>
      <c r="DT294" s="14" t="s">
        <v>72</v>
      </c>
      <c r="DU294" s="14" t="s">
        <v>113</v>
      </c>
      <c r="DV294" s="14" t="s">
        <v>372</v>
      </c>
      <c r="DW294" s="14" t="s">
        <v>74</v>
      </c>
    </row>
    <row r="295" spans="2:127" x14ac:dyDescent="0.3">
      <c r="B295" s="11" t="s">
        <v>75</v>
      </c>
      <c r="C295" s="14">
        <v>5001339198</v>
      </c>
      <c r="D295" s="11" t="s">
        <v>932</v>
      </c>
      <c r="E295" s="11" t="s">
        <v>803</v>
      </c>
      <c r="F295" s="11" t="s">
        <v>933</v>
      </c>
      <c r="G295" s="11" t="s">
        <v>934</v>
      </c>
      <c r="H295" s="11" t="s">
        <v>104</v>
      </c>
      <c r="I295" s="11">
        <v>33462</v>
      </c>
      <c r="J295" s="11" t="s">
        <v>70</v>
      </c>
      <c r="K295" s="11"/>
      <c r="L295" s="11"/>
      <c r="M295" s="11"/>
      <c r="N295" s="11"/>
      <c r="O295" s="13">
        <v>398</v>
      </c>
      <c r="P295" s="13">
        <v>398</v>
      </c>
      <c r="Q295" s="13">
        <v>0</v>
      </c>
      <c r="R295" s="13">
        <v>15277.5584</v>
      </c>
      <c r="S295" s="13">
        <v>441.39260000000002</v>
      </c>
      <c r="T295" s="13">
        <v>14836.165800000001</v>
      </c>
      <c r="U295" s="13">
        <v>28</v>
      </c>
      <c r="V295" s="13">
        <v>28</v>
      </c>
      <c r="W295" s="13">
        <v>0</v>
      </c>
      <c r="X295" s="13">
        <v>844.7527</v>
      </c>
      <c r="Y295" s="13">
        <v>42.464199999999998</v>
      </c>
      <c r="Z295" s="13">
        <v>802.2885</v>
      </c>
      <c r="AA295" s="13">
        <v>54</v>
      </c>
      <c r="AB295" s="13">
        <v>54</v>
      </c>
      <c r="AC295" s="13">
        <v>0</v>
      </c>
      <c r="AD295" s="13">
        <v>1253.3825999999999</v>
      </c>
      <c r="AE295" s="13">
        <v>68.464200000000005</v>
      </c>
      <c r="AF295" s="13">
        <v>1184.9184</v>
      </c>
      <c r="AG295" s="13">
        <v>25</v>
      </c>
      <c r="AH295" s="13">
        <v>25</v>
      </c>
      <c r="AI295" s="13">
        <v>0</v>
      </c>
      <c r="AJ295" s="13">
        <v>1150.3252</v>
      </c>
      <c r="AK295" s="13">
        <v>39.464199999999998</v>
      </c>
      <c r="AL295" s="13">
        <v>1110.8610000000001</v>
      </c>
      <c r="AM295" s="13">
        <v>29</v>
      </c>
      <c r="AN295" s="13">
        <v>29</v>
      </c>
      <c r="AO295" s="13">
        <v>0</v>
      </c>
      <c r="AP295" s="13">
        <v>1016.432</v>
      </c>
      <c r="AQ295" s="13">
        <v>29</v>
      </c>
      <c r="AR295" s="13">
        <v>987.43200000000002</v>
      </c>
      <c r="AS295" s="13">
        <v>18</v>
      </c>
      <c r="AT295" s="13">
        <v>18</v>
      </c>
      <c r="AU295" s="13">
        <v>0</v>
      </c>
      <c r="AV295" s="13">
        <v>1351.0332000000001</v>
      </c>
      <c r="AW295" s="13">
        <v>18</v>
      </c>
      <c r="AX295" s="13">
        <v>1333.0332000000001</v>
      </c>
      <c r="AY295" s="13">
        <v>25</v>
      </c>
      <c r="AZ295" s="13">
        <v>25</v>
      </c>
      <c r="BA295" s="13">
        <v>0</v>
      </c>
      <c r="BB295" s="13">
        <v>1011.6604</v>
      </c>
      <c r="BC295" s="13">
        <v>36.571300000000001</v>
      </c>
      <c r="BD295" s="13">
        <v>975.08910000000003</v>
      </c>
      <c r="BE295" s="13">
        <v>25</v>
      </c>
      <c r="BF295" s="13">
        <v>25</v>
      </c>
      <c r="BG295" s="13">
        <v>0</v>
      </c>
      <c r="BH295" s="13">
        <v>1111.1751999999999</v>
      </c>
      <c r="BI295" s="13">
        <v>25</v>
      </c>
      <c r="BJ295" s="13">
        <v>1086.1751999999999</v>
      </c>
      <c r="BK295" s="13">
        <v>40</v>
      </c>
      <c r="BL295" s="13">
        <v>40</v>
      </c>
      <c r="BM295" s="13">
        <v>0</v>
      </c>
      <c r="BN295" s="13">
        <v>1471.7764</v>
      </c>
      <c r="BO295" s="13">
        <v>40</v>
      </c>
      <c r="BP295" s="13">
        <v>1431.7764</v>
      </c>
      <c r="BQ295" s="13">
        <v>29</v>
      </c>
      <c r="BR295" s="13">
        <v>29</v>
      </c>
      <c r="BS295" s="13">
        <v>0</v>
      </c>
      <c r="BT295" s="13">
        <v>1214.6899999999998</v>
      </c>
      <c r="BU295" s="13">
        <v>17.428699999999999</v>
      </c>
      <c r="BV295" s="13">
        <v>1197.2612999999999</v>
      </c>
      <c r="BW295" s="13">
        <v>29</v>
      </c>
      <c r="BX295" s="13">
        <v>29</v>
      </c>
      <c r="BY295" s="13">
        <v>0</v>
      </c>
      <c r="BZ295" s="13">
        <v>1226.2612999999999</v>
      </c>
      <c r="CA295" s="13">
        <v>29</v>
      </c>
      <c r="CB295" s="13">
        <v>1197.2612999999999</v>
      </c>
      <c r="CC295" s="13">
        <v>30</v>
      </c>
      <c r="CD295" s="13">
        <v>30</v>
      </c>
      <c r="CE295" s="13">
        <v>0</v>
      </c>
      <c r="CF295" s="13">
        <v>1412.4048</v>
      </c>
      <c r="CG295" s="13">
        <v>30</v>
      </c>
      <c r="CH295" s="13">
        <v>1382.4048</v>
      </c>
      <c r="CI295" s="13">
        <v>28</v>
      </c>
      <c r="CJ295" s="13">
        <v>28</v>
      </c>
      <c r="CK295" s="13">
        <v>0</v>
      </c>
      <c r="CL295" s="13">
        <v>1089.4893999999999</v>
      </c>
      <c r="CM295" s="13">
        <v>28</v>
      </c>
      <c r="CN295" s="13">
        <v>1061.4893999999999</v>
      </c>
      <c r="CO295" s="13">
        <v>38</v>
      </c>
      <c r="CP295" s="13">
        <v>38</v>
      </c>
      <c r="CQ295" s="13">
        <v>0</v>
      </c>
      <c r="CR295" s="13">
        <v>1124.1751999999999</v>
      </c>
      <c r="CS295" s="13">
        <v>38</v>
      </c>
      <c r="CT295" s="13">
        <v>1086.1751999999999</v>
      </c>
      <c r="CU295" s="13">
        <f t="shared" si="32"/>
        <v>370</v>
      </c>
      <c r="CV295" s="13">
        <f t="shared" si="32"/>
        <v>370</v>
      </c>
      <c r="CW295" s="13">
        <f t="shared" si="32"/>
        <v>0</v>
      </c>
      <c r="CX295" s="13">
        <f t="shared" si="32"/>
        <v>14432.805700000001</v>
      </c>
      <c r="CY295" s="13">
        <f t="shared" si="32"/>
        <v>398.92840000000001</v>
      </c>
      <c r="CZ295" s="13">
        <f t="shared" si="32"/>
        <v>14033.8773</v>
      </c>
      <c r="DA295" s="13">
        <f t="shared" si="33"/>
        <v>96</v>
      </c>
      <c r="DB295" s="13">
        <f t="shared" si="33"/>
        <v>96</v>
      </c>
      <c r="DC295" s="13">
        <f t="shared" si="33"/>
        <v>0</v>
      </c>
      <c r="DD295" s="13">
        <f t="shared" si="33"/>
        <v>3626.0693999999994</v>
      </c>
      <c r="DE295" s="13">
        <f t="shared" si="33"/>
        <v>96</v>
      </c>
      <c r="DF295" s="13">
        <f t="shared" si="33"/>
        <v>3530.0693999999994</v>
      </c>
      <c r="DG295" s="13">
        <f t="shared" si="34"/>
        <v>98</v>
      </c>
      <c r="DH295" s="13">
        <f t="shared" si="34"/>
        <v>98</v>
      </c>
      <c r="DI295" s="13">
        <f t="shared" si="34"/>
        <v>0</v>
      </c>
      <c r="DJ295" s="13">
        <f t="shared" si="34"/>
        <v>3912.7276999999995</v>
      </c>
      <c r="DK295" s="13">
        <f t="shared" si="34"/>
        <v>86.428699999999992</v>
      </c>
      <c r="DL295" s="13">
        <f t="shared" si="34"/>
        <v>3826.299</v>
      </c>
      <c r="DM295" s="13">
        <f t="shared" si="35"/>
        <v>66</v>
      </c>
      <c r="DN295" s="13">
        <f t="shared" si="35"/>
        <v>66</v>
      </c>
      <c r="DO295" s="13">
        <f t="shared" si="35"/>
        <v>0</v>
      </c>
      <c r="DP295" s="13">
        <f t="shared" si="35"/>
        <v>2213.6646000000001</v>
      </c>
      <c r="DQ295" s="13">
        <f t="shared" si="35"/>
        <v>66</v>
      </c>
      <c r="DR295" s="13">
        <f t="shared" si="35"/>
        <v>2147.6646000000001</v>
      </c>
      <c r="DS295" s="14" t="s">
        <v>81</v>
      </c>
      <c r="DT295" s="14" t="s">
        <v>72</v>
      </c>
      <c r="DU295" s="14" t="s">
        <v>113</v>
      </c>
      <c r="DV295" s="14" t="s">
        <v>372</v>
      </c>
      <c r="DW295" s="14" t="s">
        <v>74</v>
      </c>
    </row>
    <row r="296" spans="2:127" x14ac:dyDescent="0.3">
      <c r="B296" s="11" t="s">
        <v>75</v>
      </c>
      <c r="C296" s="14">
        <v>5001341681</v>
      </c>
      <c r="D296" s="11" t="s">
        <v>935</v>
      </c>
      <c r="E296" s="11" t="s">
        <v>803</v>
      </c>
      <c r="F296" s="11" t="s">
        <v>936</v>
      </c>
      <c r="G296" s="11" t="s">
        <v>937</v>
      </c>
      <c r="H296" s="11" t="s">
        <v>157</v>
      </c>
      <c r="I296" s="11">
        <v>30165</v>
      </c>
      <c r="J296" s="11" t="s">
        <v>70</v>
      </c>
      <c r="K296" s="11"/>
      <c r="L296" s="11"/>
      <c r="M296" s="11"/>
      <c r="N296" s="11"/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0</v>
      </c>
      <c r="BD296" s="13">
        <v>0</v>
      </c>
      <c r="BE296" s="13">
        <v>0</v>
      </c>
      <c r="BF296" s="13">
        <v>0</v>
      </c>
      <c r="BG296" s="13">
        <v>0</v>
      </c>
      <c r="BH296" s="13">
        <v>0</v>
      </c>
      <c r="BI296" s="13">
        <v>0</v>
      </c>
      <c r="BJ296" s="13">
        <v>0</v>
      </c>
      <c r="BK296" s="13">
        <v>0</v>
      </c>
      <c r="BL296" s="13">
        <v>0</v>
      </c>
      <c r="BM296" s="13">
        <v>0</v>
      </c>
      <c r="BN296" s="13">
        <v>0</v>
      </c>
      <c r="BO296" s="13">
        <v>0</v>
      </c>
      <c r="BP296" s="13">
        <v>0</v>
      </c>
      <c r="BQ296" s="13">
        <v>0</v>
      </c>
      <c r="BR296" s="13">
        <v>0</v>
      </c>
      <c r="BS296" s="13">
        <v>0</v>
      </c>
      <c r="BT296" s="13">
        <v>0</v>
      </c>
      <c r="BU296" s="13">
        <v>0</v>
      </c>
      <c r="BV296" s="13">
        <v>0</v>
      </c>
      <c r="BW296" s="13">
        <v>0</v>
      </c>
      <c r="BX296" s="13">
        <v>0</v>
      </c>
      <c r="BY296" s="13">
        <v>0</v>
      </c>
      <c r="BZ296" s="13">
        <v>0</v>
      </c>
      <c r="CA296" s="13">
        <v>0</v>
      </c>
      <c r="CB296" s="13">
        <v>0</v>
      </c>
      <c r="CC296" s="13">
        <v>0</v>
      </c>
      <c r="CD296" s="13">
        <v>0</v>
      </c>
      <c r="CE296" s="13">
        <v>0</v>
      </c>
      <c r="CF296" s="13">
        <v>0</v>
      </c>
      <c r="CG296" s="13">
        <v>0</v>
      </c>
      <c r="CH296" s="13">
        <v>0</v>
      </c>
      <c r="CI296" s="13">
        <v>0</v>
      </c>
      <c r="CJ296" s="13">
        <v>0</v>
      </c>
      <c r="CK296" s="13">
        <v>0</v>
      </c>
      <c r="CL296" s="13">
        <v>0</v>
      </c>
      <c r="CM296" s="13">
        <v>0</v>
      </c>
      <c r="CN296" s="13">
        <v>0</v>
      </c>
      <c r="CO296" s="13">
        <v>0</v>
      </c>
      <c r="CP296" s="13">
        <v>0</v>
      </c>
      <c r="CQ296" s="13">
        <v>0</v>
      </c>
      <c r="CR296" s="13">
        <v>0</v>
      </c>
      <c r="CS296" s="13">
        <v>0</v>
      </c>
      <c r="CT296" s="13">
        <v>0</v>
      </c>
      <c r="CU296" s="13">
        <f t="shared" si="32"/>
        <v>0</v>
      </c>
      <c r="CV296" s="13">
        <f t="shared" si="32"/>
        <v>0</v>
      </c>
      <c r="CW296" s="13">
        <f t="shared" si="32"/>
        <v>0</v>
      </c>
      <c r="CX296" s="13">
        <f t="shared" si="32"/>
        <v>0</v>
      </c>
      <c r="CY296" s="13">
        <f t="shared" si="32"/>
        <v>0</v>
      </c>
      <c r="CZ296" s="13">
        <f t="shared" si="32"/>
        <v>0</v>
      </c>
      <c r="DA296" s="13">
        <f t="shared" si="33"/>
        <v>0</v>
      </c>
      <c r="DB296" s="13">
        <f t="shared" si="33"/>
        <v>0</v>
      </c>
      <c r="DC296" s="13">
        <f t="shared" si="33"/>
        <v>0</v>
      </c>
      <c r="DD296" s="13">
        <f t="shared" si="33"/>
        <v>0</v>
      </c>
      <c r="DE296" s="13">
        <f t="shared" si="33"/>
        <v>0</v>
      </c>
      <c r="DF296" s="13">
        <f t="shared" si="33"/>
        <v>0</v>
      </c>
      <c r="DG296" s="13">
        <f t="shared" si="34"/>
        <v>0</v>
      </c>
      <c r="DH296" s="13">
        <f t="shared" si="34"/>
        <v>0</v>
      </c>
      <c r="DI296" s="13">
        <f t="shared" si="34"/>
        <v>0</v>
      </c>
      <c r="DJ296" s="13">
        <f t="shared" si="34"/>
        <v>0</v>
      </c>
      <c r="DK296" s="13">
        <f t="shared" si="34"/>
        <v>0</v>
      </c>
      <c r="DL296" s="13">
        <f t="shared" si="34"/>
        <v>0</v>
      </c>
      <c r="DM296" s="13">
        <f t="shared" si="35"/>
        <v>0</v>
      </c>
      <c r="DN296" s="13">
        <f t="shared" si="35"/>
        <v>0</v>
      </c>
      <c r="DO296" s="13">
        <f t="shared" si="35"/>
        <v>0</v>
      </c>
      <c r="DP296" s="13">
        <f t="shared" si="35"/>
        <v>0</v>
      </c>
      <c r="DQ296" s="13">
        <f t="shared" si="35"/>
        <v>0</v>
      </c>
      <c r="DR296" s="13">
        <f t="shared" si="35"/>
        <v>0</v>
      </c>
      <c r="DS296" s="14" t="s">
        <v>81</v>
      </c>
      <c r="DT296" s="14" t="s">
        <v>72</v>
      </c>
      <c r="DU296" s="14" t="s">
        <v>113</v>
      </c>
      <c r="DV296" s="14" t="s">
        <v>372</v>
      </c>
      <c r="DW296" s="14" t="s">
        <v>74</v>
      </c>
    </row>
    <row r="297" spans="2:127" x14ac:dyDescent="0.3">
      <c r="B297" s="11" t="s">
        <v>83</v>
      </c>
      <c r="C297" s="14">
        <v>5001341825</v>
      </c>
      <c r="D297" s="11" t="s">
        <v>938</v>
      </c>
      <c r="E297" s="11" t="s">
        <v>803</v>
      </c>
      <c r="F297" s="11" t="s">
        <v>939</v>
      </c>
      <c r="G297" s="11" t="s">
        <v>670</v>
      </c>
      <c r="H297" s="11" t="s">
        <v>87</v>
      </c>
      <c r="I297" s="11">
        <v>64131</v>
      </c>
      <c r="J297" s="11" t="s">
        <v>80</v>
      </c>
      <c r="K297" s="11"/>
      <c r="L297" s="11"/>
      <c r="M297" s="11"/>
      <c r="N297" s="11"/>
      <c r="O297" s="13">
        <v>118</v>
      </c>
      <c r="P297" s="13">
        <v>118</v>
      </c>
      <c r="Q297" s="13">
        <v>0</v>
      </c>
      <c r="R297" s="13">
        <v>19855.454099999999</v>
      </c>
      <c r="S297" s="13">
        <v>131.4999</v>
      </c>
      <c r="T297" s="13">
        <v>19723.9542</v>
      </c>
      <c r="U297" s="13">
        <v>0</v>
      </c>
      <c r="V297" s="13">
        <v>0</v>
      </c>
      <c r="W297" s="13">
        <v>0</v>
      </c>
      <c r="X297" s="13">
        <v>1234.29</v>
      </c>
      <c r="Y297" s="13">
        <v>0</v>
      </c>
      <c r="Z297" s="13">
        <v>1234.29</v>
      </c>
      <c r="AA297" s="13">
        <v>0</v>
      </c>
      <c r="AB297" s="13">
        <v>0</v>
      </c>
      <c r="AC297" s="13">
        <v>0</v>
      </c>
      <c r="AD297" s="13">
        <v>1469.7694000000001</v>
      </c>
      <c r="AE297" s="13">
        <v>0.96430000000000005</v>
      </c>
      <c r="AF297" s="13">
        <v>1468.8051</v>
      </c>
      <c r="AG297" s="13">
        <v>0</v>
      </c>
      <c r="AH297" s="13">
        <v>0</v>
      </c>
      <c r="AI297" s="13">
        <v>0</v>
      </c>
      <c r="AJ297" s="13">
        <v>1308.3474000000001</v>
      </c>
      <c r="AK297" s="13">
        <v>0</v>
      </c>
      <c r="AL297" s="13">
        <v>1308.3474000000001</v>
      </c>
      <c r="AM297" s="13">
        <v>0</v>
      </c>
      <c r="AN297" s="13">
        <v>0</v>
      </c>
      <c r="AO297" s="13">
        <v>0</v>
      </c>
      <c r="AP297" s="13">
        <v>1147.1181000000001</v>
      </c>
      <c r="AQ297" s="13">
        <v>11.571300000000001</v>
      </c>
      <c r="AR297" s="13">
        <v>1135.5468000000001</v>
      </c>
      <c r="AS297" s="13">
        <v>42</v>
      </c>
      <c r="AT297" s="13">
        <v>42</v>
      </c>
      <c r="AU297" s="13">
        <v>0</v>
      </c>
      <c r="AV297" s="13">
        <v>1683.6057000000001</v>
      </c>
      <c r="AW297" s="13">
        <v>42</v>
      </c>
      <c r="AX297" s="13">
        <v>1641.6057000000001</v>
      </c>
      <c r="AY297" s="13">
        <v>5</v>
      </c>
      <c r="AZ297" s="13">
        <v>5</v>
      </c>
      <c r="BA297" s="13">
        <v>0</v>
      </c>
      <c r="BB297" s="13">
        <v>1572.5482999999999</v>
      </c>
      <c r="BC297" s="13">
        <v>5</v>
      </c>
      <c r="BD297" s="13">
        <v>1567.5482999999999</v>
      </c>
      <c r="BE297" s="13">
        <v>17</v>
      </c>
      <c r="BF297" s="13">
        <v>17</v>
      </c>
      <c r="BG297" s="13">
        <v>0</v>
      </c>
      <c r="BH297" s="13">
        <v>1573.1697000000001</v>
      </c>
      <c r="BI297" s="13">
        <v>17.964300000000001</v>
      </c>
      <c r="BJ297" s="13">
        <v>1555.2054000000001</v>
      </c>
      <c r="BK297" s="13">
        <v>18</v>
      </c>
      <c r="BL297" s="13">
        <v>18</v>
      </c>
      <c r="BM297" s="13">
        <v>0</v>
      </c>
      <c r="BN297" s="13">
        <v>1869.4349999999999</v>
      </c>
      <c r="BO297" s="13">
        <v>18</v>
      </c>
      <c r="BP297" s="13">
        <v>1851.4349999999999</v>
      </c>
      <c r="BQ297" s="13">
        <v>12</v>
      </c>
      <c r="BR297" s="13">
        <v>12</v>
      </c>
      <c r="BS297" s="13">
        <v>0</v>
      </c>
      <c r="BT297" s="13">
        <v>1493.1479999999999</v>
      </c>
      <c r="BU297" s="13">
        <v>12</v>
      </c>
      <c r="BV297" s="13">
        <v>1481.1479999999999</v>
      </c>
      <c r="BW297" s="13">
        <v>12</v>
      </c>
      <c r="BX297" s="13">
        <v>12</v>
      </c>
      <c r="BY297" s="13">
        <v>0</v>
      </c>
      <c r="BZ297" s="13">
        <v>1665.9485999999999</v>
      </c>
      <c r="CA297" s="13">
        <v>12</v>
      </c>
      <c r="CB297" s="13">
        <v>1653.9485999999999</v>
      </c>
      <c r="CC297" s="13">
        <v>12</v>
      </c>
      <c r="CD297" s="13">
        <v>12</v>
      </c>
      <c r="CE297" s="13">
        <v>0</v>
      </c>
      <c r="CF297" s="13">
        <v>1789.3776</v>
      </c>
      <c r="CG297" s="13">
        <v>12</v>
      </c>
      <c r="CH297" s="13">
        <v>1777.3776</v>
      </c>
      <c r="CI297" s="13">
        <v>0</v>
      </c>
      <c r="CJ297" s="13">
        <v>0</v>
      </c>
      <c r="CK297" s="13">
        <v>0</v>
      </c>
      <c r="CL297" s="13">
        <v>1481.1479999999999</v>
      </c>
      <c r="CM297" s="13">
        <v>0</v>
      </c>
      <c r="CN297" s="13">
        <v>1481.1479999999999</v>
      </c>
      <c r="CO297" s="13">
        <v>0</v>
      </c>
      <c r="CP297" s="13">
        <v>0</v>
      </c>
      <c r="CQ297" s="13">
        <v>0</v>
      </c>
      <c r="CR297" s="13">
        <v>1567.5482999999999</v>
      </c>
      <c r="CS297" s="13">
        <v>0</v>
      </c>
      <c r="CT297" s="13">
        <v>1567.5482999999999</v>
      </c>
      <c r="CU297" s="13">
        <f t="shared" si="32"/>
        <v>118</v>
      </c>
      <c r="CV297" s="13">
        <f t="shared" si="32"/>
        <v>118</v>
      </c>
      <c r="CW297" s="13">
        <f t="shared" si="32"/>
        <v>0</v>
      </c>
      <c r="CX297" s="13">
        <f t="shared" si="32"/>
        <v>18621.164099999998</v>
      </c>
      <c r="CY297" s="13">
        <f t="shared" si="32"/>
        <v>131.4999</v>
      </c>
      <c r="CZ297" s="13">
        <f t="shared" si="32"/>
        <v>18489.664199999999</v>
      </c>
      <c r="DA297" s="13">
        <f t="shared" si="33"/>
        <v>12</v>
      </c>
      <c r="DB297" s="13">
        <f t="shared" si="33"/>
        <v>12</v>
      </c>
      <c r="DC297" s="13">
        <f t="shared" si="33"/>
        <v>0</v>
      </c>
      <c r="DD297" s="13">
        <f t="shared" si="33"/>
        <v>4838.0738999999994</v>
      </c>
      <c r="DE297" s="13">
        <f t="shared" si="33"/>
        <v>12</v>
      </c>
      <c r="DF297" s="13">
        <f t="shared" si="33"/>
        <v>4826.0738999999994</v>
      </c>
      <c r="DG297" s="13">
        <f t="shared" si="34"/>
        <v>42</v>
      </c>
      <c r="DH297" s="13">
        <f t="shared" si="34"/>
        <v>42</v>
      </c>
      <c r="DI297" s="13">
        <f t="shared" si="34"/>
        <v>0</v>
      </c>
      <c r="DJ297" s="13">
        <f t="shared" si="34"/>
        <v>5028.5315999999993</v>
      </c>
      <c r="DK297" s="13">
        <f t="shared" si="34"/>
        <v>42</v>
      </c>
      <c r="DL297" s="13">
        <f t="shared" si="34"/>
        <v>4986.5315999999993</v>
      </c>
      <c r="DM297" s="13">
        <f t="shared" si="35"/>
        <v>0</v>
      </c>
      <c r="DN297" s="13">
        <f t="shared" si="35"/>
        <v>0</v>
      </c>
      <c r="DO297" s="13">
        <f t="shared" si="35"/>
        <v>0</v>
      </c>
      <c r="DP297" s="13">
        <f t="shared" si="35"/>
        <v>3048.6962999999996</v>
      </c>
      <c r="DQ297" s="13">
        <f t="shared" si="35"/>
        <v>0</v>
      </c>
      <c r="DR297" s="13">
        <f t="shared" si="35"/>
        <v>3048.6962999999996</v>
      </c>
      <c r="DS297" s="14" t="s">
        <v>81</v>
      </c>
      <c r="DT297" s="14" t="s">
        <v>72</v>
      </c>
      <c r="DU297" s="14" t="s">
        <v>113</v>
      </c>
      <c r="DV297" s="14" t="s">
        <v>372</v>
      </c>
      <c r="DW297" s="14" t="s">
        <v>74</v>
      </c>
    </row>
    <row r="298" spans="2:127" x14ac:dyDescent="0.3">
      <c r="B298" s="11" t="s">
        <v>65</v>
      </c>
      <c r="C298" s="14">
        <v>5001341391</v>
      </c>
      <c r="D298" s="11" t="s">
        <v>940</v>
      </c>
      <c r="E298" s="11" t="s">
        <v>803</v>
      </c>
      <c r="F298" s="11" t="s">
        <v>941</v>
      </c>
      <c r="G298" s="11" t="s">
        <v>942</v>
      </c>
      <c r="H298" s="11" t="s">
        <v>340</v>
      </c>
      <c r="I298" s="11">
        <v>8062</v>
      </c>
      <c r="J298" s="11" t="s">
        <v>80</v>
      </c>
      <c r="K298" s="11"/>
      <c r="L298" s="11"/>
      <c r="M298" s="11"/>
      <c r="N298" s="11"/>
      <c r="O298" s="13">
        <v>0</v>
      </c>
      <c r="P298" s="13">
        <v>0</v>
      </c>
      <c r="Q298" s="13">
        <v>0</v>
      </c>
      <c r="R298" s="13">
        <v>1345.3761</v>
      </c>
      <c r="S298" s="13">
        <v>0</v>
      </c>
      <c r="T298" s="13">
        <v>1345.3761</v>
      </c>
      <c r="U298" s="13">
        <v>0</v>
      </c>
      <c r="V298" s="13">
        <v>0</v>
      </c>
      <c r="W298" s="13">
        <v>0</v>
      </c>
      <c r="X298" s="13">
        <v>37.028700000000001</v>
      </c>
      <c r="Y298" s="13">
        <v>0</v>
      </c>
      <c r="Z298" s="13">
        <v>37.028700000000001</v>
      </c>
      <c r="AA298" s="13">
        <v>0</v>
      </c>
      <c r="AB298" s="13">
        <v>0</v>
      </c>
      <c r="AC298" s="13">
        <v>0</v>
      </c>
      <c r="AD298" s="13">
        <v>24.6858</v>
      </c>
      <c r="AE298" s="13">
        <v>0</v>
      </c>
      <c r="AF298" s="13">
        <v>24.6858</v>
      </c>
      <c r="AG298" s="13">
        <v>0</v>
      </c>
      <c r="AH298" s="13">
        <v>0</v>
      </c>
      <c r="AI298" s="13">
        <v>0</v>
      </c>
      <c r="AJ298" s="13">
        <v>61.714500000000001</v>
      </c>
      <c r="AK298" s="13">
        <v>0</v>
      </c>
      <c r="AL298" s="13">
        <v>61.714500000000001</v>
      </c>
      <c r="AM298" s="13">
        <v>0</v>
      </c>
      <c r="AN298" s="13">
        <v>0</v>
      </c>
      <c r="AO298" s="13">
        <v>0</v>
      </c>
      <c r="AP298" s="13">
        <v>98.743200000000002</v>
      </c>
      <c r="AQ298" s="13">
        <v>0</v>
      </c>
      <c r="AR298" s="13">
        <v>98.743200000000002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13">
        <v>0</v>
      </c>
      <c r="BB298" s="13">
        <v>86.400300000000001</v>
      </c>
      <c r="BC298" s="13">
        <v>0</v>
      </c>
      <c r="BD298" s="13">
        <v>86.400300000000001</v>
      </c>
      <c r="BE298" s="13">
        <v>0</v>
      </c>
      <c r="BF298" s="13">
        <v>0</v>
      </c>
      <c r="BG298" s="13">
        <v>0</v>
      </c>
      <c r="BH298" s="13">
        <v>111.0861</v>
      </c>
      <c r="BI298" s="13">
        <v>0</v>
      </c>
      <c r="BJ298" s="13">
        <v>111.0861</v>
      </c>
      <c r="BK298" s="13">
        <v>0</v>
      </c>
      <c r="BL298" s="13">
        <v>0</v>
      </c>
      <c r="BM298" s="13">
        <v>0</v>
      </c>
      <c r="BN298" s="13">
        <v>160.45769999999999</v>
      </c>
      <c r="BO298" s="13">
        <v>0</v>
      </c>
      <c r="BP298" s="13">
        <v>160.45769999999999</v>
      </c>
      <c r="BQ298" s="13">
        <v>0</v>
      </c>
      <c r="BR298" s="13">
        <v>0</v>
      </c>
      <c r="BS298" s="13">
        <v>0</v>
      </c>
      <c r="BT298" s="13">
        <v>135.77189999999999</v>
      </c>
      <c r="BU298" s="13">
        <v>0</v>
      </c>
      <c r="BV298" s="13">
        <v>135.77189999999999</v>
      </c>
      <c r="BW298" s="13">
        <v>0</v>
      </c>
      <c r="BX298" s="13">
        <v>0</v>
      </c>
      <c r="BY298" s="13">
        <v>0</v>
      </c>
      <c r="BZ298" s="13">
        <v>135.77189999999999</v>
      </c>
      <c r="CA298" s="13">
        <v>0</v>
      </c>
      <c r="CB298" s="13">
        <v>135.77189999999999</v>
      </c>
      <c r="CC298" s="13">
        <v>0</v>
      </c>
      <c r="CD298" s="13">
        <v>0</v>
      </c>
      <c r="CE298" s="13">
        <v>0</v>
      </c>
      <c r="CF298" s="13">
        <v>185.14349999999999</v>
      </c>
      <c r="CG298" s="13">
        <v>0</v>
      </c>
      <c r="CH298" s="13">
        <v>185.14349999999999</v>
      </c>
      <c r="CI298" s="13">
        <v>0</v>
      </c>
      <c r="CJ298" s="13">
        <v>0</v>
      </c>
      <c r="CK298" s="13">
        <v>0</v>
      </c>
      <c r="CL298" s="13">
        <v>160.45769999999999</v>
      </c>
      <c r="CM298" s="13">
        <v>0</v>
      </c>
      <c r="CN298" s="13">
        <v>160.45769999999999</v>
      </c>
      <c r="CO298" s="13">
        <v>0</v>
      </c>
      <c r="CP298" s="13">
        <v>0</v>
      </c>
      <c r="CQ298" s="13">
        <v>0</v>
      </c>
      <c r="CR298" s="13">
        <v>148.1148</v>
      </c>
      <c r="CS298" s="13">
        <v>0</v>
      </c>
      <c r="CT298" s="13">
        <v>148.1148</v>
      </c>
      <c r="CU298" s="13">
        <f t="shared" si="32"/>
        <v>0</v>
      </c>
      <c r="CV298" s="13">
        <f t="shared" si="32"/>
        <v>0</v>
      </c>
      <c r="CW298" s="13">
        <f t="shared" si="32"/>
        <v>0</v>
      </c>
      <c r="CX298" s="13">
        <f t="shared" si="32"/>
        <v>1308.3474000000001</v>
      </c>
      <c r="CY298" s="13">
        <f t="shared" si="32"/>
        <v>0</v>
      </c>
      <c r="CZ298" s="13">
        <f t="shared" si="32"/>
        <v>1308.3474000000001</v>
      </c>
      <c r="DA298" s="13">
        <f t="shared" si="33"/>
        <v>0</v>
      </c>
      <c r="DB298" s="13">
        <f t="shared" si="33"/>
        <v>0</v>
      </c>
      <c r="DC298" s="13">
        <f t="shared" si="33"/>
        <v>0</v>
      </c>
      <c r="DD298" s="13">
        <f t="shared" si="33"/>
        <v>493.71599999999995</v>
      </c>
      <c r="DE298" s="13">
        <f t="shared" si="33"/>
        <v>0</v>
      </c>
      <c r="DF298" s="13">
        <f t="shared" si="33"/>
        <v>493.71599999999995</v>
      </c>
      <c r="DG298" s="13">
        <f t="shared" si="34"/>
        <v>0</v>
      </c>
      <c r="DH298" s="13">
        <f t="shared" si="34"/>
        <v>0</v>
      </c>
      <c r="DI298" s="13">
        <f t="shared" si="34"/>
        <v>0</v>
      </c>
      <c r="DJ298" s="13">
        <f t="shared" si="34"/>
        <v>432.00149999999996</v>
      </c>
      <c r="DK298" s="13">
        <f t="shared" si="34"/>
        <v>0</v>
      </c>
      <c r="DL298" s="13">
        <f t="shared" si="34"/>
        <v>432.00149999999996</v>
      </c>
      <c r="DM298" s="13">
        <f t="shared" si="35"/>
        <v>0</v>
      </c>
      <c r="DN298" s="13">
        <f t="shared" si="35"/>
        <v>0</v>
      </c>
      <c r="DO298" s="13">
        <f t="shared" si="35"/>
        <v>0</v>
      </c>
      <c r="DP298" s="13">
        <f t="shared" si="35"/>
        <v>308.57249999999999</v>
      </c>
      <c r="DQ298" s="13">
        <f t="shared" si="35"/>
        <v>0</v>
      </c>
      <c r="DR298" s="13">
        <f t="shared" si="35"/>
        <v>308.57249999999999</v>
      </c>
      <c r="DS298" s="14" t="s">
        <v>81</v>
      </c>
      <c r="DT298" s="14" t="s">
        <v>72</v>
      </c>
      <c r="DU298" s="14" t="s">
        <v>113</v>
      </c>
      <c r="DV298" s="14" t="s">
        <v>372</v>
      </c>
      <c r="DW298" s="14" t="s">
        <v>74</v>
      </c>
    </row>
    <row r="299" spans="2:127" x14ac:dyDescent="0.3">
      <c r="B299" s="11" t="s">
        <v>83</v>
      </c>
      <c r="C299" s="14" t="s">
        <v>943</v>
      </c>
      <c r="D299" s="11" t="s">
        <v>944</v>
      </c>
      <c r="E299" s="11" t="s">
        <v>803</v>
      </c>
      <c r="F299" s="11" t="s">
        <v>945</v>
      </c>
      <c r="G299" s="11" t="s">
        <v>223</v>
      </c>
      <c r="H299" s="11" t="s">
        <v>91</v>
      </c>
      <c r="I299" s="11">
        <v>71852</v>
      </c>
      <c r="J299" s="11" t="s">
        <v>70</v>
      </c>
      <c r="K299" s="11"/>
      <c r="L299" s="11"/>
      <c r="M299" s="11"/>
      <c r="N299" s="11"/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0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0</v>
      </c>
      <c r="BD299" s="13">
        <v>0</v>
      </c>
      <c r="BE299" s="13">
        <v>0</v>
      </c>
      <c r="BF299" s="13">
        <v>0</v>
      </c>
      <c r="BG299" s="13">
        <v>0</v>
      </c>
      <c r="BH299" s="13">
        <v>0</v>
      </c>
      <c r="BI299" s="13">
        <v>0</v>
      </c>
      <c r="BJ299" s="13">
        <v>0</v>
      </c>
      <c r="BK299" s="13">
        <v>0</v>
      </c>
      <c r="BL299" s="13">
        <v>0</v>
      </c>
      <c r="BM299" s="13">
        <v>0</v>
      </c>
      <c r="BN299" s="13">
        <v>0</v>
      </c>
      <c r="BO299" s="13">
        <v>0</v>
      </c>
      <c r="BP299" s="13">
        <v>0</v>
      </c>
      <c r="BQ299" s="13">
        <v>0</v>
      </c>
      <c r="BR299" s="13">
        <v>0</v>
      </c>
      <c r="BS299" s="13">
        <v>0</v>
      </c>
      <c r="BT299" s="13">
        <v>0</v>
      </c>
      <c r="BU299" s="13">
        <v>0</v>
      </c>
      <c r="BV299" s="13">
        <v>0</v>
      </c>
      <c r="BW299" s="13">
        <v>0</v>
      </c>
      <c r="BX299" s="13">
        <v>0</v>
      </c>
      <c r="BY299" s="13">
        <v>0</v>
      </c>
      <c r="BZ299" s="13">
        <v>0</v>
      </c>
      <c r="CA299" s="13">
        <v>0</v>
      </c>
      <c r="CB299" s="13">
        <v>0</v>
      </c>
      <c r="CC299" s="13">
        <v>0</v>
      </c>
      <c r="CD299" s="13">
        <v>0</v>
      </c>
      <c r="CE299" s="13">
        <v>0</v>
      </c>
      <c r="CF299" s="13">
        <v>0</v>
      </c>
      <c r="CG299" s="13">
        <v>0</v>
      </c>
      <c r="CH299" s="13">
        <v>0</v>
      </c>
      <c r="CI299" s="13">
        <v>0</v>
      </c>
      <c r="CJ299" s="13">
        <v>0</v>
      </c>
      <c r="CK299" s="13">
        <v>0</v>
      </c>
      <c r="CL299" s="13">
        <v>0</v>
      </c>
      <c r="CM299" s="13">
        <v>0</v>
      </c>
      <c r="CN299" s="13">
        <v>0</v>
      </c>
      <c r="CO299" s="13">
        <v>0</v>
      </c>
      <c r="CP299" s="13">
        <v>0</v>
      </c>
      <c r="CQ299" s="13">
        <v>0</v>
      </c>
      <c r="CR299" s="13">
        <v>0</v>
      </c>
      <c r="CS299" s="13">
        <v>0</v>
      </c>
      <c r="CT299" s="13">
        <v>0</v>
      </c>
      <c r="CU299" s="13">
        <f t="shared" si="32"/>
        <v>0</v>
      </c>
      <c r="CV299" s="13">
        <f t="shared" si="32"/>
        <v>0</v>
      </c>
      <c r="CW299" s="13">
        <f t="shared" si="32"/>
        <v>0</v>
      </c>
      <c r="CX299" s="13">
        <f t="shared" si="32"/>
        <v>0</v>
      </c>
      <c r="CY299" s="13">
        <f t="shared" si="32"/>
        <v>0</v>
      </c>
      <c r="CZ299" s="13">
        <f t="shared" si="32"/>
        <v>0</v>
      </c>
      <c r="DA299" s="13">
        <f t="shared" si="33"/>
        <v>0</v>
      </c>
      <c r="DB299" s="13">
        <f t="shared" si="33"/>
        <v>0</v>
      </c>
      <c r="DC299" s="13">
        <f t="shared" si="33"/>
        <v>0</v>
      </c>
      <c r="DD299" s="13">
        <f t="shared" si="33"/>
        <v>0</v>
      </c>
      <c r="DE299" s="13">
        <f t="shared" si="33"/>
        <v>0</v>
      </c>
      <c r="DF299" s="13">
        <f t="shared" si="33"/>
        <v>0</v>
      </c>
      <c r="DG299" s="13">
        <f t="shared" si="34"/>
        <v>0</v>
      </c>
      <c r="DH299" s="13">
        <f t="shared" si="34"/>
        <v>0</v>
      </c>
      <c r="DI299" s="13">
        <f t="shared" si="34"/>
        <v>0</v>
      </c>
      <c r="DJ299" s="13">
        <f t="shared" si="34"/>
        <v>0</v>
      </c>
      <c r="DK299" s="13">
        <f t="shared" si="34"/>
        <v>0</v>
      </c>
      <c r="DL299" s="13">
        <f t="shared" si="34"/>
        <v>0</v>
      </c>
      <c r="DM299" s="13">
        <f t="shared" si="35"/>
        <v>0</v>
      </c>
      <c r="DN299" s="13">
        <f t="shared" si="35"/>
        <v>0</v>
      </c>
      <c r="DO299" s="13">
        <f t="shared" si="35"/>
        <v>0</v>
      </c>
      <c r="DP299" s="13">
        <f t="shared" si="35"/>
        <v>0</v>
      </c>
      <c r="DQ299" s="13">
        <f t="shared" si="35"/>
        <v>0</v>
      </c>
      <c r="DR299" s="13">
        <f t="shared" si="35"/>
        <v>0</v>
      </c>
      <c r="DS299" s="14" t="s">
        <v>81</v>
      </c>
      <c r="DT299" s="14" t="s">
        <v>72</v>
      </c>
      <c r="DU299" s="14" t="s">
        <v>113</v>
      </c>
      <c r="DV299" s="14" t="s">
        <v>372</v>
      </c>
      <c r="DW299" s="14" t="s">
        <v>74</v>
      </c>
    </row>
    <row r="300" spans="2:127" x14ac:dyDescent="0.3">
      <c r="B300" s="11" t="s">
        <v>53</v>
      </c>
      <c r="C300" s="14">
        <v>5010035990</v>
      </c>
      <c r="D300" s="11" t="s">
        <v>946</v>
      </c>
      <c r="E300" s="11" t="s">
        <v>803</v>
      </c>
      <c r="F300" s="11" t="s">
        <v>947</v>
      </c>
      <c r="G300" s="11" t="s">
        <v>176</v>
      </c>
      <c r="H300" s="11" t="s">
        <v>177</v>
      </c>
      <c r="I300" s="11">
        <v>85712</v>
      </c>
      <c r="J300" s="11" t="s">
        <v>70</v>
      </c>
      <c r="K300" s="11"/>
      <c r="L300" s="11"/>
      <c r="M300" s="11"/>
      <c r="N300" s="11"/>
      <c r="O300" s="13">
        <v>0</v>
      </c>
      <c r="P300" s="13">
        <v>0</v>
      </c>
      <c r="Q300" s="13">
        <v>0</v>
      </c>
      <c r="R300" s="13">
        <v>11517.6615</v>
      </c>
      <c r="S300" s="13">
        <v>-10.607100000000001</v>
      </c>
      <c r="T300" s="13">
        <v>11528.268599999999</v>
      </c>
      <c r="U300" s="13">
        <v>0</v>
      </c>
      <c r="V300" s="13">
        <v>0</v>
      </c>
      <c r="W300" s="13">
        <v>0</v>
      </c>
      <c r="X300" s="13">
        <v>728.23109999999997</v>
      </c>
      <c r="Y300" s="13">
        <v>0</v>
      </c>
      <c r="Z300" s="13">
        <v>728.23109999999997</v>
      </c>
      <c r="AA300" s="13">
        <v>0</v>
      </c>
      <c r="AB300" s="13">
        <v>0</v>
      </c>
      <c r="AC300" s="13">
        <v>0</v>
      </c>
      <c r="AD300" s="13">
        <v>791.68140000000005</v>
      </c>
      <c r="AE300" s="13">
        <v>-10.607100000000001</v>
      </c>
      <c r="AF300" s="13">
        <v>802.2885</v>
      </c>
      <c r="AG300" s="13">
        <v>0</v>
      </c>
      <c r="AH300" s="13">
        <v>0</v>
      </c>
      <c r="AI300" s="13">
        <v>0</v>
      </c>
      <c r="AJ300" s="13">
        <v>678.85950000000003</v>
      </c>
      <c r="AK300" s="13">
        <v>0</v>
      </c>
      <c r="AL300" s="13">
        <v>678.85950000000003</v>
      </c>
      <c r="AM300" s="13">
        <v>0</v>
      </c>
      <c r="AN300" s="13">
        <v>0</v>
      </c>
      <c r="AO300" s="13">
        <v>0</v>
      </c>
      <c r="AP300" s="13">
        <v>814.63139999999999</v>
      </c>
      <c r="AQ300" s="13">
        <v>0</v>
      </c>
      <c r="AR300" s="13">
        <v>814.63139999999999</v>
      </c>
      <c r="AS300" s="13">
        <v>0</v>
      </c>
      <c r="AT300" s="13">
        <v>0</v>
      </c>
      <c r="AU300" s="13">
        <v>0</v>
      </c>
      <c r="AV300" s="13">
        <v>938.06039999999996</v>
      </c>
      <c r="AW300" s="13">
        <v>0</v>
      </c>
      <c r="AX300" s="13">
        <v>938.06039999999996</v>
      </c>
      <c r="AY300" s="13">
        <v>0</v>
      </c>
      <c r="AZ300" s="13">
        <v>0</v>
      </c>
      <c r="BA300" s="13">
        <v>0</v>
      </c>
      <c r="BB300" s="13">
        <v>1019.832</v>
      </c>
      <c r="BC300" s="13">
        <v>7.7141999999999999</v>
      </c>
      <c r="BD300" s="13">
        <v>1012.1178</v>
      </c>
      <c r="BE300" s="13">
        <v>0</v>
      </c>
      <c r="BF300" s="13">
        <v>0</v>
      </c>
      <c r="BG300" s="13">
        <v>0</v>
      </c>
      <c r="BH300" s="13">
        <v>789.94560000000001</v>
      </c>
      <c r="BI300" s="13">
        <v>0</v>
      </c>
      <c r="BJ300" s="13">
        <v>789.94560000000001</v>
      </c>
      <c r="BK300" s="13">
        <v>0</v>
      </c>
      <c r="BL300" s="13">
        <v>0</v>
      </c>
      <c r="BM300" s="13">
        <v>0</v>
      </c>
      <c r="BN300" s="13">
        <v>1172.5754999999999</v>
      </c>
      <c r="BO300" s="13">
        <v>0</v>
      </c>
      <c r="BP300" s="13">
        <v>1172.5754999999999</v>
      </c>
      <c r="BQ300" s="13">
        <v>0</v>
      </c>
      <c r="BR300" s="13">
        <v>0</v>
      </c>
      <c r="BS300" s="13">
        <v>0</v>
      </c>
      <c r="BT300" s="13">
        <v>979.71780000000001</v>
      </c>
      <c r="BU300" s="13">
        <v>-7.7141999999999999</v>
      </c>
      <c r="BV300" s="13">
        <v>987.43200000000002</v>
      </c>
      <c r="BW300" s="13">
        <v>0</v>
      </c>
      <c r="BX300" s="13">
        <v>0</v>
      </c>
      <c r="BY300" s="13">
        <v>0</v>
      </c>
      <c r="BZ300" s="13">
        <v>962.74620000000004</v>
      </c>
      <c r="CA300" s="13">
        <v>0</v>
      </c>
      <c r="CB300" s="13">
        <v>962.74620000000004</v>
      </c>
      <c r="CC300" s="13">
        <v>0</v>
      </c>
      <c r="CD300" s="13">
        <v>0</v>
      </c>
      <c r="CE300" s="13">
        <v>0</v>
      </c>
      <c r="CF300" s="13">
        <v>999.7749</v>
      </c>
      <c r="CG300" s="13">
        <v>0</v>
      </c>
      <c r="CH300" s="13">
        <v>999.7749</v>
      </c>
      <c r="CI300" s="13">
        <v>0</v>
      </c>
      <c r="CJ300" s="13">
        <v>0</v>
      </c>
      <c r="CK300" s="13">
        <v>0</v>
      </c>
      <c r="CL300" s="13">
        <v>826.97429999999997</v>
      </c>
      <c r="CM300" s="13">
        <v>0</v>
      </c>
      <c r="CN300" s="13">
        <v>826.97429999999997</v>
      </c>
      <c r="CO300" s="13">
        <v>0</v>
      </c>
      <c r="CP300" s="13">
        <v>0</v>
      </c>
      <c r="CQ300" s="13">
        <v>0</v>
      </c>
      <c r="CR300" s="13">
        <v>814.63139999999999</v>
      </c>
      <c r="CS300" s="13">
        <v>0</v>
      </c>
      <c r="CT300" s="13">
        <v>814.63139999999999</v>
      </c>
      <c r="CU300" s="13">
        <f t="shared" si="32"/>
        <v>0</v>
      </c>
      <c r="CV300" s="13">
        <f t="shared" si="32"/>
        <v>0</v>
      </c>
      <c r="CW300" s="13">
        <f t="shared" si="32"/>
        <v>0</v>
      </c>
      <c r="CX300" s="13">
        <f t="shared" si="32"/>
        <v>10789.430400000001</v>
      </c>
      <c r="CY300" s="13">
        <f t="shared" si="32"/>
        <v>-10.607100000000001</v>
      </c>
      <c r="CZ300" s="13">
        <f t="shared" si="32"/>
        <v>10800.0375</v>
      </c>
      <c r="DA300" s="13">
        <f t="shared" si="33"/>
        <v>0</v>
      </c>
      <c r="DB300" s="13">
        <f t="shared" si="33"/>
        <v>0</v>
      </c>
      <c r="DC300" s="13">
        <f t="shared" si="33"/>
        <v>0</v>
      </c>
      <c r="DD300" s="13">
        <f t="shared" si="33"/>
        <v>2641.3806</v>
      </c>
      <c r="DE300" s="13">
        <f t="shared" si="33"/>
        <v>0</v>
      </c>
      <c r="DF300" s="13">
        <f t="shared" si="33"/>
        <v>2641.3806</v>
      </c>
      <c r="DG300" s="13">
        <f t="shared" si="34"/>
        <v>0</v>
      </c>
      <c r="DH300" s="13">
        <f t="shared" si="34"/>
        <v>0</v>
      </c>
      <c r="DI300" s="13">
        <f t="shared" si="34"/>
        <v>0</v>
      </c>
      <c r="DJ300" s="13">
        <f t="shared" si="34"/>
        <v>3115.0394999999999</v>
      </c>
      <c r="DK300" s="13">
        <f t="shared" si="34"/>
        <v>-7.7141999999999999</v>
      </c>
      <c r="DL300" s="13">
        <f t="shared" si="34"/>
        <v>3122.7536999999998</v>
      </c>
      <c r="DM300" s="13">
        <f t="shared" si="35"/>
        <v>0</v>
      </c>
      <c r="DN300" s="13">
        <f t="shared" si="35"/>
        <v>0</v>
      </c>
      <c r="DO300" s="13">
        <f t="shared" si="35"/>
        <v>0</v>
      </c>
      <c r="DP300" s="13">
        <f t="shared" si="35"/>
        <v>1641.6057000000001</v>
      </c>
      <c r="DQ300" s="13">
        <f t="shared" si="35"/>
        <v>0</v>
      </c>
      <c r="DR300" s="13">
        <f t="shared" si="35"/>
        <v>1641.6057000000001</v>
      </c>
      <c r="DS300" s="14" t="s">
        <v>81</v>
      </c>
      <c r="DT300" s="14" t="s">
        <v>72</v>
      </c>
      <c r="DU300" s="14" t="s">
        <v>113</v>
      </c>
      <c r="DV300" s="14" t="s">
        <v>372</v>
      </c>
      <c r="DW300" s="14" t="s">
        <v>74</v>
      </c>
    </row>
    <row r="301" spans="2:127" x14ac:dyDescent="0.3">
      <c r="B301" s="11" t="s">
        <v>75</v>
      </c>
      <c r="C301" s="14" t="s">
        <v>948</v>
      </c>
      <c r="D301" s="11" t="s">
        <v>949</v>
      </c>
      <c r="E301" s="11" t="s">
        <v>803</v>
      </c>
      <c r="F301" s="11" t="s">
        <v>950</v>
      </c>
      <c r="G301" s="11" t="s">
        <v>951</v>
      </c>
      <c r="H301" s="11" t="s">
        <v>108</v>
      </c>
      <c r="I301" s="11">
        <v>29936</v>
      </c>
      <c r="J301" s="11" t="s">
        <v>70</v>
      </c>
      <c r="K301" s="11"/>
      <c r="L301" s="11"/>
      <c r="M301" s="11"/>
      <c r="N301" s="11"/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  <c r="BM301" s="13">
        <v>0</v>
      </c>
      <c r="BN301" s="13">
        <v>0</v>
      </c>
      <c r="BO301" s="13">
        <v>0</v>
      </c>
      <c r="BP301" s="13">
        <v>0</v>
      </c>
      <c r="BQ301" s="13">
        <v>0</v>
      </c>
      <c r="BR301" s="13">
        <v>0</v>
      </c>
      <c r="BS301" s="13">
        <v>0</v>
      </c>
      <c r="BT301" s="13">
        <v>0</v>
      </c>
      <c r="BU301" s="13">
        <v>0</v>
      </c>
      <c r="BV301" s="13">
        <v>0</v>
      </c>
      <c r="BW301" s="13">
        <v>0</v>
      </c>
      <c r="BX301" s="13">
        <v>0</v>
      </c>
      <c r="BY301" s="13">
        <v>0</v>
      </c>
      <c r="BZ301" s="13">
        <v>0</v>
      </c>
      <c r="CA301" s="13">
        <v>0</v>
      </c>
      <c r="CB301" s="13">
        <v>0</v>
      </c>
      <c r="CC301" s="13">
        <v>0</v>
      </c>
      <c r="CD301" s="13">
        <v>0</v>
      </c>
      <c r="CE301" s="13">
        <v>0</v>
      </c>
      <c r="CF301" s="13">
        <v>0</v>
      </c>
      <c r="CG301" s="13">
        <v>0</v>
      </c>
      <c r="CH301" s="13">
        <v>0</v>
      </c>
      <c r="CI301" s="13">
        <v>0</v>
      </c>
      <c r="CJ301" s="13">
        <v>0</v>
      </c>
      <c r="CK301" s="13">
        <v>0</v>
      </c>
      <c r="CL301" s="13">
        <v>0</v>
      </c>
      <c r="CM301" s="13">
        <v>0</v>
      </c>
      <c r="CN301" s="13">
        <v>0</v>
      </c>
      <c r="CO301" s="13">
        <v>0</v>
      </c>
      <c r="CP301" s="13">
        <v>0</v>
      </c>
      <c r="CQ301" s="13">
        <v>0</v>
      </c>
      <c r="CR301" s="13">
        <v>0</v>
      </c>
      <c r="CS301" s="13">
        <v>0</v>
      </c>
      <c r="CT301" s="13">
        <v>0</v>
      </c>
      <c r="CU301" s="13">
        <f t="shared" si="32"/>
        <v>0</v>
      </c>
      <c r="CV301" s="13">
        <f t="shared" si="32"/>
        <v>0</v>
      </c>
      <c r="CW301" s="13">
        <f t="shared" si="32"/>
        <v>0</v>
      </c>
      <c r="CX301" s="13">
        <f t="shared" si="32"/>
        <v>0</v>
      </c>
      <c r="CY301" s="13">
        <f t="shared" si="32"/>
        <v>0</v>
      </c>
      <c r="CZ301" s="13">
        <f t="shared" si="32"/>
        <v>0</v>
      </c>
      <c r="DA301" s="13">
        <f t="shared" si="33"/>
        <v>0</v>
      </c>
      <c r="DB301" s="13">
        <f t="shared" si="33"/>
        <v>0</v>
      </c>
      <c r="DC301" s="13">
        <f t="shared" si="33"/>
        <v>0</v>
      </c>
      <c r="DD301" s="13">
        <f t="shared" si="33"/>
        <v>0</v>
      </c>
      <c r="DE301" s="13">
        <f t="shared" si="33"/>
        <v>0</v>
      </c>
      <c r="DF301" s="13">
        <f t="shared" si="33"/>
        <v>0</v>
      </c>
      <c r="DG301" s="13">
        <f t="shared" si="34"/>
        <v>0</v>
      </c>
      <c r="DH301" s="13">
        <f t="shared" si="34"/>
        <v>0</v>
      </c>
      <c r="DI301" s="13">
        <f t="shared" si="34"/>
        <v>0</v>
      </c>
      <c r="DJ301" s="13">
        <f t="shared" si="34"/>
        <v>0</v>
      </c>
      <c r="DK301" s="13">
        <f t="shared" si="34"/>
        <v>0</v>
      </c>
      <c r="DL301" s="13">
        <f t="shared" si="34"/>
        <v>0</v>
      </c>
      <c r="DM301" s="13">
        <f t="shared" si="35"/>
        <v>0</v>
      </c>
      <c r="DN301" s="13">
        <f t="shared" si="35"/>
        <v>0</v>
      </c>
      <c r="DO301" s="13">
        <f t="shared" si="35"/>
        <v>0</v>
      </c>
      <c r="DP301" s="13">
        <f t="shared" si="35"/>
        <v>0</v>
      </c>
      <c r="DQ301" s="13">
        <f t="shared" si="35"/>
        <v>0</v>
      </c>
      <c r="DR301" s="13">
        <f t="shared" si="35"/>
        <v>0</v>
      </c>
      <c r="DS301" s="14" t="s">
        <v>81</v>
      </c>
      <c r="DT301" s="14" t="s">
        <v>72</v>
      </c>
      <c r="DU301" s="14" t="s">
        <v>113</v>
      </c>
      <c r="DV301" s="14" t="s">
        <v>372</v>
      </c>
      <c r="DW301" s="14" t="s">
        <v>74</v>
      </c>
    </row>
    <row r="302" spans="2:127" x14ac:dyDescent="0.3">
      <c r="B302" s="11" t="s">
        <v>83</v>
      </c>
      <c r="C302" s="14" t="s">
        <v>952</v>
      </c>
      <c r="D302" s="11" t="s">
        <v>953</v>
      </c>
      <c r="E302" s="11" t="s">
        <v>803</v>
      </c>
      <c r="F302" s="11" t="s">
        <v>954</v>
      </c>
      <c r="G302" s="11" t="s">
        <v>925</v>
      </c>
      <c r="H302" s="11" t="s">
        <v>87</v>
      </c>
      <c r="I302" s="11">
        <v>65807</v>
      </c>
      <c r="J302" s="11" t="s">
        <v>70</v>
      </c>
      <c r="K302" s="11"/>
      <c r="L302" s="11"/>
      <c r="M302" s="11"/>
      <c r="N302" s="11"/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0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  <c r="BM302" s="13">
        <v>0</v>
      </c>
      <c r="BN302" s="13">
        <v>0</v>
      </c>
      <c r="BO302" s="13">
        <v>0</v>
      </c>
      <c r="BP302" s="13">
        <v>0</v>
      </c>
      <c r="BQ302" s="13">
        <v>0</v>
      </c>
      <c r="BR302" s="13">
        <v>0</v>
      </c>
      <c r="BS302" s="13">
        <v>0</v>
      </c>
      <c r="BT302" s="13">
        <v>0</v>
      </c>
      <c r="BU302" s="13">
        <v>0</v>
      </c>
      <c r="BV302" s="13">
        <v>0</v>
      </c>
      <c r="BW302" s="13">
        <v>0</v>
      </c>
      <c r="BX302" s="13">
        <v>0</v>
      </c>
      <c r="BY302" s="13">
        <v>0</v>
      </c>
      <c r="BZ302" s="13">
        <v>0</v>
      </c>
      <c r="CA302" s="13">
        <v>0</v>
      </c>
      <c r="CB302" s="13">
        <v>0</v>
      </c>
      <c r="CC302" s="13">
        <v>0</v>
      </c>
      <c r="CD302" s="13">
        <v>0</v>
      </c>
      <c r="CE302" s="13">
        <v>0</v>
      </c>
      <c r="CF302" s="13">
        <v>0</v>
      </c>
      <c r="CG302" s="13">
        <v>0</v>
      </c>
      <c r="CH302" s="13">
        <v>0</v>
      </c>
      <c r="CI302" s="13">
        <v>0</v>
      </c>
      <c r="CJ302" s="13">
        <v>0</v>
      </c>
      <c r="CK302" s="13">
        <v>0</v>
      </c>
      <c r="CL302" s="13">
        <v>0</v>
      </c>
      <c r="CM302" s="13">
        <v>0</v>
      </c>
      <c r="CN302" s="13">
        <v>0</v>
      </c>
      <c r="CO302" s="13">
        <v>0</v>
      </c>
      <c r="CP302" s="13">
        <v>0</v>
      </c>
      <c r="CQ302" s="13">
        <v>0</v>
      </c>
      <c r="CR302" s="13">
        <v>0</v>
      </c>
      <c r="CS302" s="13">
        <v>0</v>
      </c>
      <c r="CT302" s="13">
        <v>0</v>
      </c>
      <c r="CU302" s="13">
        <f t="shared" si="32"/>
        <v>0</v>
      </c>
      <c r="CV302" s="13">
        <f t="shared" si="32"/>
        <v>0</v>
      </c>
      <c r="CW302" s="13">
        <f t="shared" si="32"/>
        <v>0</v>
      </c>
      <c r="CX302" s="13">
        <f t="shared" si="32"/>
        <v>0</v>
      </c>
      <c r="CY302" s="13">
        <f t="shared" si="32"/>
        <v>0</v>
      </c>
      <c r="CZ302" s="13">
        <f t="shared" si="32"/>
        <v>0</v>
      </c>
      <c r="DA302" s="13">
        <f t="shared" si="33"/>
        <v>0</v>
      </c>
      <c r="DB302" s="13">
        <f t="shared" si="33"/>
        <v>0</v>
      </c>
      <c r="DC302" s="13">
        <f t="shared" si="33"/>
        <v>0</v>
      </c>
      <c r="DD302" s="13">
        <f t="shared" si="33"/>
        <v>0</v>
      </c>
      <c r="DE302" s="13">
        <f t="shared" si="33"/>
        <v>0</v>
      </c>
      <c r="DF302" s="13">
        <f t="shared" si="33"/>
        <v>0</v>
      </c>
      <c r="DG302" s="13">
        <f t="shared" si="34"/>
        <v>0</v>
      </c>
      <c r="DH302" s="13">
        <f t="shared" si="34"/>
        <v>0</v>
      </c>
      <c r="DI302" s="13">
        <f t="shared" si="34"/>
        <v>0</v>
      </c>
      <c r="DJ302" s="13">
        <f t="shared" si="34"/>
        <v>0</v>
      </c>
      <c r="DK302" s="13">
        <f t="shared" si="34"/>
        <v>0</v>
      </c>
      <c r="DL302" s="13">
        <f t="shared" si="34"/>
        <v>0</v>
      </c>
      <c r="DM302" s="13">
        <f t="shared" si="35"/>
        <v>0</v>
      </c>
      <c r="DN302" s="13">
        <f t="shared" si="35"/>
        <v>0</v>
      </c>
      <c r="DO302" s="13">
        <f t="shared" si="35"/>
        <v>0</v>
      </c>
      <c r="DP302" s="13">
        <f t="shared" si="35"/>
        <v>0</v>
      </c>
      <c r="DQ302" s="13">
        <f t="shared" si="35"/>
        <v>0</v>
      </c>
      <c r="DR302" s="13">
        <f t="shared" si="35"/>
        <v>0</v>
      </c>
      <c r="DS302" s="14" t="s">
        <v>81</v>
      </c>
      <c r="DT302" s="14" t="s">
        <v>72</v>
      </c>
      <c r="DU302" s="14" t="s">
        <v>113</v>
      </c>
      <c r="DV302" s="14" t="s">
        <v>372</v>
      </c>
      <c r="DW302" s="14" t="s">
        <v>74</v>
      </c>
    </row>
    <row r="303" spans="2:127" x14ac:dyDescent="0.3">
      <c r="B303" s="11" t="s">
        <v>75</v>
      </c>
      <c r="C303" s="14">
        <v>5001341553</v>
      </c>
      <c r="D303" s="11" t="s">
        <v>955</v>
      </c>
      <c r="E303" s="11" t="s">
        <v>803</v>
      </c>
      <c r="F303" s="11" t="s">
        <v>956</v>
      </c>
      <c r="G303" s="11" t="s">
        <v>707</v>
      </c>
      <c r="H303" s="11" t="s">
        <v>157</v>
      </c>
      <c r="I303" s="11">
        <v>30501</v>
      </c>
      <c r="J303" s="11" t="s">
        <v>109</v>
      </c>
      <c r="K303" s="11"/>
      <c r="L303" s="11"/>
      <c r="M303" s="11"/>
      <c r="N303" s="11"/>
      <c r="O303" s="13">
        <v>0</v>
      </c>
      <c r="P303" s="13">
        <v>0</v>
      </c>
      <c r="Q303" s="13">
        <v>0</v>
      </c>
      <c r="R303" s="13">
        <v>1752.6918000000001</v>
      </c>
      <c r="S303" s="13">
        <v>0</v>
      </c>
      <c r="T303" s="13">
        <v>1752.6918000000001</v>
      </c>
      <c r="U303" s="13">
        <v>0</v>
      </c>
      <c r="V303" s="13">
        <v>0</v>
      </c>
      <c r="W303" s="13">
        <v>0</v>
      </c>
      <c r="X303" s="13">
        <v>271.54379999999998</v>
      </c>
      <c r="Y303" s="13">
        <v>0</v>
      </c>
      <c r="Z303" s="13">
        <v>271.54379999999998</v>
      </c>
      <c r="AA303" s="13">
        <v>0</v>
      </c>
      <c r="AB303" s="13">
        <v>0</v>
      </c>
      <c r="AC303" s="13">
        <v>0</v>
      </c>
      <c r="AD303" s="13">
        <v>357.94409999999999</v>
      </c>
      <c r="AE303" s="13">
        <v>0</v>
      </c>
      <c r="AF303" s="13">
        <v>357.94409999999999</v>
      </c>
      <c r="AG303" s="13">
        <v>0</v>
      </c>
      <c r="AH303" s="13">
        <v>0</v>
      </c>
      <c r="AI303" s="13">
        <v>0</v>
      </c>
      <c r="AJ303" s="13">
        <v>271.54379999999998</v>
      </c>
      <c r="AK303" s="13">
        <v>0</v>
      </c>
      <c r="AL303" s="13">
        <v>271.54379999999998</v>
      </c>
      <c r="AM303" s="13">
        <v>0</v>
      </c>
      <c r="AN303" s="13">
        <v>0</v>
      </c>
      <c r="AO303" s="13">
        <v>0</v>
      </c>
      <c r="AP303" s="13">
        <v>246.858</v>
      </c>
      <c r="AQ303" s="13">
        <v>0</v>
      </c>
      <c r="AR303" s="13">
        <v>246.858</v>
      </c>
      <c r="AS303" s="13">
        <v>0</v>
      </c>
      <c r="AT303" s="13">
        <v>0</v>
      </c>
      <c r="AU303" s="13">
        <v>0</v>
      </c>
      <c r="AV303" s="13">
        <v>456.68729999999999</v>
      </c>
      <c r="AW303" s="13">
        <v>0</v>
      </c>
      <c r="AX303" s="13">
        <v>456.68729999999999</v>
      </c>
      <c r="AY303" s="13">
        <v>0</v>
      </c>
      <c r="AZ303" s="13">
        <v>0</v>
      </c>
      <c r="BA303" s="13">
        <v>0</v>
      </c>
      <c r="BB303" s="13">
        <v>148.1148</v>
      </c>
      <c r="BC303" s="13">
        <v>0</v>
      </c>
      <c r="BD303" s="13">
        <v>148.1148</v>
      </c>
      <c r="BE303" s="13">
        <v>0</v>
      </c>
      <c r="BF303" s="13">
        <v>0</v>
      </c>
      <c r="BG303" s="13">
        <v>0</v>
      </c>
      <c r="BH303" s="13">
        <v>0</v>
      </c>
      <c r="BI303" s="13">
        <v>0</v>
      </c>
      <c r="BJ303" s="13">
        <v>0</v>
      </c>
      <c r="BK303" s="13">
        <v>0</v>
      </c>
      <c r="BL303" s="13">
        <v>0</v>
      </c>
      <c r="BM303" s="13">
        <v>0</v>
      </c>
      <c r="BN303" s="13">
        <v>0</v>
      </c>
      <c r="BO303" s="13">
        <v>0</v>
      </c>
      <c r="BP303" s="13">
        <v>0</v>
      </c>
      <c r="BQ303" s="13">
        <v>0</v>
      </c>
      <c r="BR303" s="13">
        <v>0</v>
      </c>
      <c r="BS303" s="13">
        <v>0</v>
      </c>
      <c r="BT303" s="13">
        <v>0</v>
      </c>
      <c r="BU303" s="13">
        <v>0</v>
      </c>
      <c r="BV303" s="13">
        <v>0</v>
      </c>
      <c r="BW303" s="13">
        <v>0</v>
      </c>
      <c r="BX303" s="13">
        <v>0</v>
      </c>
      <c r="BY303" s="13">
        <v>0</v>
      </c>
      <c r="BZ303" s="13">
        <v>0</v>
      </c>
      <c r="CA303" s="13">
        <v>0</v>
      </c>
      <c r="CB303" s="13">
        <v>0</v>
      </c>
      <c r="CC303" s="13">
        <v>0</v>
      </c>
      <c r="CD303" s="13">
        <v>0</v>
      </c>
      <c r="CE303" s="13">
        <v>0</v>
      </c>
      <c r="CF303" s="13">
        <v>0</v>
      </c>
      <c r="CG303" s="13">
        <v>0</v>
      </c>
      <c r="CH303" s="13">
        <v>0</v>
      </c>
      <c r="CI303" s="13">
        <v>0</v>
      </c>
      <c r="CJ303" s="13">
        <v>0</v>
      </c>
      <c r="CK303" s="13">
        <v>0</v>
      </c>
      <c r="CL303" s="13">
        <v>0</v>
      </c>
      <c r="CM303" s="13">
        <v>0</v>
      </c>
      <c r="CN303" s="13">
        <v>0</v>
      </c>
      <c r="CO303" s="13">
        <v>0</v>
      </c>
      <c r="CP303" s="13">
        <v>0</v>
      </c>
      <c r="CQ303" s="13">
        <v>0</v>
      </c>
      <c r="CR303" s="13">
        <v>0</v>
      </c>
      <c r="CS303" s="13">
        <v>0</v>
      </c>
      <c r="CT303" s="13">
        <v>0</v>
      </c>
      <c r="CU303" s="13">
        <f t="shared" si="32"/>
        <v>0</v>
      </c>
      <c r="CV303" s="13">
        <f t="shared" si="32"/>
        <v>0</v>
      </c>
      <c r="CW303" s="13">
        <f t="shared" si="32"/>
        <v>0</v>
      </c>
      <c r="CX303" s="13">
        <f t="shared" si="32"/>
        <v>1481.1480000000001</v>
      </c>
      <c r="CY303" s="13">
        <f t="shared" si="32"/>
        <v>0</v>
      </c>
      <c r="CZ303" s="13">
        <f t="shared" si="32"/>
        <v>1481.1480000000001</v>
      </c>
      <c r="DA303" s="13">
        <f t="shared" si="33"/>
        <v>0</v>
      </c>
      <c r="DB303" s="13">
        <f t="shared" si="33"/>
        <v>0</v>
      </c>
      <c r="DC303" s="13">
        <f t="shared" si="33"/>
        <v>0</v>
      </c>
      <c r="DD303" s="13">
        <f t="shared" si="33"/>
        <v>0</v>
      </c>
      <c r="DE303" s="13">
        <f t="shared" si="33"/>
        <v>0</v>
      </c>
      <c r="DF303" s="13">
        <f t="shared" si="33"/>
        <v>0</v>
      </c>
      <c r="DG303" s="13">
        <f t="shared" si="34"/>
        <v>0</v>
      </c>
      <c r="DH303" s="13">
        <f t="shared" si="34"/>
        <v>0</v>
      </c>
      <c r="DI303" s="13">
        <f t="shared" si="34"/>
        <v>0</v>
      </c>
      <c r="DJ303" s="13">
        <f t="shared" si="34"/>
        <v>0</v>
      </c>
      <c r="DK303" s="13">
        <f t="shared" si="34"/>
        <v>0</v>
      </c>
      <c r="DL303" s="13">
        <f t="shared" si="34"/>
        <v>0</v>
      </c>
      <c r="DM303" s="13">
        <f t="shared" si="35"/>
        <v>0</v>
      </c>
      <c r="DN303" s="13">
        <f t="shared" si="35"/>
        <v>0</v>
      </c>
      <c r="DO303" s="13">
        <f t="shared" si="35"/>
        <v>0</v>
      </c>
      <c r="DP303" s="13">
        <f t="shared" si="35"/>
        <v>0</v>
      </c>
      <c r="DQ303" s="13">
        <f t="shared" si="35"/>
        <v>0</v>
      </c>
      <c r="DR303" s="13">
        <f t="shared" si="35"/>
        <v>0</v>
      </c>
      <c r="DS303" s="14" t="s">
        <v>81</v>
      </c>
      <c r="DT303" s="14" t="s">
        <v>72</v>
      </c>
      <c r="DU303" s="14" t="s">
        <v>113</v>
      </c>
      <c r="DV303" s="14" t="s">
        <v>372</v>
      </c>
      <c r="DW303" s="14" t="s">
        <v>74</v>
      </c>
    </row>
    <row r="304" spans="2:127" x14ac:dyDescent="0.3">
      <c r="B304" s="11" t="s">
        <v>75</v>
      </c>
      <c r="C304" s="14">
        <v>5001341722</v>
      </c>
      <c r="D304" s="11" t="s">
        <v>957</v>
      </c>
      <c r="E304" s="11" t="s">
        <v>803</v>
      </c>
      <c r="F304" s="11" t="s">
        <v>958</v>
      </c>
      <c r="G304" s="11" t="s">
        <v>959</v>
      </c>
      <c r="H304" s="11" t="s">
        <v>282</v>
      </c>
      <c r="I304" s="11">
        <v>42101</v>
      </c>
      <c r="J304" s="11" t="s">
        <v>80</v>
      </c>
      <c r="K304" s="11"/>
      <c r="L304" s="11"/>
      <c r="M304" s="11"/>
      <c r="N304" s="11"/>
      <c r="O304" s="13">
        <v>2191</v>
      </c>
      <c r="P304" s="13">
        <v>2191</v>
      </c>
      <c r="Q304" s="13">
        <v>0</v>
      </c>
      <c r="R304" s="13">
        <v>5944.9757</v>
      </c>
      <c r="S304" s="13">
        <v>2303.8202000000001</v>
      </c>
      <c r="T304" s="13">
        <v>3641.1554999999998</v>
      </c>
      <c r="U304" s="13">
        <v>125</v>
      </c>
      <c r="V304" s="13">
        <v>125</v>
      </c>
      <c r="W304" s="13">
        <v>0</v>
      </c>
      <c r="X304" s="13">
        <v>494.5154</v>
      </c>
      <c r="Y304" s="13">
        <v>136.57130000000001</v>
      </c>
      <c r="Z304" s="13">
        <v>357.94409999999999</v>
      </c>
      <c r="AA304" s="13">
        <v>213</v>
      </c>
      <c r="AB304" s="13">
        <v>213</v>
      </c>
      <c r="AC304" s="13">
        <v>0</v>
      </c>
      <c r="AD304" s="13">
        <v>541.62959999999998</v>
      </c>
      <c r="AE304" s="13">
        <v>220.71420000000001</v>
      </c>
      <c r="AF304" s="13">
        <v>320.91539999999998</v>
      </c>
      <c r="AG304" s="13">
        <v>175</v>
      </c>
      <c r="AH304" s="13">
        <v>175</v>
      </c>
      <c r="AI304" s="13">
        <v>0</v>
      </c>
      <c r="AJ304" s="13">
        <v>393.50779999999997</v>
      </c>
      <c r="AK304" s="13">
        <v>183.67849999999999</v>
      </c>
      <c r="AL304" s="13">
        <v>209.82929999999999</v>
      </c>
      <c r="AM304" s="13">
        <v>116</v>
      </c>
      <c r="AN304" s="13">
        <v>116</v>
      </c>
      <c r="AO304" s="13">
        <v>0</v>
      </c>
      <c r="AP304" s="13">
        <v>251.77189999999999</v>
      </c>
      <c r="AQ304" s="13">
        <v>116</v>
      </c>
      <c r="AR304" s="13">
        <v>135.77189999999999</v>
      </c>
      <c r="AS304" s="13">
        <v>222</v>
      </c>
      <c r="AT304" s="13">
        <v>222</v>
      </c>
      <c r="AU304" s="13">
        <v>0</v>
      </c>
      <c r="AV304" s="13">
        <v>458.82899999999995</v>
      </c>
      <c r="AW304" s="13">
        <v>248.99969999999999</v>
      </c>
      <c r="AX304" s="13">
        <v>209.82929999999999</v>
      </c>
      <c r="AY304" s="13">
        <v>204</v>
      </c>
      <c r="AZ304" s="13">
        <v>204</v>
      </c>
      <c r="BA304" s="13">
        <v>0</v>
      </c>
      <c r="BB304" s="13">
        <v>389.14350000000002</v>
      </c>
      <c r="BC304" s="13">
        <v>204</v>
      </c>
      <c r="BD304" s="13">
        <v>185.14349999999999</v>
      </c>
      <c r="BE304" s="13">
        <v>200</v>
      </c>
      <c r="BF304" s="13">
        <v>200</v>
      </c>
      <c r="BG304" s="13">
        <v>0</v>
      </c>
      <c r="BH304" s="13">
        <v>339.62900000000002</v>
      </c>
      <c r="BI304" s="13">
        <v>203.8571</v>
      </c>
      <c r="BJ304" s="13">
        <v>135.77189999999999</v>
      </c>
      <c r="BK304" s="13">
        <v>173</v>
      </c>
      <c r="BL304" s="13">
        <v>173</v>
      </c>
      <c r="BM304" s="13">
        <v>0</v>
      </c>
      <c r="BN304" s="13">
        <v>526.31539999999995</v>
      </c>
      <c r="BO304" s="13">
        <v>180.71420000000001</v>
      </c>
      <c r="BP304" s="13">
        <v>345.60120000000001</v>
      </c>
      <c r="BQ304" s="13">
        <v>208</v>
      </c>
      <c r="BR304" s="13">
        <v>208</v>
      </c>
      <c r="BS304" s="13">
        <v>0</v>
      </c>
      <c r="BT304" s="13">
        <v>450.22929999999997</v>
      </c>
      <c r="BU304" s="13">
        <v>215.71420000000001</v>
      </c>
      <c r="BV304" s="13">
        <v>234.51509999999999</v>
      </c>
      <c r="BW304" s="13">
        <v>130</v>
      </c>
      <c r="BX304" s="13">
        <v>130</v>
      </c>
      <c r="BY304" s="13">
        <v>0</v>
      </c>
      <c r="BZ304" s="13">
        <v>426.2296</v>
      </c>
      <c r="CA304" s="13">
        <v>130</v>
      </c>
      <c r="CB304" s="13">
        <v>296.2296</v>
      </c>
      <c r="CC304" s="13">
        <v>184</v>
      </c>
      <c r="CD304" s="13">
        <v>184</v>
      </c>
      <c r="CE304" s="13">
        <v>0</v>
      </c>
      <c r="CF304" s="13">
        <v>557.37249999999995</v>
      </c>
      <c r="CG304" s="13">
        <v>199.42840000000001</v>
      </c>
      <c r="CH304" s="13">
        <v>357.94409999999999</v>
      </c>
      <c r="CI304" s="13">
        <v>113</v>
      </c>
      <c r="CJ304" s="13">
        <v>113</v>
      </c>
      <c r="CK304" s="13">
        <v>0</v>
      </c>
      <c r="CL304" s="13">
        <v>441.62959999999998</v>
      </c>
      <c r="CM304" s="13">
        <v>120.71420000000001</v>
      </c>
      <c r="CN304" s="13">
        <v>320.91539999999998</v>
      </c>
      <c r="CO304" s="13">
        <v>128</v>
      </c>
      <c r="CP304" s="13">
        <v>128</v>
      </c>
      <c r="CQ304" s="13">
        <v>0</v>
      </c>
      <c r="CR304" s="13">
        <v>674.17309999999998</v>
      </c>
      <c r="CS304" s="13">
        <v>143.42840000000001</v>
      </c>
      <c r="CT304" s="13">
        <v>530.74469999999997</v>
      </c>
      <c r="CU304" s="13">
        <f t="shared" si="32"/>
        <v>2066</v>
      </c>
      <c r="CV304" s="13">
        <f t="shared" si="32"/>
        <v>2066</v>
      </c>
      <c r="CW304" s="13">
        <f t="shared" si="32"/>
        <v>0</v>
      </c>
      <c r="CX304" s="13">
        <f t="shared" si="32"/>
        <v>5450.4603000000006</v>
      </c>
      <c r="CY304" s="13">
        <f t="shared" si="32"/>
        <v>2167.2488999999996</v>
      </c>
      <c r="CZ304" s="13">
        <f t="shared" si="32"/>
        <v>3283.2114000000001</v>
      </c>
      <c r="DA304" s="13">
        <f t="shared" si="33"/>
        <v>425</v>
      </c>
      <c r="DB304" s="13">
        <f t="shared" si="33"/>
        <v>425</v>
      </c>
      <c r="DC304" s="13">
        <f t="shared" si="33"/>
        <v>0</v>
      </c>
      <c r="DD304" s="13">
        <f t="shared" si="33"/>
        <v>1673.1751999999999</v>
      </c>
      <c r="DE304" s="13">
        <f t="shared" si="33"/>
        <v>463.57100000000003</v>
      </c>
      <c r="DF304" s="13">
        <f t="shared" si="33"/>
        <v>1209.6042</v>
      </c>
      <c r="DG304" s="13">
        <f t="shared" si="34"/>
        <v>511</v>
      </c>
      <c r="DH304" s="13">
        <f t="shared" si="34"/>
        <v>511</v>
      </c>
      <c r="DI304" s="13">
        <f t="shared" si="34"/>
        <v>0</v>
      </c>
      <c r="DJ304" s="13">
        <f t="shared" si="34"/>
        <v>1402.7743</v>
      </c>
      <c r="DK304" s="13">
        <f t="shared" si="34"/>
        <v>526.42840000000001</v>
      </c>
      <c r="DL304" s="13">
        <f t="shared" si="34"/>
        <v>876.34590000000003</v>
      </c>
      <c r="DM304" s="13">
        <f t="shared" si="35"/>
        <v>241</v>
      </c>
      <c r="DN304" s="13">
        <f t="shared" si="35"/>
        <v>241</v>
      </c>
      <c r="DO304" s="13">
        <f t="shared" si="35"/>
        <v>0</v>
      </c>
      <c r="DP304" s="13">
        <f t="shared" si="35"/>
        <v>1115.8027</v>
      </c>
      <c r="DQ304" s="13">
        <f t="shared" si="35"/>
        <v>264.14260000000002</v>
      </c>
      <c r="DR304" s="13">
        <f t="shared" si="35"/>
        <v>851.66009999999994</v>
      </c>
      <c r="DS304" s="14" t="s">
        <v>81</v>
      </c>
      <c r="DT304" s="14" t="s">
        <v>72</v>
      </c>
      <c r="DU304" s="14" t="s">
        <v>113</v>
      </c>
      <c r="DV304" s="14" t="s">
        <v>372</v>
      </c>
      <c r="DW304" s="14" t="s">
        <v>74</v>
      </c>
    </row>
    <row r="305" spans="2:127" x14ac:dyDescent="0.3">
      <c r="B305" s="11" t="s">
        <v>65</v>
      </c>
      <c r="C305" s="14">
        <v>5002030419</v>
      </c>
      <c r="D305" s="11" t="s">
        <v>960</v>
      </c>
      <c r="E305" s="11" t="s">
        <v>803</v>
      </c>
      <c r="F305" s="11" t="s">
        <v>961</v>
      </c>
      <c r="G305" s="11" t="s">
        <v>962</v>
      </c>
      <c r="H305" s="11" t="s">
        <v>340</v>
      </c>
      <c r="I305" s="11">
        <v>7470</v>
      </c>
      <c r="J305" s="11" t="s">
        <v>368</v>
      </c>
      <c r="K305" s="11"/>
      <c r="L305" s="11"/>
      <c r="M305" s="11"/>
      <c r="N305" s="11"/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13">
        <v>0</v>
      </c>
      <c r="BA305" s="13">
        <v>0</v>
      </c>
      <c r="BB305" s="13">
        <v>0</v>
      </c>
      <c r="BC305" s="13">
        <v>0</v>
      </c>
      <c r="BD305" s="13">
        <v>0</v>
      </c>
      <c r="BE305" s="13">
        <v>0</v>
      </c>
      <c r="BF305" s="13">
        <v>0</v>
      </c>
      <c r="BG305" s="13">
        <v>0</v>
      </c>
      <c r="BH305" s="13">
        <v>0</v>
      </c>
      <c r="BI305" s="13">
        <v>0</v>
      </c>
      <c r="BJ305" s="13">
        <v>0</v>
      </c>
      <c r="BK305" s="13">
        <v>0</v>
      </c>
      <c r="BL305" s="13">
        <v>0</v>
      </c>
      <c r="BM305" s="13">
        <v>0</v>
      </c>
      <c r="BN305" s="13">
        <v>0</v>
      </c>
      <c r="BO305" s="13">
        <v>0</v>
      </c>
      <c r="BP305" s="13">
        <v>0</v>
      </c>
      <c r="BQ305" s="13">
        <v>0</v>
      </c>
      <c r="BR305" s="13">
        <v>0</v>
      </c>
      <c r="BS305" s="13">
        <v>0</v>
      </c>
      <c r="BT305" s="13">
        <v>0</v>
      </c>
      <c r="BU305" s="13">
        <v>0</v>
      </c>
      <c r="BV305" s="13">
        <v>0</v>
      </c>
      <c r="BW305" s="13">
        <v>0</v>
      </c>
      <c r="BX305" s="13">
        <v>0</v>
      </c>
      <c r="BY305" s="13">
        <v>0</v>
      </c>
      <c r="BZ305" s="13">
        <v>0</v>
      </c>
      <c r="CA305" s="13">
        <v>0</v>
      </c>
      <c r="CB305" s="13">
        <v>0</v>
      </c>
      <c r="CC305" s="13">
        <v>0</v>
      </c>
      <c r="CD305" s="13">
        <v>0</v>
      </c>
      <c r="CE305" s="13">
        <v>0</v>
      </c>
      <c r="CF305" s="13">
        <v>0</v>
      </c>
      <c r="CG305" s="13">
        <v>0</v>
      </c>
      <c r="CH305" s="13">
        <v>0</v>
      </c>
      <c r="CI305" s="13">
        <v>0</v>
      </c>
      <c r="CJ305" s="13">
        <v>0</v>
      </c>
      <c r="CK305" s="13">
        <v>0</v>
      </c>
      <c r="CL305" s="13">
        <v>0</v>
      </c>
      <c r="CM305" s="13">
        <v>0</v>
      </c>
      <c r="CN305" s="13">
        <v>0</v>
      </c>
      <c r="CO305" s="13">
        <v>0</v>
      </c>
      <c r="CP305" s="13">
        <v>0</v>
      </c>
      <c r="CQ305" s="13">
        <v>0</v>
      </c>
      <c r="CR305" s="13">
        <v>0</v>
      </c>
      <c r="CS305" s="13">
        <v>0</v>
      </c>
      <c r="CT305" s="13">
        <v>0</v>
      </c>
      <c r="CU305" s="13">
        <f t="shared" si="32"/>
        <v>0</v>
      </c>
      <c r="CV305" s="13">
        <f t="shared" si="32"/>
        <v>0</v>
      </c>
      <c r="CW305" s="13">
        <f t="shared" si="32"/>
        <v>0</v>
      </c>
      <c r="CX305" s="13">
        <f t="shared" si="32"/>
        <v>0</v>
      </c>
      <c r="CY305" s="13">
        <f t="shared" si="32"/>
        <v>0</v>
      </c>
      <c r="CZ305" s="13">
        <f t="shared" si="32"/>
        <v>0</v>
      </c>
      <c r="DA305" s="13">
        <f t="shared" si="33"/>
        <v>0</v>
      </c>
      <c r="DB305" s="13">
        <f t="shared" si="33"/>
        <v>0</v>
      </c>
      <c r="DC305" s="13">
        <f t="shared" si="33"/>
        <v>0</v>
      </c>
      <c r="DD305" s="13">
        <f t="shared" si="33"/>
        <v>0</v>
      </c>
      <c r="DE305" s="13">
        <f t="shared" si="33"/>
        <v>0</v>
      </c>
      <c r="DF305" s="13">
        <f t="shared" si="33"/>
        <v>0</v>
      </c>
      <c r="DG305" s="13">
        <f t="shared" si="34"/>
        <v>0</v>
      </c>
      <c r="DH305" s="13">
        <f t="shared" si="34"/>
        <v>0</v>
      </c>
      <c r="DI305" s="13">
        <f t="shared" si="34"/>
        <v>0</v>
      </c>
      <c r="DJ305" s="13">
        <f t="shared" si="34"/>
        <v>0</v>
      </c>
      <c r="DK305" s="13">
        <f t="shared" si="34"/>
        <v>0</v>
      </c>
      <c r="DL305" s="13">
        <f t="shared" si="34"/>
        <v>0</v>
      </c>
      <c r="DM305" s="13">
        <f t="shared" si="35"/>
        <v>0</v>
      </c>
      <c r="DN305" s="13">
        <f t="shared" si="35"/>
        <v>0</v>
      </c>
      <c r="DO305" s="13">
        <f t="shared" si="35"/>
        <v>0</v>
      </c>
      <c r="DP305" s="13">
        <f t="shared" si="35"/>
        <v>0</v>
      </c>
      <c r="DQ305" s="13">
        <f t="shared" si="35"/>
        <v>0</v>
      </c>
      <c r="DR305" s="13">
        <f t="shared" si="35"/>
        <v>0</v>
      </c>
      <c r="DS305" s="14" t="s">
        <v>81</v>
      </c>
      <c r="DT305" s="14" t="s">
        <v>72</v>
      </c>
      <c r="DU305" s="14" t="s">
        <v>113</v>
      </c>
      <c r="DV305" s="14" t="s">
        <v>372</v>
      </c>
      <c r="DW305" s="14" t="s">
        <v>74</v>
      </c>
    </row>
  </sheetData>
  <autoFilter ref="B5:DW305" xr:uid="{CBFDDAF2-6E53-4CF2-9FE2-F3BF518F03A2}"/>
  <mergeCells count="43">
    <mergeCell ref="AS3:AX3"/>
    <mergeCell ref="O3:T3"/>
    <mergeCell ref="U3:Z3"/>
    <mergeCell ref="AA3:AF3"/>
    <mergeCell ref="AG3:AL3"/>
    <mergeCell ref="AM3:AR3"/>
    <mergeCell ref="CI3:CN3"/>
    <mergeCell ref="CO3:CT3"/>
    <mergeCell ref="O4:Q4"/>
    <mergeCell ref="R4:T4"/>
    <mergeCell ref="U4:W4"/>
    <mergeCell ref="X4:Z4"/>
    <mergeCell ref="AA4:AC4"/>
    <mergeCell ref="AD4:AF4"/>
    <mergeCell ref="AG4:AI4"/>
    <mergeCell ref="AJ4:AL4"/>
    <mergeCell ref="AY3:BD3"/>
    <mergeCell ref="BE3:BJ3"/>
    <mergeCell ref="BK3:BP3"/>
    <mergeCell ref="BQ3:BV3"/>
    <mergeCell ref="BW3:CB3"/>
    <mergeCell ref="CC3:CH3"/>
    <mergeCell ref="BT4:BV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CO4:CQ4"/>
    <mergeCell ref="CR4:CT4"/>
    <mergeCell ref="DS4:DW4"/>
    <mergeCell ref="BW4:BY4"/>
    <mergeCell ref="BZ4:CB4"/>
    <mergeCell ref="CC4:CE4"/>
    <mergeCell ref="CF4:CH4"/>
    <mergeCell ref="CI4:CK4"/>
    <mergeCell ref="CL4:CN4"/>
  </mergeCells>
  <pageMargins left="0.7" right="0.7" top="0.75" bottom="0.75" header="0.3" footer="0.3"/>
  <headerFooter>
    <oddHeader>&amp;C&amp;"Aptos"&amp;10&amp;K4A569E Internal&amp;1#_x000D_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300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Iris /US</dc:creator>
  <cp:lastModifiedBy>Yan, Iris /US</cp:lastModifiedBy>
  <dcterms:created xsi:type="dcterms:W3CDTF">2026-10-09T02:11:25Z</dcterms:created>
  <dcterms:modified xsi:type="dcterms:W3CDTF">2026-10-09T02:23:00Z</dcterms:modified>
</cp:coreProperties>
</file>